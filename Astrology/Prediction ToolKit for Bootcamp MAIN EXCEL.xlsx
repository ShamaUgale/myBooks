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Users\Dhiraj\Desktop\"/>
    </mc:Choice>
  </mc:AlternateContent>
  <xr:revisionPtr revIDLastSave="0" documentId="13_ncr:1_{1483ADA9-386C-418D-9DA4-3F312D321E0F}" xr6:coauthVersionLast="47" xr6:coauthVersionMax="47" xr10:uidLastSave="{00000000-0000-0000-0000-000000000000}"/>
  <bookViews>
    <workbookView xWindow="-110" yWindow="-110" windowWidth="19420" windowHeight="11500" tabRatio="839" xr2:uid="{00000000-000D-0000-FFFF-FFFF00000000}"/>
  </bookViews>
  <sheets>
    <sheet name="INDEX" sheetId="32" r:id="rId1"/>
    <sheet name="Version Control" sheetId="58" r:id="rId2"/>
    <sheet name="Numerology" sheetId="69" r:id="rId3"/>
    <sheet name="Stock Market Astrology" sheetId="68" r:id="rId4"/>
    <sheet name="Quantum Astrology" sheetId="67" r:id="rId5"/>
    <sheet name="BTR" sheetId="65" r:id="rId6"/>
    <sheet name="Prediction Algorithm" sheetId="63" r:id="rId7"/>
    <sheet name="PlanetsCharacteristics" sheetId="62" r:id="rId8"/>
    <sheet name="2024MoonTransit" sheetId="59" r:id="rId9"/>
    <sheet name="2024Fortuna" sheetId="50" r:id="rId10"/>
    <sheet name="2024RetrogradeCalendar" sheetId="29" r:id="rId11"/>
    <sheet name="2024SunTransit" sheetId="30" r:id="rId12"/>
    <sheet name="249Diseases" sheetId="11" r:id="rId13"/>
    <sheet name="249Mindsets" sheetId="12" r:id="rId14"/>
    <sheet name="249Professions" sheetId="13" r:id="rId15"/>
    <sheet name="249SubDivisionsHoraryNumbers" sheetId="28" r:id="rId16"/>
    <sheet name="ABCD Significance" sheetId="4" r:id="rId17"/>
    <sheet name="Strongest Planet Calculation" sheetId="61" r:id="rId18"/>
    <sheet name="Aspects" sheetId="2" r:id="rId19"/>
    <sheet name="Aspects Template" sheetId="71" r:id="rId20"/>
    <sheet name="FortunaMethod" sheetId="17" r:id="rId21"/>
    <sheet name="Fortuna" sheetId="16" r:id="rId22"/>
    <sheet name="Full Life Events Prediction" sheetId="34" r:id="rId23"/>
    <sheet name="Gems Remedies" sheetId="57" r:id="rId24"/>
    <sheet name="HigherEducationStreams" sheetId="21" r:id="rId25"/>
    <sheet name="Houses Meaning" sheetId="18" r:id="rId26"/>
    <sheet name="MaleficBenefic" sheetId="7" r:id="rId27"/>
    <sheet name="Marriage Partner Looks" sheetId="54" r:id="rId28"/>
    <sheet name="MissingPerson" sheetId="48" r:id="rId29"/>
    <sheet name="PlanetDirection" sheetId="46" r:id="rId30"/>
    <sheet name="PlanetPositionSignification" sheetId="25" r:id="rId31"/>
    <sheet name="PlanetFriendship" sheetId="51" r:id="rId32"/>
    <sheet name="PlanetsStockSectors" sheetId="45" r:id="rId33"/>
    <sheet name="Prediction Template" sheetId="1" r:id="rId34"/>
    <sheet name="Punarpoo" sheetId="35" r:id="rId35"/>
    <sheet name="Relationship" sheetId="47" r:id="rId36"/>
    <sheet name="1500+Rules" sheetId="20" r:id="rId37"/>
    <sheet name="ReadyReckoner" sheetId="22" r:id="rId38"/>
    <sheet name="Software List KP Astrology" sheetId="39" r:id="rId39"/>
    <sheet name="StarwiseDiseases" sheetId="26" r:id="rId40"/>
    <sheet name="Star-wise Professions" sheetId="36" r:id="rId41"/>
    <sheet name="TimeOfEvent" sheetId="3" r:id="rId42"/>
    <sheet name="Vimshottari" sheetId="52" r:id="rId43"/>
    <sheet name="ZodiacSigns" sheetId="31" r:id="rId44"/>
  </sheets>
  <definedNames>
    <definedName name="_xlnm._FilterDatabase" localSheetId="0" hidden="1">INDEX!$B$1:$B$40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4" l="1"/>
  <c r="D11" i="52"/>
  <c r="J8" i="28"/>
  <c r="J5" i="28"/>
  <c r="A6" i="4"/>
  <c r="B32" i="1"/>
  <c r="A5" i="4"/>
  <c r="C88" i="69" a="1"/>
  <c r="C88" i="69" l="1"/>
  <c r="C89" i="69" s="1"/>
  <c r="B12" i="3"/>
  <c r="A3" i="4" l="1"/>
  <c r="A7" i="1"/>
  <c r="A6" i="1"/>
  <c r="A5" i="1"/>
  <c r="C4" i="1"/>
  <c r="A4" i="1"/>
  <c r="A3" i="1"/>
  <c r="C7"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<sst xmlns="http://schemas.openxmlformats.org/spreadsheetml/2006/main" count="12090" uniqueCount="4740">
  <si>
    <t>Signification by Owner of Star of CSL?</t>
  </si>
  <si>
    <t>Result</t>
  </si>
  <si>
    <t>Notes</t>
  </si>
  <si>
    <t>Primary House of Matter in Question</t>
  </si>
  <si>
    <t>Matter</t>
  </si>
  <si>
    <t>Conclusion</t>
  </si>
  <si>
    <t>Aspect rules</t>
  </si>
  <si>
    <t>Benefic aspects</t>
  </si>
  <si>
    <t>Malefic aspects</t>
  </si>
  <si>
    <t>Sun</t>
  </si>
  <si>
    <t>Is Starlord connecting to 6, 8, 12?</t>
  </si>
  <si>
    <t>RPs</t>
  </si>
  <si>
    <t>Is Mahadasa Lord Supporting the event?</t>
  </si>
  <si>
    <t>Matter?</t>
  </si>
  <si>
    <t>Is Bukthi Lord supporting?</t>
  </si>
  <si>
    <t>Most fruitful RPs</t>
  </si>
  <si>
    <t>Lagna Sub, Star and Moon starlord are most fruitful RPs.
Consider Lagna Sign lord if the fruitful RPs don't give a fruitful star.</t>
  </si>
  <si>
    <t>Fruitful stars</t>
  </si>
  <si>
    <t>Most fruitful star</t>
  </si>
  <si>
    <t>Fruitful star in beneficial house</t>
  </si>
  <si>
    <t>Will event will take place within 24 hours? When?</t>
  </si>
  <si>
    <t>Identify when Lagna will transit into the most fruitful star</t>
  </si>
  <si>
    <t>Will event take place within 30 days? When?</t>
  </si>
  <si>
    <t>Will event take place within 1 year? When?</t>
  </si>
  <si>
    <t>Will event take place within 12 years? When?</t>
  </si>
  <si>
    <t>7 Ruling Planets are: Lagna = Sign, Star, Sub. Moon = Sign, Star, Sub. Day Lord.</t>
  </si>
  <si>
    <t>Main House</t>
  </si>
  <si>
    <t>Marakasthana</t>
  </si>
  <si>
    <t>Movable</t>
  </si>
  <si>
    <t>Fixed</t>
  </si>
  <si>
    <t>Common</t>
  </si>
  <si>
    <t>D</t>
  </si>
  <si>
    <t>L4</t>
  </si>
  <si>
    <t>C</t>
  </si>
  <si>
    <t>L3</t>
  </si>
  <si>
    <t>B</t>
  </si>
  <si>
    <t>L2</t>
  </si>
  <si>
    <t>L1</t>
  </si>
  <si>
    <t>Venus</t>
  </si>
  <si>
    <t>Rahu</t>
  </si>
  <si>
    <t>Saturn</t>
  </si>
  <si>
    <t>Jupiter</t>
  </si>
  <si>
    <t>A</t>
  </si>
  <si>
    <t>Mercury</t>
  </si>
  <si>
    <t>Moon</t>
  </si>
  <si>
    <t>Mars</t>
  </si>
  <si>
    <t>Ketu</t>
  </si>
  <si>
    <t>Deposition</t>
  </si>
  <si>
    <t>SubLord</t>
  </si>
  <si>
    <t>Improving Bhavas</t>
  </si>
  <si>
    <t>Non-Improving Bhavas</t>
  </si>
  <si>
    <t>1, 2, 3, 6, 10, 11</t>
  </si>
  <si>
    <t>4, 5, 7, 8, 9, 12</t>
  </si>
  <si>
    <t>Benefic or Malefic</t>
  </si>
  <si>
    <t>A Benefic Sun and Moon in a natal chart is an asset for the native</t>
  </si>
  <si>
    <t>Sign Lord</t>
  </si>
  <si>
    <t>Fruitful Mahadasa</t>
  </si>
  <si>
    <t>Deposition is more important than ownership</t>
  </si>
  <si>
    <t>Is it favorable to the rule?</t>
  </si>
  <si>
    <t>Mahadasa Lord will first give the result of its starlord (deposition + ownership) and then it will give the results of its own deposition + ownership. Sublord will modify the results of the starlord (within the scope of starlord signification but will never deny the starlord.)</t>
  </si>
  <si>
    <t>Bukthi Lord will first give the result of its starlord (deposition + ownership) and then it will give the results of its own deposition + ownership. Sublord will modify the results of the starlord (within the scope of starlord signification but will never deny the starlord.)</t>
  </si>
  <si>
    <t>Ensure that the fruitful RPs are not retrograde on the day of the event. If retro, proceed to the next available fruitful date. Check if the Mahadasa and Bukthi lord support the event on the date. If not, rework.</t>
  </si>
  <si>
    <t>Identify when Moon will transit into the most fruitful star or Today's Moon starlord star. Move Lagna to the most fruitful star.</t>
  </si>
  <si>
    <t>Identify when Sun will transit into the most fruitful star. Identify when Moon will transit into a star owned by today's starlord (or in any RP star) or the most fruitful star. Move Lagna to the most fruitful star.</t>
  </si>
  <si>
    <t>Identify when Jupiter will transit into the most fruitful star. Identify when Sun will transit into the most fruitful star. Identify when Moon will transit into a star owned by today's starlord or the most fruitful star. Move Lagna to the most fruitful star.</t>
  </si>
  <si>
    <t>Deposition is the most important</t>
  </si>
  <si>
    <t>Event period (Bukthi dates)</t>
  </si>
  <si>
    <t>Exact date to calculate using RPs in TimeOfEvent sheet</t>
  </si>
  <si>
    <t>Fruitful Bukthi</t>
  </si>
  <si>
    <t>Bukthi Planets for additional house in rule</t>
  </si>
  <si>
    <t>Mahadasa Planets for most important house in rule</t>
  </si>
  <si>
    <t>Ashvini</t>
  </si>
  <si>
    <t>Bharani</t>
  </si>
  <si>
    <t>Krittika</t>
  </si>
  <si>
    <t>Rohini</t>
  </si>
  <si>
    <t>Mrigashīrsha</t>
  </si>
  <si>
    <t>Ardra</t>
  </si>
  <si>
    <t>Punarvasu</t>
  </si>
  <si>
    <t>Pushya</t>
  </si>
  <si>
    <t>Āshleshā</t>
  </si>
  <si>
    <t>Maghā</t>
  </si>
  <si>
    <t>Pūrva Phalgunī</t>
  </si>
  <si>
    <t xml:space="preserve">Uttara Phalgunī </t>
  </si>
  <si>
    <t>Hasta</t>
  </si>
  <si>
    <t>Chitra</t>
  </si>
  <si>
    <t>Svati</t>
  </si>
  <si>
    <t>Vishakha</t>
  </si>
  <si>
    <t>Anuradha</t>
  </si>
  <si>
    <t>Jyeshtha</t>
  </si>
  <si>
    <t>Mula</t>
  </si>
  <si>
    <t>Purva Ashadha</t>
  </si>
  <si>
    <t>Uttara Ashadha</t>
  </si>
  <si>
    <t>Shravana</t>
  </si>
  <si>
    <t>Dhanishta</t>
  </si>
  <si>
    <t>Shatabhisha</t>
  </si>
  <si>
    <t>Purva Bhadrapada</t>
  </si>
  <si>
    <t>Uttara Bhādrapadā</t>
  </si>
  <si>
    <t>Revati</t>
  </si>
  <si>
    <t>Lagna Sign Lord</t>
  </si>
  <si>
    <t>Lagna Star Lord</t>
  </si>
  <si>
    <t>Lagna Sub Lord</t>
  </si>
  <si>
    <t>Moon Star Lord</t>
  </si>
  <si>
    <t>Moon Sign Lord</t>
  </si>
  <si>
    <t>Moon Sub Lord</t>
  </si>
  <si>
    <t>Day Lord</t>
  </si>
  <si>
    <t>Find a fruitful star in the sign-star of the most fruitful RPs</t>
  </si>
  <si>
    <t>Astrologer</t>
  </si>
  <si>
    <t>Is CSL Conjunct with any planet?</t>
  </si>
  <si>
    <t>Signification of Conjunct planet along with its starlord</t>
  </si>
  <si>
    <t>Is the Conjunct planet signifying favorable houses to the matter?</t>
  </si>
  <si>
    <t>Is StarLord Conjunct with any planet?</t>
  </si>
  <si>
    <t>Is the Conjunct planet retrograde?</t>
  </si>
  <si>
    <t>Is the Star Lord of conjunct planet retrograde?</t>
  </si>
  <si>
    <t>Is the opposed planet retrograde?</t>
  </si>
  <si>
    <t>Is the Star Lord of the opposed planet retrograde?</t>
  </si>
  <si>
    <t>Matter will delay till planet turns direct. Safe to predict later.</t>
  </si>
  <si>
    <t>Matter will deny. Safe to predict later.</t>
  </si>
  <si>
    <t>Signification of the Opposed Planet and it's Star Lord</t>
  </si>
  <si>
    <t>Is the signification of the opposed planet and it's star lord favorable?</t>
  </si>
  <si>
    <t>Summary of the analysis</t>
  </si>
  <si>
    <t>Check rule book and enter rule below</t>
  </si>
  <si>
    <t>3, 9, 12</t>
  </si>
  <si>
    <t>Benefic Planets even if the star lord signifies difficult houses such as 5, 6, 8, 12 etc, it will still do good during its Mahadasa/Bukthi/A/S period</t>
  </si>
  <si>
    <t>Malefic Planets even if the star lord signifies improving houses such as 1, 2, 3, 10, 11 etc, it will still not do good during its Mahadasa/Bukthi/A/S period</t>
  </si>
  <si>
    <t>10, 11</t>
  </si>
  <si>
    <t>#</t>
  </si>
  <si>
    <t>2, 6, 11</t>
  </si>
  <si>
    <t>5, 9</t>
  </si>
  <si>
    <t>5, 8, 12</t>
  </si>
  <si>
    <t>3, 6, 11</t>
  </si>
  <si>
    <t>3, 6, 10, 11</t>
  </si>
  <si>
    <t>10,6,7,2,3 with Mercury &amp; dual sign</t>
  </si>
  <si>
    <t>Foreign travel for job</t>
  </si>
  <si>
    <t>3, 9, 12 + 6</t>
  </si>
  <si>
    <t>KP Sub Lord Tables(1-249)</t>
  </si>
  <si>
    <t>Sub No.</t>
  </si>
  <si>
    <t>Rashi</t>
  </si>
  <si>
    <t>From (Deg/Min/Sec)</t>
  </si>
  <si>
    <t>To (DeglMin/Sec)</t>
  </si>
  <si>
    <t>Star lord</t>
  </si>
  <si>
    <t>Sub lord</t>
  </si>
  <si>
    <t>6th Diseases</t>
  </si>
  <si>
    <t>Aries</t>
  </si>
  <si>
    <t>00"00'00"</t>
  </si>
  <si>
    <t>00"46'40"</t>
  </si>
  <si>
    <t>Injury in the head - Scars - Brain Congestion - Epilepsy - Coma - Abortion</t>
  </si>
  <si>
    <t>03'00'00"</t>
  </si>
  <si>
    <t xml:space="preserve">Headache - trance - eye-trouble - eruptive - fever - venereal diseases </t>
  </si>
  <si>
    <t>03"00'00"</t>
  </si>
  <si>
    <t>03'40'00"</t>
  </si>
  <si>
    <t>Fainting - Cerebral Anaemia - Reddish and sore eyes - One-side Headache -Thrombosis - Barren</t>
  </si>
  <si>
    <t>04"46'40"</t>
  </si>
  <si>
    <t xml:space="preserve">Brain congestion - Boils - Neuralgia - Cerebral - Haemorrhage - Insomnia - Hysteria - Neuralgia </t>
  </si>
  <si>
    <t>04"46',40"</t>
  </si>
  <si>
    <t>05"33',20"</t>
  </si>
  <si>
    <t xml:space="preserve">Haemorrhage - Epilepsy - Scars in head </t>
  </si>
  <si>
    <t>07"33'20"</t>
  </si>
  <si>
    <t>Diseased - Dog-bite - Rabies</t>
  </si>
  <si>
    <t>07"33',20"</t>
  </si>
  <si>
    <t>09"20'00"</t>
  </si>
  <si>
    <t>Brain congestion - Malaria</t>
  </si>
  <si>
    <t>09"20',00"</t>
  </si>
  <si>
    <t>11"26'40"</t>
  </si>
  <si>
    <t>Scar in head - Small-pox - Boils - Injury - Operation in head - Coma - Insomnia - Filaria - Severe head-ache - Barren - Abortion - False-pains - Irregular monthly periods in women.</t>
  </si>
  <si>
    <t>17"26',40"</t>
  </si>
  <si>
    <t>13"20'00"</t>
  </si>
  <si>
    <t>Epilepsy - Violent spurnn - Paralytic Sun-stroke - Barren</t>
  </si>
  <si>
    <t>13"20',00"</t>
  </si>
  <si>
    <t>15"33'20"</t>
  </si>
  <si>
    <t xml:space="preserve">Injury around eyes </t>
  </si>
  <si>
    <t>15"33',20"</t>
  </si>
  <si>
    <t>16"13',20"</t>
  </si>
  <si>
    <t xml:space="preserve">Cataract- Injury around eyes </t>
  </si>
  <si>
    <t>16"13'20"</t>
  </si>
  <si>
    <t>17"20',00',</t>
  </si>
  <si>
    <t xml:space="preserve">Facial blood vessels affected </t>
  </si>
  <si>
    <t>17"20',00"</t>
  </si>
  <si>
    <t>18"06',40"</t>
  </si>
  <si>
    <t xml:space="preserve">Venereal Diseases </t>
  </si>
  <si>
    <t>20"06'40"</t>
  </si>
  <si>
    <t>Leukoderma - Leprosy</t>
  </si>
  <si>
    <t>20"06',40"</t>
  </si>
  <si>
    <t>21"53'20"</t>
  </si>
  <si>
    <t xml:space="preserve">Disease of metabolism and fats obesity. </t>
  </si>
  <si>
    <t>24"00',00"</t>
  </si>
  <si>
    <t xml:space="preserve">Venereal Diseases - Catarrh </t>
  </si>
  <si>
    <t>25"53'20"</t>
  </si>
  <si>
    <t xml:space="preserve">Skin troubles </t>
  </si>
  <si>
    <t>26"40'00"</t>
  </si>
  <si>
    <t xml:space="preserve">Diseased - Leukoderma -. Syphilis - Poor vision - Catarrh </t>
  </si>
  <si>
    <t>26"40',00"</t>
  </si>
  <si>
    <t>27"20',00"</t>
  </si>
  <si>
    <t>Plague - Brain fever</t>
  </si>
  <si>
    <t>28"26',40"</t>
  </si>
  <si>
    <t xml:space="preserve">Carbuncle - Poxes </t>
  </si>
  <si>
    <t>29"13',20"</t>
  </si>
  <si>
    <t>Sharp fever - Eruptive - fever - Malaria - Cerebral meningitis - Injury - Cuts Accidents</t>
  </si>
  <si>
    <t>30"00'00"</t>
  </si>
  <si>
    <t>Plague - Filaria - Fire - Accident - Burns</t>
  </si>
  <si>
    <t>Taurus</t>
  </si>
  <si>
    <t>01"13',20"</t>
  </si>
  <si>
    <t xml:space="preserve">Reddish Eyes - Scar eyes - Leprosy </t>
  </si>
  <si>
    <t>03"00'00'</t>
  </si>
  <si>
    <t>Swelling above the neck</t>
  </si>
  <si>
    <t>05'06'40"</t>
  </si>
  <si>
    <t>Pimples - Throat troubles</t>
  </si>
  <si>
    <t>05"06'40"</t>
  </si>
  <si>
    <t>07"00'00"</t>
  </si>
  <si>
    <t>Tumour in knee - Polypans of the nose</t>
  </si>
  <si>
    <t>07"46'40"</t>
  </si>
  <si>
    <t>Cataract - Nose trouble</t>
  </si>
  <si>
    <t>07:46'40"</t>
  </si>
  <si>
    <t>10"00'00"</t>
  </si>
  <si>
    <t>Polypous of the nose - Injury around eyes – Defective vision - Bad taste - Deformed lips</t>
  </si>
  <si>
    <t>11"06',40"</t>
  </si>
  <si>
    <t>Cold - Cough – Catarrh</t>
  </si>
  <si>
    <t>11"06'40"</t>
  </si>
  <si>
    <t>11"53',20"</t>
  </si>
  <si>
    <t xml:space="preserve">Facial Nervous troubles - Burning sensation on the nose and eye brows </t>
  </si>
  <si>
    <t>11"53'20"</t>
  </si>
  <si>
    <t>13"53',20"</t>
  </si>
  <si>
    <t>Ailments of a sudden nature</t>
  </si>
  <si>
    <t>13"53'20"</t>
  </si>
  <si>
    <t>15"40'00"</t>
  </si>
  <si>
    <t>Apoplexy - Swelling</t>
  </si>
  <si>
    <t>15'40'00"</t>
  </si>
  <si>
    <t>17'46'40"</t>
  </si>
  <si>
    <t>Cough - Cold - Irregular - Discharge - Pain in legs</t>
  </si>
  <si>
    <t>17"46'40"</t>
  </si>
  <si>
    <t>19"40'00"</t>
  </si>
  <si>
    <t>Tonsils -Cerebellum - Tongue - Goitre - Sore throat</t>
  </si>
  <si>
    <t>19"40'O0"</t>
  </si>
  <si>
    <t>20'26'40"</t>
  </si>
  <si>
    <t xml:space="preserve">Pimples - Tumour – Stammering </t>
  </si>
  <si>
    <t>20"26'40"</t>
  </si>
  <si>
    <t>22"40'00"</t>
  </si>
  <si>
    <t>Chest pain - Swelling - Cold</t>
  </si>
  <si>
    <t>22'40'00"</t>
  </si>
  <si>
    <t>23"20'00"</t>
  </si>
  <si>
    <t>Sore throat - Irregular discharge - Scantly Bleeding</t>
  </si>
  <si>
    <t>24'06:40"</t>
  </si>
  <si>
    <t>Inflammation of Pericardium - Inflammed Tonsils</t>
  </si>
  <si>
    <t>24"06'40"</t>
  </si>
  <si>
    <t>26"06'40"</t>
  </si>
  <si>
    <t>Marks on cheek - Jugular Veins - Dirty pimple</t>
  </si>
  <si>
    <t>26"06',40"</t>
  </si>
  <si>
    <t>27'53'20'</t>
  </si>
  <si>
    <t>Short of hair - Carotid artery - Adenoids - Goitre</t>
  </si>
  <si>
    <t>27"53'20"</t>
  </si>
  <si>
    <t>30'00'00"</t>
  </si>
  <si>
    <t>Face injury - Throat pain - Weak loins - Constipation -Venereal Disease - Polypous</t>
  </si>
  <si>
    <t>Gemini</t>
  </si>
  <si>
    <t>01"53'20"</t>
  </si>
  <si>
    <t>Shoulder injury - Defective vocal chord</t>
  </si>
  <si>
    <t>02'40'00"</t>
  </si>
  <si>
    <t>Thymus gland - Bad blood - Fever - Collar Bone troubles</t>
  </si>
  <si>
    <t>02"40'00"</t>
  </si>
  <si>
    <t>04"53'20"</t>
  </si>
  <si>
    <t>Throat trouble - Ear trouble - Itches - Disorders in sexual parts - Inflammation of Pericardium - Femur - Sciatica</t>
  </si>
  <si>
    <t>04'53'20"</t>
  </si>
  <si>
    <t>Trouble in Arms and Shoulders</t>
  </si>
  <si>
    <t>05"33'20"</t>
  </si>
  <si>
    <t>06'40'00"</t>
  </si>
  <si>
    <t>Troubles in Secret Parts - Throat - Thymus Glands – Inflammation - Boils</t>
  </si>
  <si>
    <t>08"40'00"</t>
  </si>
  <si>
    <t>Septic Throat - Easonophilia</t>
  </si>
  <si>
    <t>08'40'00"</t>
  </si>
  <si>
    <t>10"26'40"</t>
  </si>
  <si>
    <t xml:space="preserve">Ear trouble - Mumps </t>
  </si>
  <si>
    <t>12'33'20"</t>
  </si>
  <si>
    <t>Asthma - Pus in the ear</t>
  </si>
  <si>
    <t>12"33'20</t>
  </si>
  <si>
    <t>14"26'40"</t>
  </si>
  <si>
    <t>Hiccough - Ear trouble</t>
  </si>
  <si>
    <t>15"13'20"</t>
  </si>
  <si>
    <t>Throat trouble – Diphtheria</t>
  </si>
  <si>
    <t>17"26'40"</t>
  </si>
  <si>
    <t>Throat trouble - Ear trouble - Dry Cough</t>
  </si>
  <si>
    <t>Eosinophilia - Shoulder pains</t>
  </si>
  <si>
    <t>18'06',40"</t>
  </si>
  <si>
    <t>19"13',20"</t>
  </si>
  <si>
    <t>Ear trouble - Asthma</t>
  </si>
  <si>
    <t>19"13'20"</t>
  </si>
  <si>
    <t>20'00'00"</t>
  </si>
  <si>
    <t>Septic throat - Shoulder injury</t>
  </si>
  <si>
    <t>21"46'40"</t>
  </si>
  <si>
    <t>Swelling in the ear - Pulmonary apoplexy</t>
  </si>
  <si>
    <t>21'46'40"</t>
  </si>
  <si>
    <t>23'53'20"</t>
  </si>
  <si>
    <t xml:space="preserve">Injury in Shoulder Blade - Inflammation - Pain in the ear -  Iodine deficient - Trouble in upper lobe of lungs </t>
  </si>
  <si>
    <t>23"53'20"</t>
  </si>
  <si>
    <t>25"46',40"</t>
  </si>
  <si>
    <t>Hiccough - Asthma</t>
  </si>
  <si>
    <t>25"46'40"</t>
  </si>
  <si>
    <t>26'33'20"</t>
  </si>
  <si>
    <t>Pleurisy - Pneumonia - Pulmonary Apoplexy</t>
  </si>
  <si>
    <t>26"33',20"</t>
  </si>
  <si>
    <t>28"46'40"</t>
  </si>
  <si>
    <t>Bronchitis - Urine disorder</t>
  </si>
  <si>
    <t>29"26'40"</t>
  </si>
  <si>
    <t xml:space="preserve">Throat trouble - Pus in the ear - Bronchitis - Eosinophilia </t>
  </si>
  <si>
    <t xml:space="preserve">Pleurisy - Pneumonia </t>
  </si>
  <si>
    <t>Cancer</t>
  </si>
  <si>
    <t>00"33'20"</t>
  </si>
  <si>
    <t>Tuberculosis - Lungs and Chest trouble - Dropsy - Beriberi - Bad blood - Jaundice</t>
  </si>
  <si>
    <t>01"20'00"</t>
  </si>
  <si>
    <t>Pancreas - Diaphragm - Beriberi - Loss of appetite - Bad blood - Liver Troubles</t>
  </si>
  <si>
    <t>07"20'00"</t>
  </si>
  <si>
    <t>03'20'00"</t>
  </si>
  <si>
    <t xml:space="preserve">Oesophagus - Thoracic and Stomach troubles - Tuberculosis - Dyspepsia </t>
  </si>
  <si>
    <t>03"20',00"</t>
  </si>
  <si>
    <t>05"26'40"</t>
  </si>
  <si>
    <t xml:space="preserve">Tuberculosis - Lungs and ribs - Cancer - Eczema - Pyorrhoea </t>
  </si>
  <si>
    <t>Both lungs - Nausea - Phthisis – Dyspepsia</t>
  </si>
  <si>
    <t>08"06'40"</t>
  </si>
  <si>
    <t xml:space="preserve">Galloping T.B. - Bleaching - Scurvy - Jaundice - Pyorrhoea </t>
  </si>
  <si>
    <t>08'06'40"</t>
  </si>
  <si>
    <t>10"20',00"</t>
  </si>
  <si>
    <t xml:space="preserve">Chest wounds - Cough - Eczema </t>
  </si>
  <si>
    <t>10"20'00"</t>
  </si>
  <si>
    <t>11"00'00'</t>
  </si>
  <si>
    <t xml:space="preserve">Ulcer in Respiratory Organs - Galstone </t>
  </si>
  <si>
    <t>11"00',00',</t>
  </si>
  <si>
    <t>12"06'40'</t>
  </si>
  <si>
    <t xml:space="preserve">Tuberculosis - Nausea - Obstructions - Cancer </t>
  </si>
  <si>
    <t>12"06'40',</t>
  </si>
  <si>
    <t>12"53'20"</t>
  </si>
  <si>
    <t xml:space="preserve">Ulcer in Respiratory organs - Injury in ribs - Gastric ulcer - Chest wounds </t>
  </si>
  <si>
    <t>12"53',20"</t>
  </si>
  <si>
    <t>14"53',20"</t>
  </si>
  <si>
    <t>Galstone - Tuberculosis - Cancer – Hiccough</t>
  </si>
  <si>
    <t>16"40'00"</t>
  </si>
  <si>
    <t>Gastric trouble - Ulcer in chest – Jaundice</t>
  </si>
  <si>
    <t>16"40',00"</t>
  </si>
  <si>
    <t>18"33',21"</t>
  </si>
  <si>
    <t xml:space="preserve">Defective stomach and lungs - Gas trouble - Difficult breathing - Hysteria - Vit B deficiency </t>
  </si>
  <si>
    <t>18"33',21,"</t>
  </si>
  <si>
    <t>19"20',00"</t>
  </si>
  <si>
    <t xml:space="preserve">Hysteria - Liver troubles </t>
  </si>
  <si>
    <t>21"33',20"</t>
  </si>
  <si>
    <t>Hypochondria - Dropsy – Windiness</t>
  </si>
  <si>
    <t>22"13',20"</t>
  </si>
  <si>
    <t>Indigestion - Liver troubles - Constipation - Jaundice</t>
  </si>
  <si>
    <t>23"20',00</t>
  </si>
  <si>
    <t>Cold - Hysteria - Oedema</t>
  </si>
  <si>
    <t>24"06',40"</t>
  </si>
  <si>
    <t xml:space="preserve">Flatulence - Nephritis - Pain in Stomach - Ulcer </t>
  </si>
  <si>
    <t xml:space="preserve">Typhoid - Jaundice - Vitamin B Deficiency </t>
  </si>
  <si>
    <t xml:space="preserve">Breathing trouble - Pancreas - Liver trouble - Dropsy - Beriberi </t>
  </si>
  <si>
    <t xml:space="preserve">Trouble in Stomach - Trouble in lungs - Pains in knees and legs - Phlegm - Vitamin B Deficiency </t>
  </si>
  <si>
    <t>Leo</t>
  </si>
  <si>
    <t xml:space="preserve">Heart diseases - Palpitation - Giddiness - Congestion </t>
  </si>
  <si>
    <t xml:space="preserve">Spinal Meningitis - Epilepsy - Swelling - Leukoderma - Leprosy </t>
  </si>
  <si>
    <t xml:space="preserve">Thrombosis - Sun-stroke - Unconscious - Eye trouble </t>
  </si>
  <si>
    <t>03"40'00"</t>
  </si>
  <si>
    <t>04"46'40',</t>
  </si>
  <si>
    <t xml:space="preserve">Boils - Thrombosis - Headache - Trouble in Aorta - Neuralgia - Regurgitation in heart </t>
  </si>
  <si>
    <t>04"46',40',</t>
  </si>
  <si>
    <t>Epilepsy - Heart disease - Locomotor Ataxia - Inter-spinal muscles - Spinal marrow</t>
  </si>
  <si>
    <t xml:space="preserve">Blood poisoning - Meningitis - Dorsal vertebrae </t>
  </si>
  <si>
    <t>Cancer - Congestion - Regurgitation - Enlargement of Heart</t>
  </si>
  <si>
    <t xml:space="preserve">Rheumatic fever - Rheumatic Heart - Affliction of bony system - Chronic ailment - High fever - Smallpox - Irregular menses - defect in generative system - Abortion - Childless </t>
  </si>
  <si>
    <t>11"26',40"</t>
  </si>
  <si>
    <t xml:space="preserve">Nervous trouble - Palpitation of heart - Meningities - Giddiness – Pestilence - Barren - Childless </t>
  </si>
  <si>
    <t>Eye defect</t>
  </si>
  <si>
    <t>Eye defect - Palpitation of heart - Bright’s Disease</t>
  </si>
  <si>
    <t>17'20',00"</t>
  </si>
  <si>
    <t xml:space="preserve">Diseases of Ovaries - Enlarged Tonsils - Mucous Disease </t>
  </si>
  <si>
    <t>17"20'00"</t>
  </si>
  <si>
    <t>Venereal Disease - Cataract</t>
  </si>
  <si>
    <t xml:space="preserve">Eye soar - Reddish eyes </t>
  </si>
  <si>
    <t xml:space="preserve">Bad blood - Blood obstructions - Fever - Boils - Tumours - Inflammations </t>
  </si>
  <si>
    <t>21"53',20"</t>
  </si>
  <si>
    <t xml:space="preserve">Weakness - Poisoning - Pain in the ducts </t>
  </si>
  <si>
    <t>24"00'00"</t>
  </si>
  <si>
    <t>25"53'20'</t>
  </si>
  <si>
    <t xml:space="preserve">Palpitation of Heart - Pains in the back - Nervous debility </t>
  </si>
  <si>
    <t xml:space="preserve">Cataract - Nose trouble </t>
  </si>
  <si>
    <t xml:space="preserve">Brain fever - Heart trouble - Palpitation of heart - spinal trouble - spinal meningitis - Sub-stroke - Eye trouble - Typhoid </t>
  </si>
  <si>
    <t>27"20'00"</t>
  </si>
  <si>
    <t>28"26'40"</t>
  </si>
  <si>
    <t>Blood Pressure - Dropsy - Facial eruption - Poxes - Dysentery - Boils – Pustulation</t>
  </si>
  <si>
    <t>29'13'20"</t>
  </si>
  <si>
    <t xml:space="preserve">Pain in back - Venereal Distemper - Cardinal thrombosis - Pain in head - Epilepsy - Meningitis - Fits - Injury in head and chest </t>
  </si>
  <si>
    <t>29"13'20'</t>
  </si>
  <si>
    <t>Heart disease - Giddiness - Higher Fever - Palpitation - Regurgitation – Plague</t>
  </si>
  <si>
    <t>Virgo</t>
  </si>
  <si>
    <t>00'00'00"</t>
  </si>
  <si>
    <t>01'13'20"</t>
  </si>
  <si>
    <t>Intestinal and Abdominal troubles - Typhoid - Cough due to Gas - Nervous debility</t>
  </si>
  <si>
    <t>L07</t>
  </si>
  <si>
    <t>01"13'20"</t>
  </si>
  <si>
    <t>Flatulence - Over eating - Poor assimilation of food</t>
  </si>
  <si>
    <t xml:space="preserve">Worms - Tapeworm - Anaemic </t>
  </si>
  <si>
    <t xml:space="preserve">Nervous breakdown - Ulcer in stomach and mouth - Irregular food. </t>
  </si>
  <si>
    <t>07"46',40"</t>
  </si>
  <si>
    <t xml:space="preserve">Food poisoning - Diarrhoea - Sprue </t>
  </si>
  <si>
    <t>07'46'40"</t>
  </si>
  <si>
    <t>10'00'00"</t>
  </si>
  <si>
    <t xml:space="preserve">Nervous debility - Vitamin B deficiency - Gastric trouble </t>
  </si>
  <si>
    <t>Intestine and Chest troubles - Hypochondria - Chyle defective</t>
  </si>
  <si>
    <t>11'06'40"</t>
  </si>
  <si>
    <t xml:space="preserve">Bleeding Piles - Irrigation - Ulcer in intestines </t>
  </si>
  <si>
    <t xml:space="preserve">Typhoid - Jaundice </t>
  </si>
  <si>
    <t xml:space="preserve">Diarrhoea - Cancer in intestines - Poor assimilation </t>
  </si>
  <si>
    <t>17"46',40"</t>
  </si>
  <si>
    <t xml:space="preserve">Constipation - Flatulence - Pain - Chronic Disease - Gas trouble </t>
  </si>
  <si>
    <t>Poor digestion - Irregular food - Bowels disorder</t>
  </si>
  <si>
    <t>20"26',40"</t>
  </si>
  <si>
    <t xml:space="preserve">Dull Liver - Hysteria </t>
  </si>
  <si>
    <t xml:space="preserve">Round worms - Worms - Bowels disorder </t>
  </si>
  <si>
    <t>23"20',00"</t>
  </si>
  <si>
    <t xml:space="preserve">Dull Liver - Poor digestion - Jaundice </t>
  </si>
  <si>
    <t>23'20'00"</t>
  </si>
  <si>
    <t xml:space="preserve">Ulcer in intestine - Duodenal Ulcer - Careful in diet </t>
  </si>
  <si>
    <t>24'06'40"</t>
  </si>
  <si>
    <t>26'06'40"</t>
  </si>
  <si>
    <t xml:space="preserve">Dirty pimples - Trouble in veins </t>
  </si>
  <si>
    <t>27'53'20"</t>
  </si>
  <si>
    <t xml:space="preserve">Cancer - Fattiness </t>
  </si>
  <si>
    <t xml:space="preserve">Hook worms - Constipation - Bad Health - Chronic Disease </t>
  </si>
  <si>
    <t>Libra</t>
  </si>
  <si>
    <t>01"53',20"</t>
  </si>
  <si>
    <t xml:space="preserve">Hernia - Removal of Uterus </t>
  </si>
  <si>
    <t xml:space="preserve">Spinal affection - Ulcer </t>
  </si>
  <si>
    <t xml:space="preserve">Appendicitis </t>
  </si>
  <si>
    <t>04"53',20"</t>
  </si>
  <si>
    <t xml:space="preserve">Ulcer in Urinary tract - Sexual urge </t>
  </si>
  <si>
    <t>06"40'00"</t>
  </si>
  <si>
    <t xml:space="preserve">Periods trouble in Women - Susceptible to all diseases </t>
  </si>
  <si>
    <t>08'40'00'</t>
  </si>
  <si>
    <t xml:space="preserve">Urinary trouble - Appendicitis </t>
  </si>
  <si>
    <t>08"40'00'</t>
  </si>
  <si>
    <t>10"26',40"</t>
  </si>
  <si>
    <t>Moles - Skin trouble - Ear trouble – Mumps</t>
  </si>
  <si>
    <t>12"33'20"</t>
  </si>
  <si>
    <t xml:space="preserve">Appendicitis - Pus in the ear </t>
  </si>
  <si>
    <t xml:space="preserve">Hiccough - Urinary trouble </t>
  </si>
  <si>
    <t>14'26'40"</t>
  </si>
  <si>
    <t xml:space="preserve">Appendicitis - Eczema - Leprosy </t>
  </si>
  <si>
    <t>Ear trouble - Hernia - Urinary trouble</t>
  </si>
  <si>
    <t>18"06'40"</t>
  </si>
  <si>
    <t xml:space="preserve">Pain in Hips - Skin trouble - Hernia </t>
  </si>
  <si>
    <t>18'06'40"</t>
  </si>
  <si>
    <t>19'13'20"</t>
  </si>
  <si>
    <t xml:space="preserve">Ulcer in Uterus - Eczema </t>
  </si>
  <si>
    <t>20"00'00"</t>
  </si>
  <si>
    <t xml:space="preserve">Skin and Kidney trouble - Leprosy </t>
  </si>
  <si>
    <t xml:space="preserve">Cancer - Hernia - Enlargement of glands in lower abdominal region </t>
  </si>
  <si>
    <t xml:space="preserve">Chronic diseases - Kidney - Loins trouble - Removal of Uterus </t>
  </si>
  <si>
    <t xml:space="preserve">Skin eruptions - Diabetes - Kidney troubles </t>
  </si>
  <si>
    <t>26"33'20"</t>
  </si>
  <si>
    <t xml:space="preserve">Abortion - Bladder and Rectum troubles </t>
  </si>
  <si>
    <t xml:space="preserve">Diabetes - Renal abscess - Kidney trouble </t>
  </si>
  <si>
    <t>29'26'40"</t>
  </si>
  <si>
    <t xml:space="preserve">Renal Abscess - Giddiness -Nervousness - Liver complaints - Weak chest and stomach </t>
  </si>
  <si>
    <t xml:space="preserve">Troubles in Kidney and Bladder - Pus in urine </t>
  </si>
  <si>
    <t>Scorpio</t>
  </si>
  <si>
    <t>00"33',20"</t>
  </si>
  <si>
    <t xml:space="preserve">Disease in bladder - Profuse bleeding </t>
  </si>
  <si>
    <t xml:space="preserve">Prostrate glands - Venereal Distemper </t>
  </si>
  <si>
    <t>03"20'00"</t>
  </si>
  <si>
    <t xml:space="preserve">Urinary infection - Excess of bleeding - Urethral Abscess </t>
  </si>
  <si>
    <t>05"26',40"</t>
  </si>
  <si>
    <t xml:space="preserve">Piles - Ovary diseases - Scanty monthly flow to ladies </t>
  </si>
  <si>
    <t xml:space="preserve">Gravel stone in bladder - Adenoids </t>
  </si>
  <si>
    <t xml:space="preserve">Pain in hips - Naval bones - Cuts and wounds in Rectum - Boils around sexual organs </t>
  </si>
  <si>
    <t xml:space="preserve">Venereal distemper - Boils - Constipation - Piles - Phlegm fracture of naval bone </t>
  </si>
  <si>
    <t>11"00'00"</t>
  </si>
  <si>
    <t xml:space="preserve">Diseases of generative organs - Boils - Itches around rectum </t>
  </si>
  <si>
    <t>11'00'00"</t>
  </si>
  <si>
    <t>12"06'40"</t>
  </si>
  <si>
    <t xml:space="preserve">Pus in wounds and cuts - gonorrhoea - Chronic ailment - Renal stone </t>
  </si>
  <si>
    <t>12'06'40"</t>
  </si>
  <si>
    <t xml:space="preserve">Bleeding piles - Boils - Chronic ailments - Stone in bladder - Bone fracture </t>
  </si>
  <si>
    <t>14"53'20"</t>
  </si>
  <si>
    <t xml:space="preserve">Diseases of Rectum and Genitals - Syphilis - Pus in Genitals </t>
  </si>
  <si>
    <t>14'53',20"</t>
  </si>
  <si>
    <t xml:space="preserve">Cancer - Incurable diseases in sex organs </t>
  </si>
  <si>
    <t>18"33',20"</t>
  </si>
  <si>
    <t xml:space="preserve">Nervous break down of the genitals - Hernia - Piles </t>
  </si>
  <si>
    <t>18"33'20"</t>
  </si>
  <si>
    <t>19"20'00"</t>
  </si>
  <si>
    <t xml:space="preserve">Itches - Boils around Sex organs and Rectum </t>
  </si>
  <si>
    <t xml:space="preserve">Fistula - Venereal Distemper - Complicated diseases around navel and sex organs </t>
  </si>
  <si>
    <t>21"33'20"</t>
  </si>
  <si>
    <t xml:space="preserve">Violent Hysteria - Sperm around genitals </t>
  </si>
  <si>
    <t xml:space="preserve">Fistula - Bleeding piles - Fisher in rectum </t>
  </si>
  <si>
    <t xml:space="preserve">Stone in Bladder - Kidney - surgery in womb or ovaries </t>
  </si>
  <si>
    <t xml:space="preserve">Typhoid - Boils around rectum - Pus in genitals - Injury in hip bones </t>
  </si>
  <si>
    <t xml:space="preserve">Incurable and complicated disease - Cancer in genitals </t>
  </si>
  <si>
    <t xml:space="preserve">Injury in Hip bones - Chronic Piles - Stone in Bladder </t>
  </si>
  <si>
    <t>Sagittarius</t>
  </si>
  <si>
    <t>00'46'40"</t>
  </si>
  <si>
    <t xml:space="preserve">Delayed menses - Barren - Abortion - Lung troubles - Asthma - Hiccough </t>
  </si>
  <si>
    <t>00"46'40</t>
  </si>
  <si>
    <t xml:space="preserve">Diabetes - Lumbago - Pulmonary troubles </t>
  </si>
  <si>
    <t xml:space="preserve">Lumbago - Hip troubles - Pulmonary diseases </t>
  </si>
  <si>
    <t>03"40',00"</t>
  </si>
  <si>
    <t xml:space="preserve">TB - Pulmonary trouble - Locomotor Locomotor Ataxia </t>
  </si>
  <si>
    <t>04'46'40"</t>
  </si>
  <si>
    <t>05'53'20"</t>
  </si>
  <si>
    <t xml:space="preserve">Invalid - Eosinophilia - Blood poison - Abortion </t>
  </si>
  <si>
    <t>05"53'20"</t>
  </si>
  <si>
    <t xml:space="preserve">TB - Pulmonary trouble - Lumbago </t>
  </si>
  <si>
    <t xml:space="preserve">Lumbago - trouble in lungs - cancer </t>
  </si>
  <si>
    <t xml:space="preserve">Fracture in Hip - Rheumatic Pain - Asthma </t>
  </si>
  <si>
    <t>13'20'00"</t>
  </si>
  <si>
    <t>Trouble in lungs - Asthma - Locomotor Ataxia</t>
  </si>
  <si>
    <t>Diabetes</t>
  </si>
  <si>
    <t xml:space="preserve">Hiccough - Gout - Swelling on the knee </t>
  </si>
  <si>
    <t>Ear trouble - Pus in the ear - Diabetes - TB - Slow recovery</t>
  </si>
  <si>
    <t xml:space="preserve">Vomiting of Blood - Swelling above the knee </t>
  </si>
  <si>
    <t>20'06'40"</t>
  </si>
  <si>
    <t>Sacral and Spinal troubles - Diseases in veins - Cancer in lungs</t>
  </si>
  <si>
    <t>21'53'20"</t>
  </si>
  <si>
    <t>Cancer in lungs - diabetes - Trouble in knee and thigh bones</t>
  </si>
  <si>
    <t>24'00'00"</t>
  </si>
  <si>
    <t xml:space="preserve">Asthma - Fracture of hips and bones - Weak sperms - Abortions </t>
  </si>
  <si>
    <t xml:space="preserve">Nervous break down of thighs and hips - Diabetes </t>
  </si>
  <si>
    <t>25"53',20"</t>
  </si>
  <si>
    <t>Sacral and Spinal troubles - Pain in thighs &amp; hips</t>
  </si>
  <si>
    <t>26'40'00"</t>
  </si>
  <si>
    <t xml:space="preserve">Trouble in thighs - Eye diseases </t>
  </si>
  <si>
    <t xml:space="preserve">Sudden death - Bleeding Piles - trouble in bowels </t>
  </si>
  <si>
    <t>28"26'40</t>
  </si>
  <si>
    <t xml:space="preserve">Injuries - Venereal Distemper - High fever - Fracture in arms </t>
  </si>
  <si>
    <t>29"13'20"</t>
  </si>
  <si>
    <t xml:space="preserve">Complicated troubles in thighs and arteries - Paralysis </t>
  </si>
  <si>
    <t>Capricorn</t>
  </si>
  <si>
    <t xml:space="preserve">Trouble in knee caps - Injuries - Fracture of thigh bones </t>
  </si>
  <si>
    <t xml:space="preserve">Trouble in knee cap - Chronic Gout - Cancer in Chest </t>
  </si>
  <si>
    <t>Ever in danger - Bone diseases - Chronic ailments - Bushy eye brows and profuse hair growth - Eosinophilia - Pneumonia - Heart failure – Thin – Lean</t>
  </si>
  <si>
    <t>07'00'00"</t>
  </si>
  <si>
    <t xml:space="preserve">Chronic sickness - Nervous debility - Affected speech - Asthma - Heart attack </t>
  </si>
  <si>
    <t xml:space="preserve">Heart attack - Congestion in heart - Infantile death - Uncertain heart beat </t>
  </si>
  <si>
    <t xml:space="preserve">Fair - Chronic Skin Diseases - Trouble in knee cap </t>
  </si>
  <si>
    <t>Short life - Pus in knee cap - Gout - Dislocation of knee cap - Water in lower part of lungs -Pus in chest - Injury in nibs</t>
  </si>
  <si>
    <t xml:space="preserve">Accidents - Injuries - Trouble in knee caps - Blood poison - Blood clotting in heart - Deficiency of blood Corpuscles </t>
  </si>
  <si>
    <t>11'53'20"</t>
  </si>
  <si>
    <t xml:space="preserve">Eczema - Leprosy - TB - Digestive troubles </t>
  </si>
  <si>
    <t>Cancer in lung - Lymphatic trouble - Skin diseases</t>
  </si>
  <si>
    <t xml:space="preserve">Short life - Pus in lungs - Injury to knee &amp; lungs - Profuse hair growth on head and breast </t>
  </si>
  <si>
    <t>15'40',00"</t>
  </si>
  <si>
    <t xml:space="preserve">Nervous weakness - Chronic mental patient - Stomach pain disorder </t>
  </si>
  <si>
    <t>17"46',40</t>
  </si>
  <si>
    <t>19"40',00"</t>
  </si>
  <si>
    <t xml:space="preserve">Infantile death - Knee trouble - Skin diseases - Eczema - Boils - Ugly skin </t>
  </si>
  <si>
    <t>19'40',00"</t>
  </si>
  <si>
    <t>20"46'40"</t>
  </si>
  <si>
    <t>22"40',00"</t>
  </si>
  <si>
    <t xml:space="preserve">Diabetes - Pus in bones - TB - Poor digestion </t>
  </si>
  <si>
    <t>Short life - Heart attack - Eosinophilia - Chronic headache - Injury to knees - Pus in knee cap</t>
  </si>
  <si>
    <t xml:space="preserve">Injury to knee - Deficiency of Red Corpuscles - Anaemia </t>
  </si>
  <si>
    <t xml:space="preserve">Pain in knee cap - Bone troubles - Injury to legs - Dry cough - gout - Amputation </t>
  </si>
  <si>
    <t xml:space="preserve">Hiccough - Gout - Pain in bones - Cancer in bones </t>
  </si>
  <si>
    <t xml:space="preserve">Bones and Knees trouble - Boils - Gout - chronic bone ailments </t>
  </si>
  <si>
    <t>Aquarius</t>
  </si>
  <si>
    <t xml:space="preserve">Arthritis - Running pain in body - Rheumatism - Bowels disorder </t>
  </si>
  <si>
    <t xml:space="preserve">Leg Fracture - Varicose Veins - Cardiac troubles </t>
  </si>
  <si>
    <t>Pain and swelling in legs and knees - Heart troubles</t>
  </si>
  <si>
    <t>04"53'20'</t>
  </si>
  <si>
    <t xml:space="preserve">Blood inflammation - Renal Disorder - Gravel - Stones - Strangury </t>
  </si>
  <si>
    <t>06"40'20"</t>
  </si>
  <si>
    <t xml:space="preserve">Hysteria - Boils - Swellings - Pain in legs and Secret parts </t>
  </si>
  <si>
    <t xml:space="preserve">Pain in knees - Rheumatism </t>
  </si>
  <si>
    <t>12"33',20',</t>
  </si>
  <si>
    <t xml:space="preserve">Asthma - Pus in bones - Palpitation of heart </t>
  </si>
  <si>
    <t xml:space="preserve">Nervous troubles in the leg - Eczema - Injury to calf-muscles </t>
  </si>
  <si>
    <t xml:space="preserve">Septic wounds in legs - Swelling in calf muscles </t>
  </si>
  <si>
    <t xml:space="preserve">Pain in Ankles - calf muscles - Oozing Eczema - Fracture - Disfiguration of calf muscles </t>
  </si>
  <si>
    <t xml:space="preserve">Pain in knees and legs - Boils on calf muscles </t>
  </si>
  <si>
    <t xml:space="preserve">Eczema - Blood Pressure - Palpitation of heart </t>
  </si>
  <si>
    <t xml:space="preserve">Fracture in legs - Waste of blood - Blood Pressure </t>
  </si>
  <si>
    <t xml:space="preserve">Lumbago - Hip pains - Cancer in legs </t>
  </si>
  <si>
    <t>21"46',40"</t>
  </si>
  <si>
    <t xml:space="preserve">Head the Teeth disorder - Lumbago - Hip pains - Ear troubles - Swelling in in legs - Bruises - Sore throat </t>
  </si>
  <si>
    <t>23"53',20"</t>
  </si>
  <si>
    <t xml:space="preserve">Windy pain in the body - Changing from one place to the other - Imaginative - Digestive troubles </t>
  </si>
  <si>
    <t xml:space="preserve">Eczema in ankles - heart trouble - Ugly itches and boils </t>
  </si>
  <si>
    <t xml:space="preserve">Indigestion - Pain in Stomach - Flatulence - Appendicitis - Heart afflicted </t>
  </si>
  <si>
    <t>Enlarged Heart - Palpitation - Low Blood Pressure - Graves</t>
  </si>
  <si>
    <t>29"26',40"</t>
  </si>
  <si>
    <t xml:space="preserve">Epilepsy - Hysteria - Fits - Lumbago - Pain in Lower abdomen - Irregular Menses </t>
  </si>
  <si>
    <t>Pisces</t>
  </si>
  <si>
    <t xml:space="preserve">Liver trouble - Tumour in abdomen - Trouble in intestine </t>
  </si>
  <si>
    <t xml:space="preserve">Enlarged liver - Hernia - Jaundice - Corns in hands and feet </t>
  </si>
  <si>
    <t>Sudden pain in feet and toes - Gout - Swelling - Hernia - Sprue - Abdominal Tumour</t>
  </si>
  <si>
    <t xml:space="preserve">Chronic ailments in feet - Constipation - Flatulence - dropsy </t>
  </si>
  <si>
    <t>05'26'40"</t>
  </si>
  <si>
    <t xml:space="preserve">Malaria - Round Worms - Hook Worms </t>
  </si>
  <si>
    <t>07"20'o0"</t>
  </si>
  <si>
    <t xml:space="preserve">Dropsy - Rheumatic pains in feet - Flatulence - Ugly itches in foot </t>
  </si>
  <si>
    <t>10'20'00"</t>
  </si>
  <si>
    <t xml:space="preserve">Chronic ailment - Internal parts damaged - Pus in feet - Ailments </t>
  </si>
  <si>
    <t xml:space="preserve">Sunstroke - Boils in feet </t>
  </si>
  <si>
    <t>Lymphatic troubles - Intestinal disorders - Varicose veins - constipation complaints of liquor</t>
  </si>
  <si>
    <t>12'53',20"</t>
  </si>
  <si>
    <t xml:space="preserve">Small-pox - Ulcer in intestine - Hernia - Appendicitis </t>
  </si>
  <si>
    <t xml:space="preserve">Rheumatic pains - Hernia - Dropsy - TB </t>
  </si>
  <si>
    <t>16'40'00"</t>
  </si>
  <si>
    <t xml:space="preserve">Impotency - Constipation - Nausea - Cancer </t>
  </si>
  <si>
    <t xml:space="preserve">Vitamin 'B’ deficiency - Lack of enzymes - Dyspepsia </t>
  </si>
  <si>
    <t xml:space="preserve">Eczema in feet and toes - Deformity of feet - Cramps - Gout - Intestinal disorders </t>
  </si>
  <si>
    <t>21"33'20'</t>
  </si>
  <si>
    <t xml:space="preserve">Eye diseases - Nervous disorders - Hysteria - Injuries </t>
  </si>
  <si>
    <t>22"13'20"</t>
  </si>
  <si>
    <t xml:space="preserve">Eye diseases - Heart afflicted - Hypertension - Low Blood Pressure - Cardiac, thrombosis - Fever - Typhoid - Epilepsy - Sunstroke </t>
  </si>
  <si>
    <t xml:space="preserve">Nervous and Digestive troubles - Eye troubles - Asthma - Cold - Cough - Colic pain - Worms - Typhoid - Gastric troubles </t>
  </si>
  <si>
    <t>Fits - Epilepsy - Brain disorders - Piles – Tissues</t>
  </si>
  <si>
    <t>26"06'40'</t>
  </si>
  <si>
    <t xml:space="preserve">Abdominal disorders - Sudden pain in feet and toes - Ulcer in stomach - Jaundice </t>
  </si>
  <si>
    <t>jupiter</t>
  </si>
  <si>
    <t xml:space="preserve">Dyspepsia - Heart trouble - Liver complaints - Jaundice - Abscess - Dermatitis - Catarrh - Carbuncles </t>
  </si>
  <si>
    <t>27"53'20</t>
  </si>
  <si>
    <t xml:space="preserve">Ear trouble - Deafness - Pus in the ear - Defective speech - Paralysis </t>
  </si>
  <si>
    <t>3rd Mindset</t>
  </si>
  <si>
    <t xml:space="preserve">Fears - Anxiety - Jealousy </t>
  </si>
  <si>
    <t>worried about other women</t>
  </si>
  <si>
    <t xml:space="preserve">Effeminate </t>
  </si>
  <si>
    <t>Worries about lands and cultivation, Dispute in the family</t>
  </si>
  <si>
    <t>Dispute and Violence</t>
  </si>
  <si>
    <t xml:space="preserve">Irritable and quarrel-some - Fear of black magic </t>
  </si>
  <si>
    <t xml:space="preserve">Accident Prone - Fearful of Law - Fear of animals - Averse to blood </t>
  </si>
  <si>
    <t>Fear of black magic - Argumentative - Adament</t>
  </si>
  <si>
    <t xml:space="preserve">Quarrel-some </t>
  </si>
  <si>
    <t>Amourous and fond of pleasure and chain- smoker.</t>
  </si>
  <si>
    <t>Bad habits - Will carry-out his affairs to the end -Magnanimous</t>
  </si>
  <si>
    <t>Fond of hot - drinks - avaricious and wanting it character - Clever.</t>
  </si>
  <si>
    <t>Ever active and healthy - Fond of pleasure.</t>
  </si>
  <si>
    <t>Aspiring and low-born</t>
  </si>
  <si>
    <t xml:space="preserve">Escapes of accidents - Indulges in pleasure - Clever - Happy - Higher studies and wisdom </t>
  </si>
  <si>
    <t>Low-born - Fond of other ladies -Meet with accidents.</t>
  </si>
  <si>
    <t>Wavering</t>
  </si>
  <si>
    <t>Thief - Sharp - Eye for detail</t>
  </si>
  <si>
    <t>Bold – Active</t>
  </si>
  <si>
    <t xml:space="preserve">Muscular - Pushy type - and competitive nature </t>
  </si>
  <si>
    <t xml:space="preserve">Robust health - Commanding - Argumentative </t>
  </si>
  <si>
    <t>Commanding - Eat much - Fond of other's wives</t>
  </si>
  <si>
    <t>Speculative – Selfish</t>
  </si>
  <si>
    <t xml:space="preserve">Social – Generous - Cheerful - Wins enemies </t>
  </si>
  <si>
    <t>Selfish - dishonest - Loss by bad debts</t>
  </si>
  <si>
    <t>Intelligent - Cheerful - Fit for business - Creative ability</t>
  </si>
  <si>
    <t xml:space="preserve">Discourteous - ill-repute - inimical - Jealous </t>
  </si>
  <si>
    <t>Speculative mind - Popular - Prosperous</t>
  </si>
  <si>
    <t>Pleasing manners - Sweet voice - Lovely appearance</t>
  </si>
  <si>
    <t>Fond of other sex – Aggressive</t>
  </si>
  <si>
    <t>Unsettled mind - Lack of manners - Lives on other's money</t>
  </si>
  <si>
    <t>Sympathetic - Steady - Maternal affection - Charm – Higher Education</t>
  </si>
  <si>
    <t>Selfish - Timid - Mischievous - Stealthy</t>
  </si>
  <si>
    <t>Enjoyment nature - Speaker - Agreeable on both sides</t>
  </si>
  <si>
    <t>Wavering - Worried - Fear Complex</t>
  </si>
  <si>
    <t xml:space="preserve">Charm - Sweet talk - Humorous - Imaginative </t>
  </si>
  <si>
    <t>Light reading - Sex with many women</t>
  </si>
  <si>
    <t>Excited - One sided sex - Selfish</t>
  </si>
  <si>
    <t>Lack of manners</t>
  </si>
  <si>
    <t>Good manners - Learned</t>
  </si>
  <si>
    <t>Shameless - Naughty</t>
  </si>
  <si>
    <t>Alert - Energetic</t>
  </si>
  <si>
    <t>Excited - Bad talks</t>
  </si>
  <si>
    <t>Quick - Imaginative - Sharp - Wealthy - Sexy</t>
  </si>
  <si>
    <t>Excited - Fluent - Eloquent</t>
  </si>
  <si>
    <t>Impulsive and mischievous</t>
  </si>
  <si>
    <t>Liar - Ungrateful - Sinful</t>
  </si>
  <si>
    <t>Ingenious - Scholar - Character-Reader</t>
  </si>
  <si>
    <t>Cheating nature - Poor Education</t>
  </si>
  <si>
    <t>Active – Critical</t>
  </si>
  <si>
    <t>Cruel - Rogue - Ungrateful - Petition writer – Childless</t>
  </si>
  <si>
    <t>Ingenious – Humorous</t>
  </si>
  <si>
    <t>Cruel - Perfidious - Art of Boggling</t>
  </si>
  <si>
    <t>Intuition – Thief</t>
  </si>
  <si>
    <t>Murderer - Lobber - Rogue – Mischievous</t>
  </si>
  <si>
    <t>Broad outlook - Proper Judgement - True and Rich</t>
  </si>
  <si>
    <t>Wise – Sincere</t>
  </si>
  <si>
    <t xml:space="preserve">Active - Ingenious - Scholar </t>
  </si>
  <si>
    <t>Religious - Poor Judgement - Pessimistic - Worried</t>
  </si>
  <si>
    <t xml:space="preserve">Good memory - Proper judgment - Intelligent - easily convinced </t>
  </si>
  <si>
    <t xml:space="preserve">Broad outlook - Clear in thought </t>
  </si>
  <si>
    <t>Good Memory - Intuition</t>
  </si>
  <si>
    <t>Imaginative - Honest - Forging nature – Sympathetic</t>
  </si>
  <si>
    <t xml:space="preserve">Lover of beauty - Good argument -good vitality and fertility - Rich </t>
  </si>
  <si>
    <t xml:space="preserve">Reliable - Compassionate </t>
  </si>
  <si>
    <t>Self reliance - Intelligent – Systematic</t>
  </si>
  <si>
    <t xml:space="preserve">Timid and Fear complex </t>
  </si>
  <si>
    <t>Prudent and Careful - Liked by all - Wealthy</t>
  </si>
  <si>
    <t xml:space="preserve">Learned - Methodical - Attains Positions of Trust </t>
  </si>
  <si>
    <t xml:space="preserve">Attentive - Contemplative </t>
  </si>
  <si>
    <t>Cold - Grounded - Earthy - Loves hair</t>
  </si>
  <si>
    <t>Fearing - Irresponsible</t>
  </si>
  <si>
    <t xml:space="preserve">Economical - Conservative - Wealthy - Virtuous </t>
  </si>
  <si>
    <t>Versatile - Quick wits. - Mimicry - clown - Fond of travel – Hypocrite</t>
  </si>
  <si>
    <t xml:space="preserve">Learns all languages - Ungrateful - Sinful - Failures </t>
  </si>
  <si>
    <t xml:space="preserve">Drunkenness - Imitate others in music, art - insincere - Fond of other's company and Picnic </t>
  </si>
  <si>
    <t xml:space="preserve">Nervous - Timid </t>
  </si>
  <si>
    <t xml:space="preserve">Versatile - Mimicry - Drunkenness </t>
  </si>
  <si>
    <t xml:space="preserve">Correspondent - Travel Agents </t>
  </si>
  <si>
    <t xml:space="preserve">Copious in speech - Fond of Travel </t>
  </si>
  <si>
    <t xml:space="preserve">Learns art and literature - fond of Travel - Grateful </t>
  </si>
  <si>
    <t xml:space="preserve">Windiness - Deceitful - Underhand dealings </t>
  </si>
  <si>
    <t xml:space="preserve">Selfish - Fearing - Dreams </t>
  </si>
  <si>
    <t xml:space="preserve">Pleasing - Good manners </t>
  </si>
  <si>
    <t>Truthful - Reserved</t>
  </si>
  <si>
    <t xml:space="preserve">Confused - Brooding over </t>
  </si>
  <si>
    <t xml:space="preserve">Like disputes and litigations </t>
  </si>
  <si>
    <t xml:space="preserve">Black magic - Fear - depression - Disharmony </t>
  </si>
  <si>
    <t xml:space="preserve">Religious - Philosophical - Learned </t>
  </si>
  <si>
    <t>Slow - Dull - Dirty</t>
  </si>
  <si>
    <t xml:space="preserve">Nervous - Talkative </t>
  </si>
  <si>
    <t>Fond of company - Charming - Generous - Courteous</t>
  </si>
  <si>
    <t xml:space="preserve">Generous - Amiable - Affectionate </t>
  </si>
  <si>
    <t xml:space="preserve">Pleasing - Love Affairs - Social - Charming </t>
  </si>
  <si>
    <t xml:space="preserve">Fond of pleasure Adventure - Amorous - Artistic - Extravagant - Wastes money - Independent </t>
  </si>
  <si>
    <t xml:space="preserve">Selfish - Speculative </t>
  </si>
  <si>
    <t xml:space="preserve">Generous - Cheerful </t>
  </si>
  <si>
    <t xml:space="preserve">Selfish - Dishonest </t>
  </si>
  <si>
    <t xml:space="preserve">Intelligent - Cheerful - Creative mind </t>
  </si>
  <si>
    <t xml:space="preserve">Discourteous </t>
  </si>
  <si>
    <t>Affectionate - Quick recovery of health - Passionate – Commanding</t>
  </si>
  <si>
    <t>Fast action - Quick judgment</t>
  </si>
  <si>
    <t xml:space="preserve">Good health and appearance - Fair - Energetic - Bold - Violent - Wealthy - Tendency to boss over - Donates land - Higher education - Frequent long journey </t>
  </si>
  <si>
    <t>Leading tendency - Over sexual</t>
  </si>
  <si>
    <t xml:space="preserve">Careless about diet - Nervous </t>
  </si>
  <si>
    <t>Doesn't acre about eating</t>
  </si>
  <si>
    <t xml:space="preserve">Careless about diet - Eats anything and everything </t>
  </si>
  <si>
    <t xml:space="preserve">Fear Complex </t>
  </si>
  <si>
    <t xml:space="preserve">Very active </t>
  </si>
  <si>
    <t xml:space="preserve">Unnecessary brooding </t>
  </si>
  <si>
    <t xml:space="preserve">Prefers hot drinks and food </t>
  </si>
  <si>
    <t xml:space="preserve">Fond of Travel - Ungrateful </t>
  </si>
  <si>
    <t xml:space="preserve">Over eating - Fond of travel - Grateful </t>
  </si>
  <si>
    <t xml:space="preserve">Bad thinking and Bad Advisor </t>
  </si>
  <si>
    <t xml:space="preserve">Uneasy and Restless </t>
  </si>
  <si>
    <t xml:space="preserve">Ungrateful </t>
  </si>
  <si>
    <t xml:space="preserve">Fond of travel - Insincere </t>
  </si>
  <si>
    <t xml:space="preserve">Bold and courageous </t>
  </si>
  <si>
    <t xml:space="preserve">Saves money - Find fault with others </t>
  </si>
  <si>
    <t xml:space="preserve">Fear - Depression - Unhappy </t>
  </si>
  <si>
    <t xml:space="preserve">Very quick and commercial minded </t>
  </si>
  <si>
    <t xml:space="preserve">Hard worker - Miser - Timid - Forgery </t>
  </si>
  <si>
    <t xml:space="preserve">Intuition - Brilliant - Boring the people with meticulous details - Good Lover </t>
  </si>
  <si>
    <t xml:space="preserve">Jealous </t>
  </si>
  <si>
    <t xml:space="preserve">Fond of opposite sex - Helps others - Pleasing - Sincere </t>
  </si>
  <si>
    <t xml:space="preserve">Good Health </t>
  </si>
  <si>
    <t xml:space="preserve">Fertile imagination - Gentle - Lovable </t>
  </si>
  <si>
    <t xml:space="preserve">Liar - Ungrateful </t>
  </si>
  <si>
    <t xml:space="preserve">Ingenious - Scholar </t>
  </si>
  <si>
    <t xml:space="preserve">Poor - Wicked - Slow grasping </t>
  </si>
  <si>
    <t xml:space="preserve">Critic - Active mind - Intelligent </t>
  </si>
  <si>
    <t xml:space="preserve">Adulterer - Cruel minded - Ungrateful - Petition Writer </t>
  </si>
  <si>
    <t xml:space="preserve">Ingenious - Humorous </t>
  </si>
  <si>
    <t xml:space="preserve">Honest - Courteous - Intelligent </t>
  </si>
  <si>
    <t>Sympathetic - Flexible - Sensitive</t>
  </si>
  <si>
    <t xml:space="preserve">Fond of other sex - Loses temper </t>
  </si>
  <si>
    <t xml:space="preserve">True - Honest - Noble - Charming </t>
  </si>
  <si>
    <t xml:space="preserve">Hypocrite - Diplomatic - Selfish - Unreliable </t>
  </si>
  <si>
    <t xml:space="preserve">Twin Birth - Good Master - Pleasing - Tactful - Enjoys life - Lovable - Adviser - Careful in Diet </t>
  </si>
  <si>
    <t xml:space="preserve">Extremist - Influential - Secret enemies </t>
  </si>
  <si>
    <t xml:space="preserve">Pleasing - Sweet manners - Right action - Good-health - Rich </t>
  </si>
  <si>
    <t xml:space="preserve">Charming - Good built - Generous - Magnanimous </t>
  </si>
  <si>
    <t xml:space="preserve">Sweet and pleasing manners - Always active </t>
  </si>
  <si>
    <t xml:space="preserve">Worldly wisdom - Quick - Graceful - Optimistic - Strong likes and dislikes - Fatty and Tall </t>
  </si>
  <si>
    <t>Energetic - Quick recovery from diseases - Commanding appearance - Sharp and curly hair - Muscular body - Never-minds obstacles - Rash, dash and crash - Over critical - Self assertion - Impulsive action - Gets excited - Makes large money - Fortune favours - Expects appreciation from lover</t>
  </si>
  <si>
    <t xml:space="preserve">Over liberal - Extremist - Conservative Criminal Judge - </t>
  </si>
  <si>
    <t xml:space="preserve">Hard working - Gossip - Funky - Lacks sympathy from lover - Less comforts Miserly - Very stingy - Tall - Old look </t>
  </si>
  <si>
    <t xml:space="preserve">Hides Black Money - Wavering - Forgery - Long nose - thin chin - Confident - Successful bargain - Clever - Fifth Columnist </t>
  </si>
  <si>
    <t>Selfish – Cruel</t>
  </si>
  <si>
    <t xml:space="preserve">Fond of other sex - Secretive - Loose character - Addicted to liquor - Pleasant expenses </t>
  </si>
  <si>
    <t xml:space="preserve">Steady - Never follows old custom - Black-mailing - Interested in Psychic subjects </t>
  </si>
  <si>
    <t xml:space="preserve">Steady in love affairs - Good personality - Broad face - Meditation - Lazy - Lethargic - Miserly - Reserved - Funky - Interested in mysteries of nature - Proper intuition and action - Muscular body </t>
  </si>
  <si>
    <t xml:space="preserve">Arrogant - Revengeful - Intelligent - Never-minds obstacles </t>
  </si>
  <si>
    <t xml:space="preserve">Dishonest - Unscrupulous - Selfish - Cannot bear hunger </t>
  </si>
  <si>
    <t xml:space="preserve">Clever - Well-built - Good imagination - Will not accept any .theory Thoughtful - Honest -Non-interfering - Learned - Manager - Administrator </t>
  </si>
  <si>
    <t xml:space="preserve">Long nose - Clever - Critical - Sharp - Intelligence - Quick grasping - Reverend </t>
  </si>
  <si>
    <t xml:space="preserve">Excited - Short temper - Selfish and Venomous type </t>
  </si>
  <si>
    <t xml:space="preserve">Fair - Muscular - Frank - Plain - Intuitive - Personality - Earns more and spends more - Fortunate - Sympathetic - Expects appreciation from Partner - Comfortable and smooth life </t>
  </si>
  <si>
    <t xml:space="preserve">Healthy - Round face - Intelligent - Steady - Methodical - Rational Practical- Quick recovery - Steady income and expenditure - Steadiness in love affairs </t>
  </si>
  <si>
    <t xml:space="preserve">Healthy - Wavering - Crosses the floor - Talkative </t>
  </si>
  <si>
    <t xml:space="preserve">Well-built - Short Curly hair - Emotional - Self-assertion - Impulsive - Extravagant - Ever borrowing - Plural purchases </t>
  </si>
  <si>
    <t xml:space="preserve">Murderous - Robber - Rogue - Mischievous </t>
  </si>
  <si>
    <t xml:space="preserve">Hale and Healthy - Stalwart - Talkative - Versatile - Meditation </t>
  </si>
  <si>
    <t>Deepest eyes - Long nose - No cheek-at all No bed comforts and furniture - Interested in mysteries of nature Philosophical -Meditation - Hypnotism - Concentration - Forgery</t>
  </si>
  <si>
    <t xml:space="preserve">Bold - Greedy - God fearing - Karma Yogi - Spends much Loss in speculation - Cares more for society than for family life - gives freedom to wife </t>
  </si>
  <si>
    <t xml:space="preserve">Well-built - Fair - Energetic - Sincere - True - Honest - No Black Money cares- equally for society and home - Very rich </t>
  </si>
  <si>
    <t xml:space="preserve">Well-built - Broad eyes - Aspiring - Ambitious - Honest - good vitality - Good health - Quick recovery - Steady in love affairs </t>
  </si>
  <si>
    <t xml:space="preserve">Charming - Humpy body - Timid - Lack of confidence - Wavering - Lack of decision - Changeable - Not a good lover - Immoral </t>
  </si>
  <si>
    <t>Well-built - Muscular - Optimistic - Bold - Doubtless - Over confident - Makes plenty of money and spend it - Loss in speculation - Wife questionable character</t>
  </si>
  <si>
    <t xml:space="preserve">Unprincipled - Dishonest - Greedy - dirty habits </t>
  </si>
  <si>
    <t xml:space="preserve">High and bushy eye brows - Lean - Weak - Beautiful - Lazy - Lethargic - Failures-obstacles - Philosopher - Black Money - Loss of speculation - Jealousy - Miserly - benefitted by friends - suspects wife and Business partner </t>
  </si>
  <si>
    <t xml:space="preserve">Graceful - Fair - Versatile - Crosses floor - Earns by all means - Black Money - Gains in speculations - Interested in games , gives freedom to wife </t>
  </si>
  <si>
    <t xml:space="preserve">Handsome - Well-built - Wins enemies - More confident - Sincere - Firm - Gains in speculations - Lottery - True to wife - Profits </t>
  </si>
  <si>
    <t>Round face - Broad eyes - Good Complexion - Energetic - Magnanimous -  Journey - Higher studies - Steady income - Gains in speculations - True to wife</t>
  </si>
  <si>
    <t>Unreliable - Many love affairs - Make money by all means - Loss in speculation - Failure - False prestige</t>
  </si>
  <si>
    <t xml:space="preserve">Well-built - Commanding appearance - Most enthusiastic - Greedy - Courageous - Stealthy mind - Quick recovery from illness - Loss in speculation - earn by all means - Most extravagant - temper flares up - Free with Partner - Social - No morals – Lacks integrity </t>
  </si>
  <si>
    <t xml:space="preserve">Over liberal - Gets into financial trouble - Spends too much - wavering - Does not respect the society </t>
  </si>
  <si>
    <t xml:space="preserve">Plump body - Charming - Tall - Gigantic figure - Bold - Pushful - Over confident - Law abiding - True &amp; sincere God-fearing - Religious - Earns by fair means - Good in Art and Music - Drawing </t>
  </si>
  <si>
    <t xml:space="preserve">Very fair and lean - Cannot produce children - Cannot satisfy Partner - Stealthy connections - Black-mailing - Writing anonymous letters - Mean in love affairs </t>
  </si>
  <si>
    <t xml:space="preserve">Long nose - Impressive eyes - Charming - Changing ideas - Very bad subordinates </t>
  </si>
  <si>
    <t>Timid - Womanish - always fearing something</t>
  </si>
  <si>
    <t>Plump body - Round face - Highly qualified - commanding appearance - Quick -recovery from illness - Good vitality</t>
  </si>
  <si>
    <t>Interested in Games and Society - Graceful - Fair - Changeability - Unsteady - Hates parents and relatives - Slowly recovery from illness</t>
  </si>
  <si>
    <t xml:space="preserve">Wastes money - Fortune in abroad - Well proportioned body - Commanding appearance - Fair - Over optimistic avaricious - Energetic - success in Examinations- Loss in speculation -Love affairs with divorcee - High class people - Cheat </t>
  </si>
  <si>
    <t xml:space="preserve">Optimistic - Bad intentions </t>
  </si>
  <si>
    <t xml:space="preserve">Lazy - Lethargic - False prestige </t>
  </si>
  <si>
    <t>Magnanimous - Materialistic - True - Honest - Sincere - Fat and bulky body</t>
  </si>
  <si>
    <t xml:space="preserve">Dishonest - Cheat - Meditation </t>
  </si>
  <si>
    <t>Unlawful - Tall - Fake Currency - Gains from Foreigners/Father - Long journey -Partnership Business - Liar - Inherits property from father or stranger</t>
  </si>
  <si>
    <t xml:space="preserve">Timid - Wavery - Always in trouble </t>
  </si>
  <si>
    <t xml:space="preserve">Thin - Lean - Popular - Deep set eyes - Like loneliness - Unsocial - Secret love affairs - Speculate with others money - Reserved - Talks sweetly </t>
  </si>
  <si>
    <t>Timid - Wavering - Failure in first attempt - Disappointment -Pessimist-Partnership business - Attached to Partner - Bony - Thin and Lean</t>
  </si>
  <si>
    <t xml:space="preserve">Muscular - Popular - Success in Litigation/examination - Partner - a working girl </t>
  </si>
  <si>
    <t xml:space="preserve">Delayed ambition - Confused - Disappointed - Pessimist </t>
  </si>
  <si>
    <t xml:space="preserve">Wavering and depressed mind - Tall - Talkative - Shuns crowd - Gains from Foreigner or father or brother-in-law </t>
  </si>
  <si>
    <t xml:space="preserve">Wavering - Timid - Sober - Pessimistic - Contemplating - Funky </t>
  </si>
  <si>
    <t xml:space="preserve">Speculative - Beautiful - Deep set eyes - Profuse hair growth on eyes, head and chest - Immoral - happy - Popular - Musician </t>
  </si>
  <si>
    <t xml:space="preserve">Ever in trouble - Danger to life - slow and steady - Position of trust </t>
  </si>
  <si>
    <t xml:space="preserve">Muscular and thin - Thief - Attacked by Dacoits - Success in examination - Danger to Vehicles </t>
  </si>
  <si>
    <t xml:space="preserve">Selfish - Greedy - Arrogant - Violent - Invite troubles </t>
  </si>
  <si>
    <t xml:space="preserve">Acquires landed property - Ever changing of residence - Superiority complex </t>
  </si>
  <si>
    <t xml:space="preserve">Liar - Dacoit - Thief - Quarrelsome - No principles Thin and muscular body -Secretive - Successful in disputes </t>
  </si>
  <si>
    <t xml:space="preserve">Wavering - Funky - Timid - Nervous - Always confused </t>
  </si>
  <si>
    <t xml:space="preserve">Quarrelsome - Short temper - Fickle minded - Organiser of Clubs </t>
  </si>
  <si>
    <t xml:space="preserve">Fair - Pleasing manners - Social worker - Loved by women </t>
  </si>
  <si>
    <t xml:space="preserve">Bold - Honest - Discipline </t>
  </si>
  <si>
    <t xml:space="preserve">Fair - Pleasing - Loved by women </t>
  </si>
  <si>
    <t xml:space="preserve">Lazy - Lethargic - Fond of rest - Arrogant </t>
  </si>
  <si>
    <t>Sincere - Honest - Patience - Pleasing nature - Higher qualities - Scholar – Dynamic</t>
  </si>
  <si>
    <t xml:space="preserve">Lazy and lethargic - Fond of rest </t>
  </si>
  <si>
    <t xml:space="preserve">Intelligent - Strong decision -sometimes act in a foolish way - wrong advisor </t>
  </si>
  <si>
    <t xml:space="preserve">Ugly appearance - Selfish - Bad dreams - Abortive thinking </t>
  </si>
  <si>
    <t xml:space="preserve">Pleasing - Fair - set manners - Liked by all - Good qualities - Well built </t>
  </si>
  <si>
    <t xml:space="preserve">Honest - True - Sincere - Discipline </t>
  </si>
  <si>
    <t>Fair - Pleasing - Liked by all – Sympathetic - Sincere – Dynamic</t>
  </si>
  <si>
    <t xml:space="preserve">Forceful - Independent - Arrogant - Commanding </t>
  </si>
  <si>
    <t xml:space="preserve">Religious minded - Generous - Honest and Sincere </t>
  </si>
  <si>
    <t xml:space="preserve">Lazy - Lethargic - Selfish - Sluggish </t>
  </si>
  <si>
    <t xml:space="preserve">Timid - Funky - Nervous </t>
  </si>
  <si>
    <t xml:space="preserve">Arrogant - Critic - Bad intentions - Henpecked - Miser </t>
  </si>
  <si>
    <t xml:space="preserve">Fair - Loved by all - Pleasing and Sweet manners </t>
  </si>
  <si>
    <t>Honest - Sincere - Discipline - Steady income</t>
  </si>
  <si>
    <t>Pleasing - Liked by all - Soft manners - Fond of travel - Love of Romance - Roaming and changing</t>
  </si>
  <si>
    <t xml:space="preserve">Fair complexion - Courteous - Ever changing habits - Unsteady - Tries to lead a peaceful life - Hospitable - Avoids anxiety - Reliable - Medium built - Fleshy face - Full eyes - Dark hair -Passionate - Mysterious - Loves music and nature - Like change of job - Over work </t>
  </si>
  <si>
    <t>Bold - Emotional - Good health - Independent - Short married life - Quick in understanding – Inspirational</t>
  </si>
  <si>
    <t xml:space="preserve">Arrogant - Rough Character - Disregards Society </t>
  </si>
  <si>
    <t xml:space="preserve">Imaginative - Reserved nature - Anxious - Patient - Economical - Discontentment - Rich person </t>
  </si>
  <si>
    <t xml:space="preserve">Stature above average - Medium complexion - Imaginative - Hospitable - Intelligent -Studious - Learns without a teacher - Traveller - Mathematician - Learns occult Science - Respects others - Unhappy married life - Marries twice - Divorce </t>
  </si>
  <si>
    <t xml:space="preserve">Confusion - Unsteady - Wavering - Timid - Bad dreams - Fraud </t>
  </si>
  <si>
    <t xml:space="preserve">Diplomatic - Selfish - Fair - Loved by women </t>
  </si>
  <si>
    <t xml:space="preserve">Liberal - Honest - Proud - Generous - Fond of jewels </t>
  </si>
  <si>
    <t xml:space="preserve">Pale complexion - Reserved - Calm - Wavering and vacillating - Traditional mind </t>
  </si>
  <si>
    <t xml:space="preserve">White complexion with Red shade - Muscular - Bold - Courageous - Not rash - Impulsive - Aggressive - Patient endurance - Locality - Murderous tendency </t>
  </si>
  <si>
    <t xml:space="preserve">Arrogant - Unfair - Rough manners </t>
  </si>
  <si>
    <t xml:space="preserve">Healthy - Good manners - Pleasing - Gentle and Honest </t>
  </si>
  <si>
    <t xml:space="preserve">Optimistic - Always in good spirits - Broad minded - Versatile - Slow Judgement - Controversial decision - Brings disputes and litigations </t>
  </si>
  <si>
    <t xml:space="preserve">Vacillation - Flexible - Bad dreams - Confused - Sober </t>
  </si>
  <si>
    <t xml:space="preserve">Cheerful - Handsome - Two Partners - Two Partners - Two attachments - Ever smiling - Social prestige - Generous - Many friends - Liked by all - Fond of Fine Arts - Gives Surety and Free from troubles </t>
  </si>
  <si>
    <t xml:space="preserve">Generous - Courteous - Loves nature - Social - Easy life - Fond of opposite sex - Fine Arts - Poetry - sickly wife - Unhappy married life - Interested in Astrology and Astronomy - Ambitious - Capable - Inspiring </t>
  </si>
  <si>
    <t>Average height - Stout - Long hands - Slender - Dark hair - Expressive eyes - Thin and shrill voice - Looks younger - Intelligent - Imaginative - Emotional - Mental Imbalance - Spreads false rumours - Anxious - Learns many languages - Short journeys - Frequent changes - Pessimistic Wiser as age grows up - Criticised by public - Unhappy dealings with relatives</t>
  </si>
  <si>
    <t>Medium stature - Healthy - Round eyes - Narrow waist - Loves. work - duty minded - Quick - Organising ability -Humorous - Ingenious - Constructive - Practical - Business like - Great mental and intellectual powers - Impulsive - Rash - Irritated and Irritates others - Disputes - Litigations - Risky - Ventures - Hasty decision - Public scandal - Criticised by others - Loss in speculation - Fraud - Cheating - Physical fight with wife</t>
  </si>
  <si>
    <t xml:space="preserve">Flexible - Cruel - Bad intentions - Wavering - No Principles </t>
  </si>
  <si>
    <t xml:space="preserve">Huge body - Tall - Stout - Looks younger - Clear thoughts - good Judgement -god-fearing -Honest - Religious-minded - Liberal </t>
  </si>
  <si>
    <t xml:space="preserve">Thin built - Pale complexion - Looks older - Deep set eyes - Fear complex - Spreads rumours </t>
  </si>
  <si>
    <t>10th Profession</t>
  </si>
  <si>
    <t>Military - Machinery</t>
  </si>
  <si>
    <t>Railways - Industry - Slaughter House - Butcher - Horse rider - Jockey</t>
  </si>
  <si>
    <t>Steam Boilers - Railways</t>
  </si>
  <si>
    <t>Military - Police - Industry - Managing Director</t>
  </si>
  <si>
    <t>Stuntman - Armaments - Iron - Agriculture</t>
  </si>
  <si>
    <t>Factory Heads - Bank Managers - Chief Executives - Criminal Judges</t>
  </si>
  <si>
    <t>Section Officer - Maistry - Land-lord - Mine Owner - Factory Owner</t>
  </si>
  <si>
    <t>Writer - Typist - Mechanical Engineer - Land and Building Owner</t>
  </si>
  <si>
    <t>Railways - Sportsman - Musical Instruments - Maternity - Exhibitions.</t>
  </si>
  <si>
    <t>Advertising - Railways - Industries - Veterinary - Doctor - Criminal Lawyer or Judge - Surgeon.</t>
  </si>
  <si>
    <t>Textiles - Fertilizer - Tea Estates - Hotels - Farmers - Ship- yard - Silicon - Photonics</t>
  </si>
  <si>
    <t>Barber - Sportsman - Vessels Dealer - Cinema Theatre -Studio - Marriage Halls -Surgeon</t>
  </si>
  <si>
    <t>Automobile Industry and Slaughter house.</t>
  </si>
  <si>
    <t>Sportsman - Goldsmith - Theatres - Animal Husbandry - Farmer - Estate owner - Judges - Income Tax Officer</t>
  </si>
  <si>
    <t>Wrestler - Slaughter house - Fertilizer - Mine products - Transports - Surgeon -Farmer.</t>
  </si>
  <si>
    <t>Books writer - Engineering Contractor - Hotelier - Importer and Exporter.</t>
  </si>
  <si>
    <t>Veterinary Surgeon - Leather goods - Dealer in roots and pulps</t>
  </si>
  <si>
    <t>Military - Police - Surgeon</t>
  </si>
  <si>
    <t>Navy - Travel Agency - Chemical and Tonics</t>
  </si>
  <si>
    <t>Military - War materials and Explosives - Matches Iron and Steel - Vessels</t>
  </si>
  <si>
    <t>Fighter - Butcher - Ironworker - Ambulance - Armament</t>
  </si>
  <si>
    <t>Architecture - Design - Photography - Wool - Leprosy - Clinics</t>
  </si>
  <si>
    <t>Jewellery - Textiles - International Trade - Music - Opera - Architecture, Design, Decoration - Taxes</t>
  </si>
  <si>
    <t>Drawing Master - Draftsman - Sculptor – Industry - Barber - Wool - Hair</t>
  </si>
  <si>
    <t>Medical Representative - Bill Collector - Broker – Engineer - Assessor</t>
  </si>
  <si>
    <t>Photographer - VD Expert - Executive officer – Religious Endowment</t>
  </si>
  <si>
    <t>Gains in speculation - Business - Chemistry - Business - Social affair - Music - Fine arts</t>
  </si>
  <si>
    <t>Dairy farm - Milk - Sugar - Perfumery - Shipping</t>
  </si>
  <si>
    <t>Instrumental Music - Hotels - Lodging House - Bars – Sandalwood - Navy - Pearls - Acids - Cows</t>
  </si>
  <si>
    <t>Dealer in Plastic - Dyes - Tannery - Fisherman</t>
  </si>
  <si>
    <t>Bakeries - Shipping - Judge - Politician – Pharmacy</t>
  </si>
  <si>
    <t>Hotels - Bar - Ice Cream - Paint - Petrol - Oil – Tannery - Submarine</t>
  </si>
  <si>
    <t>Broker - Engineer - Shipping - Hospitals - Yarn – Pearls dealer - Contractor</t>
  </si>
  <si>
    <t>Yogin - Dealer in Fruits, skin and Petrol</t>
  </si>
  <si>
    <t>Rich person - Dealings in Glass - Plastic - Dairy Farm – Shipping - Fisheries - Petrol - Paints - oil</t>
  </si>
  <si>
    <t>Deals with Bakeries, Perfumeries, Acids, Shipping, Farmer, Sugar Industry</t>
  </si>
  <si>
    <t>Deals with Machines - Automobiles - tailoring - coral</t>
  </si>
  <si>
    <t>Deals with Tobacco - Taxi - Hire Purchase - Cinema Photography</t>
  </si>
  <si>
    <t>Deals with Estate - Exhibition – Platinum - Animal Husbandry - Fruits – Taxes</t>
  </si>
  <si>
    <t>Deals with land and building - Eversilver - Tailor – Estate and Death Duty - Driver - Bricks - Butcher - Toilet articles</t>
  </si>
  <si>
    <t>Deals with Electrical goods - Telephone - Radio – Electronics - Building Contractor</t>
  </si>
  <si>
    <t>Deals with Surgical instruments - Mechanical Engineering – Telephones - Dams</t>
  </si>
  <si>
    <t>Deals with Cables - Electronics - Textiles - Fruits – Flowers - Messengers</t>
  </si>
  <si>
    <t>Deals with Telephones - Surgeon - Soldier – Press Reporter - Radio</t>
  </si>
  <si>
    <t>Ambassadors - Mathematics Teacher – Irrigation Engineer - Salesman - Broker - Bus Operator</t>
  </si>
  <si>
    <t>Literarian - Atomic Energy - Research Department</t>
  </si>
  <si>
    <t>Physics - Finger Print Expert</t>
  </si>
  <si>
    <t>Salesman - Communication - Transport - Atomic Energy - Write: - Author - Dynamics</t>
  </si>
  <si>
    <t>Research Department - Dealer in Poisonous drugs - Darned goods - Gravitational pull</t>
  </si>
  <si>
    <t xml:space="preserve">Salesman - Posts &amp; Telegraphs (P&amp;T) Department - Transport - Radio - Bus </t>
  </si>
  <si>
    <t>Public department - Atomic - Research Department</t>
  </si>
  <si>
    <t>Boatmen - Explorer - Nurse - Engineer - Dealings in drugs</t>
  </si>
  <si>
    <t xml:space="preserve">Mechanical Engineer - Finger Print Expert - Police Department </t>
  </si>
  <si>
    <t xml:space="preserve">Journalist - Writer - Merchant - Advertisement -Finance Broker - Mayor - Astrologer - Religious </t>
  </si>
  <si>
    <t>Servants - Messenger - Postman - Insurance Agent - Provision - Wool</t>
  </si>
  <si>
    <t xml:space="preserve">Salesman - Book Seller - Higher Official - Examiner - Research Scholar - - Astrologer - Automobile </t>
  </si>
  <si>
    <t xml:space="preserve">Interpreter - Secretary Astrologer </t>
  </si>
  <si>
    <t xml:space="preserve">Auditor - Civil Judge - Civil Engineer - Tailor - Native Language Literary Pandit </t>
  </si>
  <si>
    <t xml:space="preserve">Advertising - Visual Publicity - Judges - Tax - Auditor - Registrar - Deputy Secretary </t>
  </si>
  <si>
    <t>Merchant - Broker - Mayor - Councillor - Interpreter - School Master</t>
  </si>
  <si>
    <t xml:space="preserve">Banker - Advocate - Judge - Traveller - Sailor - Nurse - Water supply - dealer in liquids </t>
  </si>
  <si>
    <t xml:space="preserve">Politician - Banker - Physician - Religious Head - statistics - Judge - Professor - Government Transport </t>
  </si>
  <si>
    <t xml:space="preserve">Politician - Principal - Economics - Sailor - Dealer in fluids - Salesman - Jail for Women - Lady official </t>
  </si>
  <si>
    <t xml:space="preserve">Economics - Kerosene - Canals - Tunnels - Submarine - Jailor </t>
  </si>
  <si>
    <t xml:space="preserve">Position of Trust - Canals - Water works - Pump sets - Bridges - Kerosene </t>
  </si>
  <si>
    <t>Farming - Mine Products - Plumber - Grave - Grave digger - Fisherman</t>
  </si>
  <si>
    <t xml:space="preserve">Petrol - Engineer - Trenches - Draftsman - Constructing dams </t>
  </si>
  <si>
    <t xml:space="preserve">Mines and Minerals - Underground workers </t>
  </si>
  <si>
    <t xml:space="preserve">Fishermen - Agriculture - Kerosene - Digging Wells - Constructing Tanks and Reservoirs work in the night </t>
  </si>
  <si>
    <t xml:space="preserve">Petrol - Coal - Tunnels - Trenches - Canals - Land excavation </t>
  </si>
  <si>
    <t xml:space="preserve">Farmer - Jailor - Grave Digger - Dealer in oil </t>
  </si>
  <si>
    <t>Farmer - Position of trust - Head of the Department - Deals with mines</t>
  </si>
  <si>
    <t xml:space="preserve">Commercial Correspondent - Deals with Yarn - Water Diviner </t>
  </si>
  <si>
    <t xml:space="preserve">Guide - Hostess - Midwife - Nurse - Plurality in everything </t>
  </si>
  <si>
    <t xml:space="preserve">International Trade - Ambassador - Travel Agents - Midwife - Hostess - Nurse - Paints - Good Painter </t>
  </si>
  <si>
    <t xml:space="preserve">Textiles - Nurse - Mental Hospital </t>
  </si>
  <si>
    <t xml:space="preserve">Salesman - Artist - Deals with Ink - Water works Engineer - Textiles Engineer - Midwife </t>
  </si>
  <si>
    <t xml:space="preserve">Manufacturer of Inks - Textiles </t>
  </si>
  <si>
    <t>Teacher - Plumber - Fisherman - Waterworks - Mines</t>
  </si>
  <si>
    <t xml:space="preserve">Writer - Author - International Trade - Ambassador - Accounts, Commerce and Banking </t>
  </si>
  <si>
    <t xml:space="preserve">Water Diviner - Hostess - Nurse - Manufacturer of Inks - Service in Textile Department </t>
  </si>
  <si>
    <t xml:space="preserve">Government - Medical - Physician - Security in Service - Chemicals </t>
  </si>
  <si>
    <t xml:space="preserve">Transport - Automobile - Chemical skin expert - Women and children hospital </t>
  </si>
  <si>
    <t xml:space="preserve">Hospital - Medical - Permanent service </t>
  </si>
  <si>
    <t>Boilers - Shipping - Navy</t>
  </si>
  <si>
    <t>Jail Department - Lethal Chamber</t>
  </si>
  <si>
    <t xml:space="preserve">Religious Endowments - Judges - Advocates - Administrators - Banks </t>
  </si>
  <si>
    <t xml:space="preserve">Head of the Department - Factory - Real Estates - Homeopathy - Copper - Steel -Mines </t>
  </si>
  <si>
    <t xml:space="preserve">Typist - Journalist - Petition Writer - Advertising </t>
  </si>
  <si>
    <t xml:space="preserve">Gains in speculation business - Chemistry - Business - Social affair - Music - Fine arts </t>
  </si>
  <si>
    <t xml:space="preserve">Service in Hospitals, Chemistry Department - Government Service - Stock Exchange - Music - Radio - Women and Children Hospital </t>
  </si>
  <si>
    <t xml:space="preserve">Service in cosmetics and Refineries - Navy - Shipping </t>
  </si>
  <si>
    <t>Sports - Musical instruments - Advertisement - Display - Automobile - Chemicals - Transports - Surgical Instruments - Petrol - Medicinal Soaps</t>
  </si>
  <si>
    <t xml:space="preserve">Photography - wool - Leper clinics </t>
  </si>
  <si>
    <t xml:space="preserve">Judge - Tax Department - Administrator in Transport - Animal Husbandry - Women's College and Hospital </t>
  </si>
  <si>
    <t xml:space="preserve">Slaughterhouse - Canning meat and fish - skin and hides - Lethal Chamber - Doctor in skin disease </t>
  </si>
  <si>
    <t xml:space="preserve">Drugs Salesman - Sanitary and Chemical Engineer </t>
  </si>
  <si>
    <t xml:space="preserve">Religious endowments - Executive Officer </t>
  </si>
  <si>
    <t xml:space="preserve">Permanent position - Managing Director - Administrator - Dictator - Jeweller - Doctor - Medical Department - Police - Sports - Cinema </t>
  </si>
  <si>
    <t>Shipping - Captain - Marine Engineer - Dealings in liquids - Tonics</t>
  </si>
  <si>
    <t xml:space="preserve">Jail Department - Sanatorium </t>
  </si>
  <si>
    <t xml:space="preserve">Accountant in jail - Medical Departments - Designer - Engineer - Consultant -Supply contract to the above department </t>
  </si>
  <si>
    <t xml:space="preserve">School Master - Interpreter - Registrar - Journalist - Inspector of Schools - Religious Teacher - Banks - Revenue - Income Tax. </t>
  </si>
  <si>
    <t xml:space="preserve">Engineer in Mines - Deals with Coal - Lead - Lino Typist - Compositor - Handwriting expert. </t>
  </si>
  <si>
    <t xml:space="preserve">Writer Literarian - Interpreter - Messenger - Postman </t>
  </si>
  <si>
    <t xml:space="preserve">Typist - Journalist - Advertising </t>
  </si>
  <si>
    <t xml:space="preserve">Shipping and Clearance Agent - Textiles - Engineer in Water Works </t>
  </si>
  <si>
    <t xml:space="preserve">Dealers in fluids - Boilers - Mechanical Engineer - Marine Engineer - Printing Inks - Fish supplying Agent </t>
  </si>
  <si>
    <t xml:space="preserve">Dealers in fluids - jail department - Drugs </t>
  </si>
  <si>
    <t xml:space="preserve">Printer - Publisher - Navy - Accountant - Port Trust - Textile Mills - Cloth Merchant or Agent </t>
  </si>
  <si>
    <t xml:space="preserve">Diggers of wells - Canals - Excavation - Geologists - Mine Engineer - Deals with Petrol - Diesel </t>
  </si>
  <si>
    <t xml:space="preserve">Personal Assistant - Camp Clerk - Messenger - Engaged - Orator - Engineer- Salesman - Midwife </t>
  </si>
  <si>
    <t xml:space="preserve">Guide - Hostess - Midwife - Nurse </t>
  </si>
  <si>
    <t xml:space="preserve">Deals with sweet juice - Shipping - Marine and Textile Engineer  - Manufacturer of glass or spectacles - Artificial silk Cloth printing </t>
  </si>
  <si>
    <t xml:space="preserve">Mechanical and Marine Engineer - Nurse - Nervous - Department in Hospitals - Supply Contractor to Government </t>
  </si>
  <si>
    <t xml:space="preserve">Typing - Printing Press - Mechanical and Military Engineer </t>
  </si>
  <si>
    <t xml:space="preserve">Warden - Jail Department - Lethal Chamber </t>
  </si>
  <si>
    <t xml:space="preserve">Acquires a good partner - Accountant in Bank - Vice-Principal - Professors - Religious teacher - Administrative Department in Engineering </t>
  </si>
  <si>
    <t xml:space="preserve">Mathematics - Physics - Dynamics - Mines Engineer - Finger Prints </t>
  </si>
  <si>
    <t xml:space="preserve">Adviser - Story writer - Publisher </t>
  </si>
  <si>
    <t xml:space="preserve">Veterinary Surgeon - Deals with skin and hides - Roots and bulbs </t>
  </si>
  <si>
    <t xml:space="preserve">Deals with second-hand goods - Able salesman </t>
  </si>
  <si>
    <t xml:space="preserve">Transport Department - Loco Shed - Airport </t>
  </si>
  <si>
    <t xml:space="preserve">Hotel - Lodging House - Deals with liquids and acids </t>
  </si>
  <si>
    <t xml:space="preserve">Atomic Energy - Science and Research </t>
  </si>
  <si>
    <t xml:space="preserve">Store Keeper - Writer - Explorer - Finance Broker - Judge - Poet </t>
  </si>
  <si>
    <t xml:space="preserve">Clinics - Leather goods </t>
  </si>
  <si>
    <t xml:space="preserve">Salesman - Communications Department - Writer - Author - Dynamics - Transport - Atomic Energy </t>
  </si>
  <si>
    <t xml:space="preserve">Research Department -Deals with Poisonous drugs - Canned food </t>
  </si>
  <si>
    <t xml:space="preserve">Artist - Salesman - Telephone - Transport - Radio </t>
  </si>
  <si>
    <t xml:space="preserve">Hot water equipments - X ray </t>
  </si>
  <si>
    <t xml:space="preserve">Music - Opera - Artist - Cook - Bakery - Butlers </t>
  </si>
  <si>
    <t xml:space="preserve">Automobile - Transport - Plastic - Mica </t>
  </si>
  <si>
    <t xml:space="preserve">Judge - Broker - Money lender - Professor in Ladies' College - Cashier in Ladies' Club </t>
  </si>
  <si>
    <t xml:space="preserve">Subordinate in Revenue Department - Banks - Courts - Transport Departments -Leather Goods </t>
  </si>
  <si>
    <t xml:space="preserve">Income Tax - Writer of Comedy - Publicity - Audit &amp; Accounts Departments - Glass - Mirror  - Engineer </t>
  </si>
  <si>
    <t xml:space="preserve">Racing - Betting - Port Trust - Village Munsif - Ayurvedic Medicines </t>
  </si>
  <si>
    <t xml:space="preserve">Loan sanction in Banks - Transport - Income-tax - Air travel </t>
  </si>
  <si>
    <t xml:space="preserve">Deals in Chemicals, Drugs - Income-tax - Sales-tax, Revenue, Court - Religious Endowments - Hospitals - Security - Air Service </t>
  </si>
  <si>
    <t xml:space="preserve">Nurse - Midwife - Navy - Shipping - Politician - Clubs -Society - Petrol - Liquids - Edible oils - Businessman - Manufacture of glasses, spectacles </t>
  </si>
  <si>
    <t xml:space="preserve">Politician - Banking - Judge - Vice-Principal </t>
  </si>
  <si>
    <t xml:space="preserve">Estate owner - Agriculturist - Labour - Port Trust </t>
  </si>
  <si>
    <t xml:space="preserve">Deals with Mine and Mine products - Lands and Estate - Potatoes - Onions - Carrots - Turnips - Ground Nuts </t>
  </si>
  <si>
    <t xml:space="preserve">Medicines - hotels - brothels - oil crushing - mine ores - Criminal Lawyer </t>
  </si>
  <si>
    <t xml:space="preserve">Deals with hides and skin - Tanning - Eversilver - Meat shop - Grave digger </t>
  </si>
  <si>
    <t>Deals with wool - Hair - Mines and Metals</t>
  </si>
  <si>
    <t>Registrar of Deaths - CID - Military - Police</t>
  </si>
  <si>
    <t xml:space="preserve">Deals with Bull-dozer -Tractor - Spade - Ploughing instruments - Laying pipes and sewage - tunnels - Cremation grounds - Police - Jails - Casualty ward and mortuary - Bone Specialist </t>
  </si>
  <si>
    <t xml:space="preserve">Jail Department - Laying Tar Roads - Watchman - Hard labour - Coal and Mine Owner </t>
  </si>
  <si>
    <t xml:space="preserve">Owner of Mines - Philosopher - Psychologist </t>
  </si>
  <si>
    <t xml:space="preserve">Typist - Proof Reader - Press Worker Machinery - Good Lawyer - Actor - - Representative - Liaison Officer </t>
  </si>
  <si>
    <t xml:space="preserve">Deals with Surgical Instruments - Mechanical Engineering - Telegraph - Dam Construction - Thieves </t>
  </si>
  <si>
    <t xml:space="preserve">lakes and rivers - Railways Bridges - Tailor - Goldsmith - Garlands </t>
  </si>
  <si>
    <t xml:space="preserve">Military Engineer - Mechanical Engineer - Advisor - Government Press - Mint - Reserve Bank - Officer in-charge of Old Currency </t>
  </si>
  <si>
    <t xml:space="preserve">Deals with Textiles - Electrical Engineering - Power House Boiler Writer Liquids - Ribbons - Dyer - Bridge Contractor </t>
  </si>
  <si>
    <t xml:space="preserve">Surgeon - Mechanical Engineer - Press Technology - Iron Bridge - Cost Account -Inspector </t>
  </si>
  <si>
    <t xml:space="preserve">Warden - Jail Superintendent - Police Department </t>
  </si>
  <si>
    <t xml:space="preserve">Income-tax - Auditor - Chartered Accountant - Press - Manager Engineering Department - Head of Postal Department - Communication Department </t>
  </si>
  <si>
    <t xml:space="preserve">Handwriting expert - Service in Press - Mines Engineer - Deals with Metals - Stenographer - Drainage - Cooling equipment - Ice and Ice Plants </t>
  </si>
  <si>
    <t xml:space="preserve">Councillor - Race Course Member - Social Worker - International Trade </t>
  </si>
  <si>
    <t xml:space="preserve">Ambassador - Cabinet Official - Doctor - Exporter </t>
  </si>
  <si>
    <t xml:space="preserve">Bank - Education - Revenue - Religious - Departments </t>
  </si>
  <si>
    <t xml:space="preserve">Politics - Banker - Exporter </t>
  </si>
  <si>
    <t xml:space="preserve">Surgeon - Manager - Director - Traveller - Fortune abroad </t>
  </si>
  <si>
    <t xml:space="preserve">Purohit - Ayurveda - Jockey - Servant in Embassies - Deals with roots and seeds </t>
  </si>
  <si>
    <t xml:space="preserve">Revenue Department - Religious Department - Doctor - College - Banks </t>
  </si>
  <si>
    <t xml:space="preserve">Social worker - Deals with roots and pulps - Export and Import </t>
  </si>
  <si>
    <t xml:space="preserve">Accountant - Auditor - Revenue - Bank - Teacher - Astrologer - Journalist </t>
  </si>
  <si>
    <t xml:space="preserve">Midwife - Nurse - Good Businessman </t>
  </si>
  <si>
    <t xml:space="preserve">Doctor - Judge - Banker - Accountant - Sugar - Rubber </t>
  </si>
  <si>
    <t xml:space="preserve">Deals with Petrol - Rubber and Milk </t>
  </si>
  <si>
    <t xml:space="preserve">Automobile - Transport - Auditor - Income-tax Officer - Bank manager - college Principal - Religious Head </t>
  </si>
  <si>
    <t>Jail Department - Works in isolated Hospitals - Ayurvedic medicines - Health Centres and Hospitals for women and children - Fraud detection</t>
  </si>
  <si>
    <t xml:space="preserve">Broker in Estates - Architect - Designer - Animal Husbandry - Breeding, expanding - Manager - Choultry - Minister - Popular, successful politician </t>
  </si>
  <si>
    <t xml:space="preserve">Slaughter house - Mine products - Transports - Draftsman - statistics - Revenue Intelligence - Staff in Foreign Exchange </t>
  </si>
  <si>
    <t xml:space="preserve">Railway - Engineering - Accountant - Auditor - Income Tax - Vice-Principal - Vice-Chancellor - All India Radio - Journalist - Music - Transport - Revenue Department - Secretary - Deputies - Mint - Currency Editor </t>
  </si>
  <si>
    <t xml:space="preserve">Deals with Sugar, Jaggery - Animal Husbandry - Ayurvedic - Garden - Nursery - Restaurants </t>
  </si>
  <si>
    <t xml:space="preserve">Physician - Medical Department - Reserve Bank - Government Colleges </t>
  </si>
  <si>
    <t xml:space="preserve">Politician - Minister-Import and Export - Foreign jobs </t>
  </si>
  <si>
    <t xml:space="preserve">Government Officer - Lawyer - Judge - Industrialist - Bank Manager and Agent-Animal Husbandry </t>
  </si>
  <si>
    <t xml:space="preserve">Shipping Trade - Ayurveda - Jail Departments - Refugee Camp - Hospitals </t>
  </si>
  <si>
    <t xml:space="preserve">Jail Department - Hospitals - Isolated Camps </t>
  </si>
  <si>
    <t xml:space="preserve">Religious Teacher - Agent -. Representative - Bank Manager - Member of Legislative Assembly (MLA) - Member of Parliament (MP) etc. - High Courts - Municipality – Health Department </t>
  </si>
  <si>
    <t xml:space="preserve">Dealers in Hairs - Cement - Metals - Geologist - Director of Records - Antiques - CID-CBI </t>
  </si>
  <si>
    <t xml:space="preserve">Deals with bones - stones - cement - Geology - Communication - Astrologer - Advisor to Government - Government Propagandist - Government Publications - Labour in Aerodrome </t>
  </si>
  <si>
    <t>Mines and Minerals - Coal - Wool - Jail Department  - Staff control departments - Skins and Hides - Alternative medicine</t>
  </si>
  <si>
    <t xml:space="preserve">Labour in Airlines - Skin and Hides - Government Transport - Potatoes - Groundnut - Turnips </t>
  </si>
  <si>
    <t xml:space="preserve">Ice - Cement - Hair - Sanitary-ware - Electricity. Department - Corporation - Electronics Department </t>
  </si>
  <si>
    <t xml:space="preserve">Wools - Agriculture - Tea-Estates - Liquor - Military - Police - Secondhand goods - Bicycles - Transport - Boring Plants - Agriculture implements - Minister - Building Contractor – Railways - Estate Broker - Furniture - Hire-purchase </t>
  </si>
  <si>
    <t xml:space="preserve">Jail Department - Kerosene - Trenches - Tunnels - Agriculture - Night Watchman </t>
  </si>
  <si>
    <t xml:space="preserve">Temple Priest - Eminent Judge - Educationist - Propagandist - Publicity Officer - Religious head - Registrar of death - Estate Duty - Revenue Department </t>
  </si>
  <si>
    <t xml:space="preserve">Agriculture - Plumber - Sanitary Department - Petrol - Tar etc. </t>
  </si>
  <si>
    <t xml:space="preserve">Exchange Broker - Deals in Oil, Petrol - Excavation - Cement - Metals - Soap - Skin and hides </t>
  </si>
  <si>
    <t xml:space="preserve">Partnership business - Minister - Member of Legislative Assembly (MLA) - Members of Parliament (MP) - Government Contractor - Geology - Mines &amp; Minerals </t>
  </si>
  <si>
    <t xml:space="preserve">Police - Repair of old goods - Machinery parts - Landed property - weapons -agricultural implements - Geologist - Farm labourer - Sanitary-ware - Fertiliser -Tractor </t>
  </si>
  <si>
    <t xml:space="preserve">Jail Department - Slaughter house - Labourer - Rehabilitation centre - Tools and Spare parts </t>
  </si>
  <si>
    <t xml:space="preserve">Principal - Headmaster - Lecturer in Philosophy - Finance department - Police - Military - Religious Department - Education Department - Old furniture - Old goods </t>
  </si>
  <si>
    <t xml:space="preserve">Weapons of older times - Arms and Ammunitions dealer - Lands and Estates - Old Machinery and goods - Skin and Hides </t>
  </si>
  <si>
    <t xml:space="preserve">Mechanical and Mines Engineer - Industrialist - Registrar of Deaths </t>
  </si>
  <si>
    <t xml:space="preserve">Farming - Tea - Steel Plant - Retrenchment Office - Skin and hides </t>
  </si>
  <si>
    <t xml:space="preserve">Skin and hides - Shoes - Antiques - Archaeology </t>
  </si>
  <si>
    <t xml:space="preserve">Geology - Mines and Minerals - Defence Department - Cemetery </t>
  </si>
  <si>
    <t xml:space="preserve">Excavation of wells - Tanks - canals - tunnels - Pump sets - Liquids </t>
  </si>
  <si>
    <t xml:space="preserve">Electronics - Atomic Energy - Literature - Municipality - Corporation - Share Broker – Anti Corruption Department - CID </t>
  </si>
  <si>
    <t>Ration Office - Stock Exchange - Slaughter house - Tanneries - Forensic</t>
  </si>
  <si>
    <t xml:space="preserve">Census - Counterfeits - Statistics </t>
  </si>
  <si>
    <t xml:space="preserve">Travel Agency - Census Department - Slaughter house </t>
  </si>
  <si>
    <t>Retrenchment Department - Factories - Tanneries</t>
  </si>
  <si>
    <t xml:space="preserve">Atomic Energy - Research and Public Departments - Statistics - Mines and Minerals - Government Contractor </t>
  </si>
  <si>
    <t xml:space="preserve">Scientist - Technician - Deals with liquids - Ice - Beverages </t>
  </si>
  <si>
    <t>Ration Office - Census Department - Atomic Energy - Chemical Engineering - Data Analytics</t>
  </si>
  <si>
    <t xml:space="preserve">Teacher - Lecturer in Philosophy - Banker - Advocate - Surgeon - Post-mortem </t>
  </si>
  <si>
    <t xml:space="preserve">College - Schools - Partnership Business - Wool - Provisions </t>
  </si>
  <si>
    <t xml:space="preserve">Journalist - Novelist - Editor - Publisher- Consultant - Bank Manager - Estate Broker </t>
  </si>
  <si>
    <t xml:space="preserve">Municipality - Corporation - Retrenchment Office - Insurance </t>
  </si>
  <si>
    <t xml:space="preserve">Legal Adviser - Judge - Music - Drama - Cinema - Connected to Girls' School </t>
  </si>
  <si>
    <t xml:space="preserve">Physician - Government service - Inspector - Education Department - Legal Department </t>
  </si>
  <si>
    <t>Service in Bank - Orator - Police</t>
  </si>
  <si>
    <t xml:space="preserve">Gardening - Clothing - Fish - Milk - Marine - Navy </t>
  </si>
  <si>
    <t xml:space="preserve">Auditors - Ministers - Judges - Advocates -Administrators. </t>
  </si>
  <si>
    <t xml:space="preserve">Criminal Lawyer - Jail Department - Isolated Hospitals - Explorer - Surgeon - Arbitrator </t>
  </si>
  <si>
    <t xml:space="preserve">Deals with corns - Hairs - Skin and hides </t>
  </si>
  <si>
    <t xml:space="preserve">Mines Engineer - Statistics Accountant in Mines </t>
  </si>
  <si>
    <t xml:space="preserve">Jail Department - Asylums - Sanatorium - Isolated - Hospitals - Engineer - Import and Export - Oils - Breweries - Fisheries </t>
  </si>
  <si>
    <t xml:space="preserve">Administrator in Oil Companies - Petrol - Insecticides - Condensers </t>
  </si>
  <si>
    <t xml:space="preserve">Government Service - Magistrate - Coins Department - Goldsmith </t>
  </si>
  <si>
    <t>Mechanical and Water Works Engineer - Sanitary Inspector - Kerosene</t>
  </si>
  <si>
    <t xml:space="preserve">Agriculture - Museum - Stadium </t>
  </si>
  <si>
    <t xml:space="preserve">Jail Department - Politics - Labourer in Docks - Import and Export - Hospitals -Asylums </t>
  </si>
  <si>
    <t xml:space="preserve">Physician - Real Estate Broker - Service in Banks - Laboratories - Political Office - Mines - Societies &amp; Clubs - Birth Control Appliances - Propagandists </t>
  </si>
  <si>
    <t xml:space="preserve">Bank service - Law - Literature - Journalist - Editor - Export and Import - Civil Engineer - Mathematician - Auditor - Accountant - Astrologer </t>
  </si>
  <si>
    <t>Lawyer - Judge - Customs - Port Trust - Broker - Agent - Mathematician Representative - Radio - Communications</t>
  </si>
  <si>
    <t>Transport - Scents and Perfumery - Painting - Makeup - Earns through music - Radio - TV Jewellery - Dress Rubber - Optician - Cinema - Broadcasting - Analytical Chemist - Business Analytics</t>
  </si>
  <si>
    <t xml:space="preserve">Chief Engineer - Accountant General - Publicity Officer - Mathematician </t>
  </si>
  <si>
    <t xml:space="preserve">Nurses and Doctors </t>
  </si>
  <si>
    <t xml:space="preserve">Accounts or Audit Department - Military and Mechanical Engineer - Stock Exchange - Share Broker - Adding Machines - Microscope - Printing - Posts &amp; Telegraphs </t>
  </si>
  <si>
    <t xml:space="preserve">Criminal Lawyer - Jail Department - Isolated Hospitals - Excise - Customs - Dock Labourer - Broker -Agent - Representative </t>
  </si>
  <si>
    <t xml:space="preserve">Engineer - Census Department - Shorthand writer (Stenographer) - CID - Wood Cutter - Teacher - Scientist - Land and Mine Owner - Laboratories - Clubs and Societies </t>
  </si>
  <si>
    <t xml:space="preserve">Second House: </t>
  </si>
  <si>
    <t xml:space="preserve">Third House: </t>
  </si>
  <si>
    <t xml:space="preserve">Fourth House: </t>
  </si>
  <si>
    <t xml:space="preserve">Fifth House: </t>
  </si>
  <si>
    <t xml:space="preserve">Sixth House: </t>
  </si>
  <si>
    <t xml:space="preserve">Seventh House: </t>
  </si>
  <si>
    <t xml:space="preserve">Eighth House: </t>
  </si>
  <si>
    <t xml:space="preserve">Ninth House: </t>
  </si>
  <si>
    <t xml:space="preserve">Tenth House: </t>
  </si>
  <si>
    <t xml:space="preserve">Eleventh House: </t>
  </si>
  <si>
    <t xml:space="preserve">Twelfth House: </t>
  </si>
  <si>
    <t>THE POINT OF FORTUNA:</t>
  </si>
  <si>
    <t>Fortuna is a sensitive point in a horoscope. It is arrived at by the longitudinal position of Lagna, MOON and SUN from 0° ARIES, as shown below:</t>
  </si>
  <si>
    <t>Added together: 318° 06'</t>
  </si>
  <si>
    <t>Deduct the position of the Sun from the added position of Lagna and Moon:</t>
  </si>
  <si>
    <t>Fortuna improves the matters of the house it occupies.</t>
  </si>
  <si>
    <t>A person's fortune, its resources are clearly shown by the position of Fortuna. Therefore, it deserves serious attention. It shows only the financial position.</t>
  </si>
  <si>
    <t>1) Matter related to Fortuna house will bring luck</t>
  </si>
  <si>
    <t>2) All important life matters will bring luck if started on Fortuna day</t>
  </si>
  <si>
    <t>Fortuna day:</t>
  </si>
  <si>
    <t>5 Star = Sun and Moon are both on Fortuna star (Always New Moon Amavasya day)</t>
  </si>
  <si>
    <t>4 Star = Sun in Fortuna star. Moon in any of the other two stars owned by the same Fortuna star lord</t>
  </si>
  <si>
    <t>3 Star = Sun in any of the other two stars owned by the same Fortuna star lord and Moon in Fortuna star</t>
  </si>
  <si>
    <t>2 Star = Sun and Moon in any of the other two stars owned by the same Fortuna star lord</t>
  </si>
  <si>
    <t>1 Star = Sun not in any of the three stars owned by Fortuna Star lord. Moon in Fortuna star.</t>
  </si>
  <si>
    <t>Marriage</t>
  </si>
  <si>
    <t>1, 6, 10</t>
  </si>
  <si>
    <t>Supporting Houses</t>
  </si>
  <si>
    <t>Good resistance against infectious disease</t>
  </si>
  <si>
    <t>Successful in Personal Efforts</t>
  </si>
  <si>
    <t>Gain money through personal efforts</t>
  </si>
  <si>
    <t>Improves Bank Position Through Personal Efforts</t>
  </si>
  <si>
    <t>Profits and Gains Through Brisk Personal Efforts</t>
  </si>
  <si>
    <t>Good Mental Development</t>
  </si>
  <si>
    <t>Attached to Neighbours</t>
  </si>
  <si>
    <t>Very Helpful Relatives</t>
  </si>
  <si>
    <t>Educational Success</t>
  </si>
  <si>
    <t>Gains through Estates, Mines etc</t>
  </si>
  <si>
    <t>Acquires Ancestral Property</t>
  </si>
  <si>
    <t>Interested in Occult Subjects</t>
  </si>
  <si>
    <t>Interested in Sports</t>
  </si>
  <si>
    <t>Interested in Music</t>
  </si>
  <si>
    <t>Interested in Speculation</t>
  </si>
  <si>
    <t>Interested in Pleasurable Pursuits</t>
  </si>
  <si>
    <t>Attached to Children</t>
  </si>
  <si>
    <t>Poor Resistence in the body</t>
  </si>
  <si>
    <t>Susceptible to infection</t>
  </si>
  <si>
    <t>Always Sick</t>
  </si>
  <si>
    <t>Delayed Recovery</t>
  </si>
  <si>
    <t>Does not care for Hygiene</t>
  </si>
  <si>
    <t>Will have Pet Animals</t>
  </si>
  <si>
    <t>Attached to Maternal Uncle</t>
  </si>
  <si>
    <t>Attached to servants, servant-maids</t>
  </si>
  <si>
    <t>Wins in Litigation</t>
  </si>
  <si>
    <t>Wins in Elections</t>
  </si>
  <si>
    <t>Public Enemies will Disappear</t>
  </si>
  <si>
    <t>Reunion with partner</t>
  </si>
  <si>
    <t>Benefitted through Partner</t>
  </si>
  <si>
    <t>Attached to Life Partner</t>
  </si>
  <si>
    <t>Likes to be in the Company of Other Sex</t>
  </si>
  <si>
    <t>Marital Happiness</t>
  </si>
  <si>
    <t>One meets with danger and disappointment</t>
  </si>
  <si>
    <t>Accidents and injury</t>
  </si>
  <si>
    <t>Will get legacy</t>
  </si>
  <si>
    <t>Will get Entangled Money</t>
  </si>
  <si>
    <t>Will get Gratuity</t>
  </si>
  <si>
    <t>Will get Bonus</t>
  </si>
  <si>
    <t>Will get Insurance</t>
  </si>
  <si>
    <t>Will get Shares</t>
  </si>
  <si>
    <t>Will get Arrears of pay</t>
  </si>
  <si>
    <t>Will accumulate money</t>
  </si>
  <si>
    <t>Will do business for other</t>
  </si>
  <si>
    <t>Will have occult experience</t>
  </si>
  <si>
    <t>Will be attached to father</t>
  </si>
  <si>
    <t>Fond of long journeys</t>
  </si>
  <si>
    <t>Will have psychic experience</t>
  </si>
  <si>
    <t>Be religious</t>
  </si>
  <si>
    <t>Philosophical</t>
  </si>
  <si>
    <t>Interested in higher subjects</t>
  </si>
  <si>
    <t>Doctorate</t>
  </si>
  <si>
    <t>Science and Research</t>
  </si>
  <si>
    <t>Prophetic dreams</t>
  </si>
  <si>
    <t>Gains through sister-in-law / brother-in-law or spouse's relatives</t>
  </si>
  <si>
    <t>Does meritorious deed</t>
  </si>
  <si>
    <t>Held in high esteem</t>
  </si>
  <si>
    <t>Will have honour, award, prestige</t>
  </si>
  <si>
    <t>Will be popular</t>
  </si>
  <si>
    <t>Will rise in social and professional status</t>
  </si>
  <si>
    <t>No indignation and dishonour</t>
  </si>
  <si>
    <t>Higher ambitions</t>
  </si>
  <si>
    <t>Very good for business and politics</t>
  </si>
  <si>
    <t>One gets large profits</t>
  </si>
  <si>
    <t>Large number of benefactors</t>
  </si>
  <si>
    <t>Mutual help</t>
  </si>
  <si>
    <t>No failure</t>
  </si>
  <si>
    <t>Enjoys life</t>
  </si>
  <si>
    <t>Speedy recover from illness</t>
  </si>
  <si>
    <t>Will take preventive measure against diseases</t>
  </si>
  <si>
    <t>Hopes and desires are fulfilled</t>
  </si>
  <si>
    <t>Prosperity and satisfaction</t>
  </si>
  <si>
    <t>More children</t>
  </si>
  <si>
    <t>Will have all sorts of troubles</t>
  </si>
  <si>
    <t>Will be affected by others' Jealousy</t>
  </si>
  <si>
    <t>Will be affected by secret and inimical activity</t>
  </si>
  <si>
    <t>Impediments</t>
  </si>
  <si>
    <t>Hindrance everywhere</t>
  </si>
  <si>
    <t>Interested in occult science</t>
  </si>
  <si>
    <t>Practices Yoga</t>
  </si>
  <si>
    <t>Visits unfrequented places</t>
  </si>
  <si>
    <t>Prefers isolation</t>
  </si>
  <si>
    <t>Hospitalisation for even minor ailments</t>
  </si>
  <si>
    <t>Danger of imprisonment</t>
  </si>
  <si>
    <t>Will be the cause of one's own undoing</t>
  </si>
  <si>
    <t>Will be a victim of cheating, swindling, treachery, conspiracy etc</t>
  </si>
  <si>
    <t>Loves to buy and invest</t>
  </si>
  <si>
    <t>Frequent hospitalisation due to sickness</t>
  </si>
  <si>
    <t>6, 12</t>
  </si>
  <si>
    <t>Always in poor health</t>
  </si>
  <si>
    <t>1, 6, 8, 12</t>
  </si>
  <si>
    <t>Frequent hospitalisation due to accidents</t>
  </si>
  <si>
    <t>6, 8, 12</t>
  </si>
  <si>
    <t>Charming face</t>
  </si>
  <si>
    <t>5 and Venus and Moon/Mercury</t>
  </si>
  <si>
    <t>Danger to life</t>
  </si>
  <si>
    <t>8 in relation with the Badhaka / Maraka lord</t>
  </si>
  <si>
    <t>Danger to life or unnatural or accidental death</t>
  </si>
  <si>
    <t>4, 8 with Badhaka / Maraka lords</t>
  </si>
  <si>
    <t>Danger to life, ruined, death</t>
  </si>
  <si>
    <t>8 with Badhaka / Maraka lord + Saturn in 8</t>
  </si>
  <si>
    <t>Death due to sickness</t>
  </si>
  <si>
    <t>6 with Maraka and Badhaka Planets involved in these cusps</t>
  </si>
  <si>
    <t>Disease - Life long</t>
  </si>
  <si>
    <t>1, 6, 8, 12 + Saturn</t>
  </si>
  <si>
    <t>Disease - Recovery - Good Health</t>
  </si>
  <si>
    <t>1, 5, 11</t>
  </si>
  <si>
    <t>Eyes to be healthy</t>
  </si>
  <si>
    <t>5, 11 with strong Sun and Moon</t>
  </si>
  <si>
    <t>Go out of present environment</t>
  </si>
  <si>
    <t>3, 7, 12</t>
  </si>
  <si>
    <t>Weak Lagna</t>
  </si>
  <si>
    <t>5, 6, 8, 12</t>
  </si>
  <si>
    <t>Long life (over 65 Yrs) for spiritual people</t>
  </si>
  <si>
    <t>1, 5, 9, 10</t>
  </si>
  <si>
    <t>Long life (over 65 Yrs) for normal people</t>
  </si>
  <si>
    <t>1, 3, 5, 8, 12</t>
  </si>
  <si>
    <t>Politics - Failure</t>
  </si>
  <si>
    <t>Proneness to disease</t>
  </si>
  <si>
    <t>Quality of life</t>
  </si>
  <si>
    <t>1, 3, 5, 10, 11</t>
  </si>
  <si>
    <t>Sickness of the mind</t>
  </si>
  <si>
    <t>1, 6, 12 with afflicted Moon</t>
  </si>
  <si>
    <t>Strong Lagna</t>
  </si>
  <si>
    <t>Success in political career/Name</t>
  </si>
  <si>
    <t>1, 6, 10, 11 / 2, 10 for name</t>
  </si>
  <si>
    <t>Successful in self efforts</t>
  </si>
  <si>
    <t>Surgery</t>
  </si>
  <si>
    <t>6, 8, 12 with influence of Mars/Sun</t>
  </si>
  <si>
    <t>Mentally retarded child</t>
  </si>
  <si>
    <t>Moon Versus Lagna 87 to 93 degrees</t>
  </si>
  <si>
    <t>Longevity less than 33 years</t>
  </si>
  <si>
    <t>Makara + Badhaka</t>
  </si>
  <si>
    <t>Longevity 33 - 66 years</t>
  </si>
  <si>
    <t>Maraka or Badhaka</t>
  </si>
  <si>
    <t>Longevity more than 66 years</t>
  </si>
  <si>
    <t>No Maraka or Badhaka</t>
  </si>
  <si>
    <t>Will find it easy to make money by own personal efforts</t>
  </si>
  <si>
    <t>Increases own personal efforts</t>
  </si>
  <si>
    <t>Increases his bank balance by own service or business</t>
  </si>
  <si>
    <t>Will be financially sound</t>
  </si>
  <si>
    <t>Always in good financial status</t>
  </si>
  <si>
    <t>Hard working to earn money</t>
  </si>
  <si>
    <t>Family unity</t>
  </si>
  <si>
    <t>Good food</t>
  </si>
  <si>
    <t>Frequent dinners and parties</t>
  </si>
  <si>
    <t>Gains through education, writing, publication, advertising, journalism</t>
  </si>
  <si>
    <t>Gains by taking up agencies. commission business, touring agency etc.</t>
  </si>
  <si>
    <t>Earns as a Representative</t>
  </si>
  <si>
    <t>Make short journeys</t>
  </si>
  <si>
    <t>Gains through younger brothers</t>
  </si>
  <si>
    <t>Gets money through landed properties</t>
  </si>
  <si>
    <t>Builds his own house</t>
  </si>
  <si>
    <t>Will own lands, mines, houses, vehicles, etc.</t>
  </si>
  <si>
    <t>One gains through investments in lands, mines, houses, vehicles</t>
  </si>
  <si>
    <t>Will be successful in one's own place</t>
  </si>
  <si>
    <t>Gains through mother</t>
  </si>
  <si>
    <t>Gains through music, cinema, drama, sports and entertainments</t>
  </si>
  <si>
    <t>Makes profit in any transaction</t>
  </si>
  <si>
    <t>Will have over-draft facilities</t>
  </si>
  <si>
    <t>Comes out successful in election and gains</t>
  </si>
  <si>
    <t>Deals with pet animals, poultry, medicines, and gains through them</t>
  </si>
  <si>
    <t xml:space="preserve">Deals and gains through servants, labour and labour departments. </t>
  </si>
  <si>
    <t>Gains through Partner</t>
  </si>
  <si>
    <t>Gains by contract</t>
  </si>
  <si>
    <t>Success in litigation</t>
  </si>
  <si>
    <t>Regains his seniority and position</t>
  </si>
  <si>
    <t>Enemies meet with danger</t>
  </si>
  <si>
    <t xml:space="preserve">Gains by legacy, insurance, bonus, gratuity, will etc. </t>
  </si>
  <si>
    <t>Loss of money by Bank failure</t>
  </si>
  <si>
    <t>Gains through Import-Export business</t>
  </si>
  <si>
    <t>Gains by publishing books</t>
  </si>
  <si>
    <t>Gains by making long journeys</t>
  </si>
  <si>
    <t>Gains by foreigners</t>
  </si>
  <si>
    <t>Gains by a patent discovery</t>
  </si>
  <si>
    <t>Gains through religious sources</t>
  </si>
  <si>
    <t>Gains by science and research</t>
  </si>
  <si>
    <t>Makes steady progress</t>
  </si>
  <si>
    <t>Gets into own consulting business</t>
  </si>
  <si>
    <t>Gets pride, honour, awards, reputation and success in all undertakings</t>
  </si>
  <si>
    <t>Gains money without much effort</t>
  </si>
  <si>
    <t>Gains through speculations, friends, lottery</t>
  </si>
  <si>
    <t>Obtaining Jewellery</t>
  </si>
  <si>
    <t xml:space="preserve">Satisfactory financial position throughout life </t>
  </si>
  <si>
    <t xml:space="preserve">Makes money by serving in a Sanatorium Asylum, Hospital, Occult research, Circus, Jails etc. </t>
  </si>
  <si>
    <t>Open a Bank Deposit / Deposit money in a bank</t>
  </si>
  <si>
    <t>Accumulating huge wealth with fame</t>
  </si>
  <si>
    <t>2, 6, 10, 11 with Venus, Jupiter</t>
  </si>
  <si>
    <t>Own Huge Bank Deposits</t>
  </si>
  <si>
    <t>2, 6, 10, 11</t>
  </si>
  <si>
    <t>Earn sufficient money</t>
  </si>
  <si>
    <t>Fifth child of a female</t>
  </si>
  <si>
    <t>2, 5, 11</t>
  </si>
  <si>
    <t>Deaf and dumb</t>
  </si>
  <si>
    <t>Sub lord Rahu + influence of watery sign</t>
  </si>
  <si>
    <t>Defect in Speech or defect in Right Vision of a male</t>
  </si>
  <si>
    <t>Sub Lord Rahu + influence of watery sign</t>
  </si>
  <si>
    <t>Earning money through illegal means</t>
  </si>
  <si>
    <t>6, 8, 11</t>
  </si>
  <si>
    <t>High Financial Status</t>
  </si>
  <si>
    <t>2, 11</t>
  </si>
  <si>
    <t>Gain/success in independent business</t>
  </si>
  <si>
    <t>3, 7, 10, 11</t>
  </si>
  <si>
    <t>Gaining wealth increase bank deposit</t>
  </si>
  <si>
    <t>2, 6, 10, 11 with Jupiter</t>
  </si>
  <si>
    <t>lncrease in ornaments, jewels</t>
  </si>
  <si>
    <t>2, 8, 10, 11</t>
  </si>
  <si>
    <t>lndependent earnings</t>
  </si>
  <si>
    <t>4, 6, 10, 11</t>
  </si>
  <si>
    <t>Insurance claims</t>
  </si>
  <si>
    <t>2, 8, 11 with Mercury</t>
  </si>
  <si>
    <t>Insurance legacy, gratuity</t>
  </si>
  <si>
    <t>2, 8, 11 with Jupiter</t>
  </si>
  <si>
    <t>Long journey and interaction with foreigners</t>
  </si>
  <si>
    <t>2, 9, 11</t>
  </si>
  <si>
    <t>Losing wealth, money</t>
  </si>
  <si>
    <t>5 &amp; 8, 8 &amp; 12, 5 &amp; 12 combinations</t>
  </si>
  <si>
    <t>8 &amp; 12</t>
  </si>
  <si>
    <t>Loss of money</t>
  </si>
  <si>
    <t>1, 7, 8, 12</t>
  </si>
  <si>
    <t>Medical claims</t>
  </si>
  <si>
    <t>Once for all lost of property</t>
  </si>
  <si>
    <t>One's exertion</t>
  </si>
  <si>
    <t>1, 2, 11</t>
  </si>
  <si>
    <t>Opening bank account</t>
  </si>
  <si>
    <t>6, 11</t>
  </si>
  <si>
    <t>Poverty</t>
  </si>
  <si>
    <t>5, 8, 12 with strong and afflicted Saturn and Rahu with weak Sun and Moon</t>
  </si>
  <si>
    <t>Proficient in occult science</t>
  </si>
  <si>
    <t>9,12 with Ketu,Venus, Mercury &amp; Saturn</t>
  </si>
  <si>
    <t>Purchase of movable property</t>
  </si>
  <si>
    <t>2, 6, 9, 11 &amp; Venus</t>
  </si>
  <si>
    <t>Recovery of lost property</t>
  </si>
  <si>
    <t>Demise of first spouse</t>
  </si>
  <si>
    <t>Separation from family</t>
  </si>
  <si>
    <t>1, 3, 12</t>
  </si>
  <si>
    <t>Serving others</t>
  </si>
  <si>
    <t>Wealth--Enormous</t>
  </si>
  <si>
    <t>Wealthlessness</t>
  </si>
  <si>
    <t>Unity among brothers</t>
  </si>
  <si>
    <t>Easy and smooth life</t>
  </si>
  <si>
    <t>Very bold and commanding</t>
  </si>
  <si>
    <t>Gets things done very easily</t>
  </si>
  <si>
    <t>Brothers are helpful</t>
  </si>
  <si>
    <t>Luck in lottery</t>
  </si>
  <si>
    <t>Good financial transaction with neighbours and brothers</t>
  </si>
  <si>
    <t>Gains through correspondence and writing and communication</t>
  </si>
  <si>
    <t>Good health and honour</t>
  </si>
  <si>
    <t>Educational gains</t>
  </si>
  <si>
    <t>Gains in journeys</t>
  </si>
  <si>
    <t>Successful in enterprises</t>
  </si>
  <si>
    <t>Earns by teaching</t>
  </si>
  <si>
    <t>Resorting to all methods to earn money</t>
  </si>
  <si>
    <t>Earns by advertising and publicity and marketing</t>
  </si>
  <si>
    <t>Saves money</t>
  </si>
  <si>
    <t>Earns by painting</t>
  </si>
  <si>
    <t>Economical</t>
  </si>
  <si>
    <t>Satisfied in married life</t>
  </si>
  <si>
    <t>Increase of income</t>
  </si>
  <si>
    <t>Gains wealth</t>
  </si>
  <si>
    <t>Victory over enemies</t>
  </si>
  <si>
    <t>Strong mind</t>
  </si>
  <si>
    <t>Concentration</t>
  </si>
  <si>
    <t>Cares for truth</t>
  </si>
  <si>
    <t>Bold</t>
  </si>
  <si>
    <t>Adventurous</t>
  </si>
  <si>
    <t>Cheerful</t>
  </si>
  <si>
    <t>Optimistic</t>
  </si>
  <si>
    <t>Good relations with neighbours and others</t>
  </si>
  <si>
    <t>Happy</t>
  </si>
  <si>
    <t>Popular</t>
  </si>
  <si>
    <t>Sympathetic</t>
  </si>
  <si>
    <t>Courteous</t>
  </si>
  <si>
    <t>Fond of other sex</t>
  </si>
  <si>
    <t>Fond of travel</t>
  </si>
  <si>
    <t>Reading</t>
  </si>
  <si>
    <t>Developed mind</t>
  </si>
  <si>
    <t>Changes and new surroundings</t>
  </si>
  <si>
    <t>Good for agency business</t>
  </si>
  <si>
    <t>Ambition fulfilled through brothers</t>
  </si>
  <si>
    <t>Profit in Real Estates</t>
  </si>
  <si>
    <t>Easy life in old age</t>
  </si>
  <si>
    <t>Domestic happiness</t>
  </si>
  <si>
    <t>Change of residence</t>
  </si>
  <si>
    <t>Easy deals in land and vehicles</t>
  </si>
  <si>
    <t>Soft deal with opposite sex</t>
  </si>
  <si>
    <t>Come out easily in interviews and examinations</t>
  </si>
  <si>
    <t>Gains through paper</t>
  </si>
  <si>
    <t>Visits Library and Reads books and gains through them</t>
  </si>
  <si>
    <t>Cattle very smooth</t>
  </si>
  <si>
    <t>Easy inheritance</t>
  </si>
  <si>
    <t>Gains through transport</t>
  </si>
  <si>
    <t>Gains through educational institutions</t>
  </si>
  <si>
    <t>Gains through agriculture</t>
  </si>
  <si>
    <t>Free movement with politicians</t>
  </si>
  <si>
    <t>Takes adoption</t>
  </si>
  <si>
    <t>Satisfaction in love affairs</t>
  </si>
  <si>
    <t>Moves with elderly people</t>
  </si>
  <si>
    <t>Gains in speculation, sports, music, cinema, opera</t>
  </si>
  <si>
    <t>Talented in fine arts</t>
  </si>
  <si>
    <t>Good administrator and advisor</t>
  </si>
  <si>
    <t>Whole sale merchant</t>
  </si>
  <si>
    <t>Social success</t>
  </si>
  <si>
    <t>Political gains</t>
  </si>
  <si>
    <t>Loves mental pleasure than physical</t>
  </si>
  <si>
    <t>Good Sportsman</t>
  </si>
  <si>
    <t>Body Builder</t>
  </si>
  <si>
    <t>Attracted by other sex</t>
  </si>
  <si>
    <t>Government help</t>
  </si>
  <si>
    <t>Help from Criminals</t>
  </si>
  <si>
    <t>Enjoys in the company of children</t>
  </si>
  <si>
    <t>Speculative mind</t>
  </si>
  <si>
    <t>Wise</t>
  </si>
  <si>
    <t>Steady in action</t>
  </si>
  <si>
    <t>Good lover</t>
  </si>
  <si>
    <t>Gains through service</t>
  </si>
  <si>
    <t>Easy job</t>
  </si>
  <si>
    <t>Quick promotion</t>
  </si>
  <si>
    <t>Intelligent</t>
  </si>
  <si>
    <t>Wins enemies</t>
  </si>
  <si>
    <t>Big family</t>
  </si>
  <si>
    <t>Very brisk</t>
  </si>
  <si>
    <t>Quick profits</t>
  </si>
  <si>
    <t>Bank facilities</t>
  </si>
  <si>
    <t>Change of service</t>
  </si>
  <si>
    <t>Profits through pet animals, poultry etc.</t>
  </si>
  <si>
    <t>Success in election</t>
  </si>
  <si>
    <t>Active</t>
  </si>
  <si>
    <t>Good relations with labour and servants</t>
  </si>
  <si>
    <t>Gains money in litigation</t>
  </si>
  <si>
    <t>Resistance to diseases</t>
  </si>
  <si>
    <t>Well attended by servants</t>
  </si>
  <si>
    <t>Easy and sudden gains</t>
  </si>
  <si>
    <t>Gains through marriage</t>
  </si>
  <si>
    <t>Magnanimous</t>
  </si>
  <si>
    <t>Determined</t>
  </si>
  <si>
    <t>Permanent attachment</t>
  </si>
  <si>
    <t>Gains by compromise through partners</t>
  </si>
  <si>
    <t>Travels with Partners</t>
  </si>
  <si>
    <t>Good vision</t>
  </si>
  <si>
    <t>Help from Officers</t>
  </si>
  <si>
    <t>Well settled</t>
  </si>
  <si>
    <t>Engaged in public work</t>
  </si>
  <si>
    <t>Early marriage</t>
  </si>
  <si>
    <t>Broad outlook</t>
  </si>
  <si>
    <t>Honeymoon</t>
  </si>
  <si>
    <t>Short journeys</t>
  </si>
  <si>
    <t>Good spouse</t>
  </si>
  <si>
    <t>Pleasure with opposite sex</t>
  </si>
  <si>
    <t>Gains in litigation</t>
  </si>
  <si>
    <t>No competition in business</t>
  </si>
  <si>
    <t>Young and employed Partner</t>
  </si>
  <si>
    <t>Marriage by advertisement</t>
  </si>
  <si>
    <t>Good vitality</t>
  </si>
  <si>
    <t>Owns vehicles</t>
  </si>
  <si>
    <t>True partner</t>
  </si>
  <si>
    <t>Increase in wealth</t>
  </si>
  <si>
    <t>Gains reputation</t>
  </si>
  <si>
    <t>Agricultural gains</t>
  </si>
  <si>
    <t>Very clever in dealing with the other sex</t>
  </si>
  <si>
    <t>Always Fond of pleasure</t>
  </si>
  <si>
    <t>Pleasant journey</t>
  </si>
  <si>
    <t>Well suited for business</t>
  </si>
  <si>
    <t>No opposition</t>
  </si>
  <si>
    <t>Gains large money by lottery</t>
  </si>
  <si>
    <t>Gain property by Will and Legacy</t>
  </si>
  <si>
    <t>Luck after marriage</t>
  </si>
  <si>
    <t>Heroic action</t>
  </si>
  <si>
    <t>Improves vitality</t>
  </si>
  <si>
    <t>Long life</t>
  </si>
  <si>
    <t>Good happiness</t>
  </si>
  <si>
    <t>Gains through ladies</t>
  </si>
  <si>
    <t>Profitable transaction</t>
  </si>
  <si>
    <t>Loves dancing girls</t>
  </si>
  <si>
    <t>Happy partner</t>
  </si>
  <si>
    <t>Gains the goodwill of Partners and neighbours</t>
  </si>
  <si>
    <t>More wealth</t>
  </si>
  <si>
    <t>Help from relatives</t>
  </si>
  <si>
    <t>Happy function and dinners</t>
  </si>
  <si>
    <t>Honest and generous</t>
  </si>
  <si>
    <t>Free flow of other's money</t>
  </si>
  <si>
    <t>Successful in business</t>
  </si>
  <si>
    <t>Wealth through spouse</t>
  </si>
  <si>
    <t>God fearing</t>
  </si>
  <si>
    <t>Profit by legacy</t>
  </si>
  <si>
    <t>Insurance and building materials</t>
  </si>
  <si>
    <t>Satisfaction</t>
  </si>
  <si>
    <t>Good dreams</t>
  </si>
  <si>
    <t>Gains by religious institutions</t>
  </si>
  <si>
    <t>Gains by Legal service</t>
  </si>
  <si>
    <t>Gains by Travels</t>
  </si>
  <si>
    <t>Gains by Strangers</t>
  </si>
  <si>
    <t>Gains by Foreigners</t>
  </si>
  <si>
    <t>Gains by By Research</t>
  </si>
  <si>
    <t>Gains by overseas travel</t>
  </si>
  <si>
    <t>Sincere</t>
  </si>
  <si>
    <t>Increase in popularity</t>
  </si>
  <si>
    <t>Does meritorious deeds</t>
  </si>
  <si>
    <t>Success in attempts</t>
  </si>
  <si>
    <t>Donates to temples and Charitable Institutions</t>
  </si>
  <si>
    <t>Possess land, building, jewellery, vehicles</t>
  </si>
  <si>
    <t>Gains through transport agency</t>
  </si>
  <si>
    <t>Makes long tours</t>
  </si>
  <si>
    <t>Settler in foreign country</t>
  </si>
  <si>
    <t>Romantic</t>
  </si>
  <si>
    <t>Psychic experience</t>
  </si>
  <si>
    <t>Export and Import Trade</t>
  </si>
  <si>
    <t>Self made and enterprising</t>
  </si>
  <si>
    <t>Higher education</t>
  </si>
  <si>
    <t>High position</t>
  </si>
  <si>
    <t>Respected by public</t>
  </si>
  <si>
    <t>Learns music</t>
  </si>
  <si>
    <t>Correct intuition</t>
  </si>
  <si>
    <t>Clear thought</t>
  </si>
  <si>
    <t>Logical</t>
  </si>
  <si>
    <t>Good advisor</t>
  </si>
  <si>
    <t>Consultant</t>
  </si>
  <si>
    <t>Sympathetic obliging</t>
  </si>
  <si>
    <t>Marries a stranger</t>
  </si>
  <si>
    <t>Good fortune</t>
  </si>
  <si>
    <t>Honour meditative and detached</t>
  </si>
  <si>
    <t>Minerals and Geology</t>
  </si>
  <si>
    <t>Occult subjects</t>
  </si>
  <si>
    <t>Renovates temples</t>
  </si>
  <si>
    <t>Easy income and improvement in status</t>
  </si>
  <si>
    <t>Gets honour and authority</t>
  </si>
  <si>
    <t>Good inheritance</t>
  </si>
  <si>
    <t>Good for business and profession</t>
  </si>
  <si>
    <t>Promotion</t>
  </si>
  <si>
    <t>Possess all comforts</t>
  </si>
  <si>
    <t xml:space="preserve">Fond of music </t>
  </si>
  <si>
    <t>Head of Society</t>
  </si>
  <si>
    <t>Successful in politics</t>
  </si>
  <si>
    <t>Popular in public life</t>
  </si>
  <si>
    <t>Respects elders</t>
  </si>
  <si>
    <t>Reasonable</t>
  </si>
  <si>
    <t>Independent</t>
  </si>
  <si>
    <t>Courageous</t>
  </si>
  <si>
    <t>Gains in business</t>
  </si>
  <si>
    <t>Industrial pursuits</t>
  </si>
  <si>
    <t>Gains in agriculture and by Real Estates</t>
  </si>
  <si>
    <t>Novelists</t>
  </si>
  <si>
    <t>Teacher</t>
  </si>
  <si>
    <t>Reporter</t>
  </si>
  <si>
    <t>Electrician</t>
  </si>
  <si>
    <t>Deals in Antiques</t>
  </si>
  <si>
    <t>Success in education</t>
  </si>
  <si>
    <t>Possess good house, vehicles etc.</t>
  </si>
  <si>
    <t>Noble birth</t>
  </si>
  <si>
    <t>Influential</t>
  </si>
  <si>
    <t>Sportsman</t>
  </si>
  <si>
    <t>Friendly with higher officials</t>
  </si>
  <si>
    <t>Pleasing manners</t>
  </si>
  <si>
    <t>Popular with the other sex</t>
  </si>
  <si>
    <t>Permanent friends</t>
  </si>
  <si>
    <t>Gains through elders and music and happy life</t>
  </si>
  <si>
    <t>Gains through amusement and speculation</t>
  </si>
  <si>
    <t>Ambition for power and position</t>
  </si>
  <si>
    <t>Industrious</t>
  </si>
  <si>
    <t>Visits holy places and enjoys in foreign land</t>
  </si>
  <si>
    <t>Head of a Religious Institution</t>
  </si>
  <si>
    <t>Gets his ambition fulfilled easily</t>
  </si>
  <si>
    <t>Loyal and Honest</t>
  </si>
  <si>
    <t>Ministerial friendship</t>
  </si>
  <si>
    <t>Social Success</t>
  </si>
  <si>
    <t>Good Business</t>
  </si>
  <si>
    <t>Many conveyance facilities</t>
  </si>
  <si>
    <t>Good friends</t>
  </si>
  <si>
    <t>Well informed</t>
  </si>
  <si>
    <t>Gains by agriculture</t>
  </si>
  <si>
    <t>Self-made</t>
  </si>
  <si>
    <t>Large property</t>
  </si>
  <si>
    <t>Generous</t>
  </si>
  <si>
    <t>Charitable</t>
  </si>
  <si>
    <t>Many acquaintances</t>
  </si>
  <si>
    <t>Associates with young people</t>
  </si>
  <si>
    <t>Good in Mathematics and astrology</t>
  </si>
  <si>
    <t>Well placed in life</t>
  </si>
  <si>
    <t>Master of Arts</t>
  </si>
  <si>
    <t>Enjoys all comforts</t>
  </si>
  <si>
    <t>Very rich</t>
  </si>
  <si>
    <t>Luxury and comfort</t>
  </si>
  <si>
    <t>Learned</t>
  </si>
  <si>
    <t>Success in medicines</t>
  </si>
  <si>
    <t>Success in occult science</t>
  </si>
  <si>
    <t>Profits through hospitals</t>
  </si>
  <si>
    <t>Profits through prisons</t>
  </si>
  <si>
    <t>Profits through sanatorium</t>
  </si>
  <si>
    <t>Profits through Circus</t>
  </si>
  <si>
    <t>Sacrificing</t>
  </si>
  <si>
    <t>Profits in foreign countries</t>
  </si>
  <si>
    <t>Fond of occult science</t>
  </si>
  <si>
    <t>Secret love</t>
  </si>
  <si>
    <t>Long journey</t>
  </si>
  <si>
    <t>Gains through law and legal affairs</t>
  </si>
  <si>
    <t>Connections with foreigners</t>
  </si>
  <si>
    <t>Pious</t>
  </si>
  <si>
    <t>Investigates secret arts</t>
  </si>
  <si>
    <t>Happy life</t>
  </si>
  <si>
    <t>Fulfils promises</t>
  </si>
  <si>
    <t>Absconding dead</t>
  </si>
  <si>
    <t>Sub lord in watery sign dead</t>
  </si>
  <si>
    <t>Absconding person safe return</t>
  </si>
  <si>
    <t>4, 11</t>
  </si>
  <si>
    <t>Absconding person not return</t>
  </si>
  <si>
    <t>Boldness/rashness</t>
  </si>
  <si>
    <t>6, 10, 11 &amp; Mars</t>
  </si>
  <si>
    <t>Boldness to take a job</t>
  </si>
  <si>
    <t>Blindness in left eye from birth</t>
  </si>
  <si>
    <t>1 + Moon occupies watery sign</t>
  </si>
  <si>
    <t>Blindness in right eye from birth</t>
  </si>
  <si>
    <t>1 + Sun occupies watery sign</t>
  </si>
  <si>
    <t>Blindness in both eyes from birth</t>
  </si>
  <si>
    <t>1 + Sun and Moon occupy watery sign</t>
  </si>
  <si>
    <t>Blindness through disease</t>
  </si>
  <si>
    <t>1 + 6</t>
  </si>
  <si>
    <t>Blindness through accidents or treatment</t>
  </si>
  <si>
    <t>1 + 8</t>
  </si>
  <si>
    <t>Blindness after hospitalisation</t>
  </si>
  <si>
    <t>1 + 12</t>
  </si>
  <si>
    <t>Visa foreign application</t>
  </si>
  <si>
    <t>Election ticket</t>
  </si>
  <si>
    <t>3, 11</t>
  </si>
  <si>
    <t>Communication Success</t>
  </si>
  <si>
    <t>Getting a telephone call (communication regain)</t>
  </si>
  <si>
    <t>3, 9, 11 + Mercury</t>
  </si>
  <si>
    <t>Hearing news about a missing person</t>
  </si>
  <si>
    <t>Instant predictions</t>
  </si>
  <si>
    <t>3, 9, 11</t>
  </si>
  <si>
    <t>Long distance Phone call</t>
  </si>
  <si>
    <t>Loss in appeal</t>
  </si>
  <si>
    <t>5, 12 with influence of earthy signs</t>
  </si>
  <si>
    <t>Loss of reputation</t>
  </si>
  <si>
    <t>8, 9, 12 with afflicted Sun or Moon</t>
  </si>
  <si>
    <t>Making contract or agreement</t>
  </si>
  <si>
    <t>1, 3, 9, 11</t>
  </si>
  <si>
    <t>Marriage negotiation</t>
  </si>
  <si>
    <t>3, 7, 9</t>
  </si>
  <si>
    <t>Marriage-engagement</t>
  </si>
  <si>
    <t>5, 7, 9, 11</t>
  </si>
  <si>
    <t>Meeting a person or appointment</t>
  </si>
  <si>
    <t>9, 11 with influence of the 11th house significators</t>
  </si>
  <si>
    <t>Money obtained by selling possession</t>
  </si>
  <si>
    <t>3, 11, 12</t>
  </si>
  <si>
    <t>Negotiation to take over a business</t>
  </si>
  <si>
    <t>3, 6, 9, 10</t>
  </si>
  <si>
    <t>Negotiation to adopt a child</t>
  </si>
  <si>
    <t>3, 5, 9</t>
  </si>
  <si>
    <t>News of promotion in service with transfer order</t>
  </si>
  <si>
    <t>One speaks truth</t>
  </si>
  <si>
    <t>3, 9, 11 with influence of Sun and Jupiter</t>
  </si>
  <si>
    <t>Passport,Green card,visa</t>
  </si>
  <si>
    <t>9, 11, 12 with Mercury, Venus &amp; Jupiter</t>
  </si>
  <si>
    <t>Publishing a book non-technical</t>
  </si>
  <si>
    <t>3, 10, 11 with Mard, mercury &amp; Jupiter</t>
  </si>
  <si>
    <t>Purchase of TV,eletrical goods</t>
  </si>
  <si>
    <t>1, 3, 5, 12</t>
  </si>
  <si>
    <t>Receipt of letter</t>
  </si>
  <si>
    <t>3, 11 with Mercury &amp; strong 3rd Lord</t>
  </si>
  <si>
    <t>Receipts of news causing worries</t>
  </si>
  <si>
    <t>3, 8, 11</t>
  </si>
  <si>
    <t>Rumor or any information is false</t>
  </si>
  <si>
    <t>3, 9, 11 Saturn,Rahu &amp; Mars</t>
  </si>
  <si>
    <t>Selling at loss</t>
  </si>
  <si>
    <t>3, 8, 12</t>
  </si>
  <si>
    <t>Selling with profit</t>
  </si>
  <si>
    <t>Short journey touring</t>
  </si>
  <si>
    <t>3, 7, 11 with influence of Mercury</t>
  </si>
  <si>
    <t>Signing a contract</t>
  </si>
  <si>
    <t>6, 9,11</t>
  </si>
  <si>
    <t>Starting journey</t>
  </si>
  <si>
    <t>5, 9, 11</t>
  </si>
  <si>
    <t>Success in appeal</t>
  </si>
  <si>
    <t>Success in personal interview</t>
  </si>
  <si>
    <t>Successful broker</t>
  </si>
  <si>
    <t>3, 6, 10,11</t>
  </si>
  <si>
    <t>SuccessfuI negotiation</t>
  </si>
  <si>
    <t>3, 11 Mercury or Jupiter</t>
  </si>
  <si>
    <t>Timid and coward person</t>
  </si>
  <si>
    <t>8, 12 and influenced by Saturn</t>
  </si>
  <si>
    <t>Younger siblings--Death</t>
  </si>
  <si>
    <t>2, 4 and Maraka and Badhaka of the particular sibling</t>
  </si>
  <si>
    <t>Younger siblings--Enmity</t>
  </si>
  <si>
    <t>6, 8</t>
  </si>
  <si>
    <t>Younger siblings-Living in Harmony</t>
  </si>
  <si>
    <t>1, 11</t>
  </si>
  <si>
    <t>Younger siblings--Separation</t>
  </si>
  <si>
    <t>2, 10</t>
  </si>
  <si>
    <t>Winning lottery</t>
  </si>
  <si>
    <t>3, 5, 8</t>
  </si>
  <si>
    <t>Winning lottery + Huge income</t>
  </si>
  <si>
    <t>2, 3, 5, 8</t>
  </si>
  <si>
    <t>Winning lottery + Huge income + First prize</t>
  </si>
  <si>
    <t>2, 3, 5, 8 + Jupiter</t>
  </si>
  <si>
    <t>Stock Trading or Share trading business</t>
  </si>
  <si>
    <t>Will my script become a book?</t>
  </si>
  <si>
    <t>Will my script become a book? + Fame</t>
  </si>
  <si>
    <t>3, 9, 11 + 10 for fame</t>
  </si>
  <si>
    <t>Affectionate mother</t>
  </si>
  <si>
    <t>Vehicles to one’s taste</t>
  </si>
  <si>
    <t>Fond of agriculture, Poultry</t>
  </si>
  <si>
    <t>Owns mines and Real Estates, Gardens, Buildings, Monuments and antiques</t>
  </si>
  <si>
    <t>Inheritance of properties</t>
  </si>
  <si>
    <t>Treasures</t>
  </si>
  <si>
    <t>Always engaged in studying</t>
  </si>
  <si>
    <t>Interested in Vedic and Secret subjects</t>
  </si>
  <si>
    <t>Gains from investments like land and building</t>
  </si>
  <si>
    <t>Good health</t>
  </si>
  <si>
    <t>Pleasing Mother</t>
  </si>
  <si>
    <t>New friends</t>
  </si>
  <si>
    <t>Gains by sale of newspaper and books</t>
  </si>
  <si>
    <t>Gains through parents</t>
  </si>
  <si>
    <t>Buildings</t>
  </si>
  <si>
    <t>Vehicles and Cattle</t>
  </si>
  <si>
    <t>Loves his native place</t>
  </si>
  <si>
    <t>Homesick during travel</t>
  </si>
  <si>
    <t>Converts properties into cash</t>
  </si>
  <si>
    <t>Increases bank balance by converting documents, Bonds, Securities, stocks and shares, Promissory Notes, Mortgages</t>
  </si>
  <si>
    <t>Trades on Gem Stones</t>
  </si>
  <si>
    <t>Liberal</t>
  </si>
  <si>
    <t>Oratorical talent gains through politics</t>
  </si>
  <si>
    <t>Purchase of new house</t>
  </si>
  <si>
    <t>Gains through land, building and vehicle</t>
  </si>
  <si>
    <t>Wins in litigation</t>
  </si>
  <si>
    <t>Cattle and Farm Wealth</t>
  </si>
  <si>
    <t>Fortune in native place</t>
  </si>
  <si>
    <t>Political Gains</t>
  </si>
  <si>
    <t>Mental ability are affected</t>
  </si>
  <si>
    <t>Memory intellect are affected</t>
  </si>
  <si>
    <t>House and vehicles are in frequent repairs</t>
  </si>
  <si>
    <t>Education badly affected</t>
  </si>
  <si>
    <t>Loss in real estates and touring business</t>
  </si>
  <si>
    <t>Trouble in Agency and contract business</t>
  </si>
  <si>
    <t>Loss in publication and advertising moneys</t>
  </si>
  <si>
    <t>Restlessness</t>
  </si>
  <si>
    <t>Loss in bargaining</t>
  </si>
  <si>
    <t>Gets into difficulties by standing Surety to others</t>
  </si>
  <si>
    <t>Property of the person is safe and sound</t>
  </si>
  <si>
    <t>Always like to live in his own place</t>
  </si>
  <si>
    <t>Likes to build his own house upto his taste</t>
  </si>
  <si>
    <t>Keeps his possession in safe custody</t>
  </si>
  <si>
    <t>Successful in education</t>
  </si>
  <si>
    <t>Adopts strict principles</t>
  </si>
  <si>
    <t>Possesses Music and Opera house, Cinema Theatres, Hotels and Rest Houses, Dancing Halls and betting houses, Stock Exchange</t>
  </si>
  <si>
    <t>Teacher of Fine Arts</t>
  </si>
  <si>
    <t>Likes and visit forests</t>
  </si>
  <si>
    <t>Religious minded</t>
  </si>
  <si>
    <t>Good wisdom and mantric talents</t>
  </si>
  <si>
    <t>Rent through lands and buildings</t>
  </si>
  <si>
    <t>Very successful in education</t>
  </si>
  <si>
    <t>Gets property through litigation</t>
  </si>
  <si>
    <t>Gets good tenant</t>
  </si>
  <si>
    <t>Successful in competitive examinations</t>
  </si>
  <si>
    <t>Industrial Undertaking</t>
  </si>
  <si>
    <t>Workers and Labour in good understanding</t>
  </si>
  <si>
    <t>Good for investment and purchase</t>
  </si>
  <si>
    <t>Person is always sick</t>
  </si>
  <si>
    <t>Poor resistance against diseases</t>
  </si>
  <si>
    <t>Profit through farming and poultry</t>
  </si>
  <si>
    <t>Good relation with life partner and others</t>
  </si>
  <si>
    <t>Recovery of property through compromise</t>
  </si>
  <si>
    <t>Successful real estates</t>
  </si>
  <si>
    <t>Build houses and sells them for profits</t>
  </si>
  <si>
    <t>Powerful due to support of relations</t>
  </si>
  <si>
    <t>International Trade</t>
  </si>
  <si>
    <t>Writes Will for adopted son, if there is one</t>
  </si>
  <si>
    <t>Comes out successful by his father's friends</t>
  </si>
  <si>
    <t>Always in the company of his relatives.</t>
  </si>
  <si>
    <t xml:space="preserve">Acquires properties by inheritance, legacies, wills, insurance, gratuity, bonus, shares etc. </t>
  </si>
  <si>
    <t>Likely to get into accidents</t>
  </si>
  <si>
    <t>Miser</t>
  </si>
  <si>
    <t>Not satisfied with his possessions</t>
  </si>
  <si>
    <t>Avaricious</t>
  </si>
  <si>
    <t>Disturbed education</t>
  </si>
  <si>
    <t>Vehicles and house in frequent repairs</t>
  </si>
  <si>
    <t>Loves to die in his own house.</t>
  </si>
  <si>
    <t xml:space="preserve">Tour with regard to education </t>
  </si>
  <si>
    <t xml:space="preserve">Studies abroad </t>
  </si>
  <si>
    <t>Research in Science, Chemistry and Geology</t>
  </si>
  <si>
    <t>Pilgrimage</t>
  </si>
  <si>
    <t>Religious</t>
  </si>
  <si>
    <t>Orthodox</t>
  </si>
  <si>
    <t>Explorer</t>
  </si>
  <si>
    <t>Sacrifice and Charity</t>
  </si>
  <si>
    <t>Teaches dharma</t>
  </si>
  <si>
    <t>Strange dreams and visions</t>
  </si>
  <si>
    <t>Publisher of books on Religion</t>
  </si>
  <si>
    <t>Import and export Trade</t>
  </si>
  <si>
    <t>Deals in Radio, Cable, Wireless &amp; Communication.</t>
  </si>
  <si>
    <t>A good professional career</t>
  </si>
  <si>
    <t>Name and fame</t>
  </si>
  <si>
    <t>Palatial building and servants administrators</t>
  </si>
  <si>
    <t>Judge and Chief Officer</t>
  </si>
  <si>
    <t>Adopted son</t>
  </si>
  <si>
    <t>Large properties</t>
  </si>
  <si>
    <t>Good sportsman</t>
  </si>
  <si>
    <t>Permanent possession</t>
  </si>
  <si>
    <t>Good vehicles and houses</t>
  </si>
  <si>
    <t>Honoured by Government</t>
  </si>
  <si>
    <t>Business success</t>
  </si>
  <si>
    <t>Pleasurable pursuits</t>
  </si>
  <si>
    <t>Commanding</t>
  </si>
  <si>
    <t>Social life</t>
  </si>
  <si>
    <t>Political Success</t>
  </si>
  <si>
    <t>Always in the company of his friends</t>
  </si>
  <si>
    <t>Very happy</t>
  </si>
  <si>
    <t>Contented life</t>
  </si>
  <si>
    <t>Successful in his business attempts</t>
  </si>
  <si>
    <t>Comfortable resident</t>
  </si>
  <si>
    <t>Land and Agricultural wealth</t>
  </si>
  <si>
    <t>Higher post in Politics</t>
  </si>
  <si>
    <t>Higher post in Associations</t>
  </si>
  <si>
    <t>Leading person in local affairs</t>
  </si>
  <si>
    <t>Recovery from illness</t>
  </si>
  <si>
    <t>Parliamentarian</t>
  </si>
  <si>
    <t>Easy gains</t>
  </si>
  <si>
    <t>Gains from various sources</t>
  </si>
  <si>
    <t>Accidents</t>
  </si>
  <si>
    <t>Hospitalisation</t>
  </si>
  <si>
    <t>Loss of properties and acquisitions</t>
  </si>
  <si>
    <t>Obstacles and impediments</t>
  </si>
  <si>
    <t>Misfortune</t>
  </si>
  <si>
    <t>Sufferings</t>
  </si>
  <si>
    <t>Health disturbances</t>
  </si>
  <si>
    <t>Agony of the mind</t>
  </si>
  <si>
    <t>Sacrifice</t>
  </si>
  <si>
    <t>Meditation</t>
  </si>
  <si>
    <t>Victim of fraud and cheating</t>
  </si>
  <si>
    <t>Psychic Research</t>
  </si>
  <si>
    <t>House arrest</t>
  </si>
  <si>
    <t>Prison life</t>
  </si>
  <si>
    <t>Pressure of work</t>
  </si>
  <si>
    <t>Pressure from hidden unknown sources</t>
  </si>
  <si>
    <t>Poisoning</t>
  </si>
  <si>
    <t>Danger through vehicles</t>
  </si>
  <si>
    <t>Basic education up to Graduation</t>
  </si>
  <si>
    <t>9, 11</t>
  </si>
  <si>
    <t>Break education</t>
  </si>
  <si>
    <t>8 - if ownership = 8 then arrears, if occupied in 8 = disruption of education</t>
  </si>
  <si>
    <t>Buildings constructed for renting</t>
  </si>
  <si>
    <t>6, 11, 12</t>
  </si>
  <si>
    <t>College admission</t>
  </si>
  <si>
    <t>Coming back from abroad</t>
  </si>
  <si>
    <t>4, 8, 11</t>
  </si>
  <si>
    <t>Damage in education</t>
  </si>
  <si>
    <t>Construct a house</t>
  </si>
  <si>
    <t>4, 11, 12</t>
  </si>
  <si>
    <t>Construction of a religious building</t>
  </si>
  <si>
    <t>4, 9, 11, 12 with influence of Jupiter</t>
  </si>
  <si>
    <t>Construction of Several houses</t>
  </si>
  <si>
    <t>4, 11, 12 with influence of Dual signs</t>
  </si>
  <si>
    <t>Death of mother</t>
  </si>
  <si>
    <t>3, 5,10 with Maraka and Badhaka of the Mother</t>
  </si>
  <si>
    <t>Decent living</t>
  </si>
  <si>
    <t>4, 5, 11</t>
  </si>
  <si>
    <t>Education-less person</t>
  </si>
  <si>
    <t>3, 5, 12</t>
  </si>
  <si>
    <t>Get a degree with difficulties</t>
  </si>
  <si>
    <t>Home Loan</t>
  </si>
  <si>
    <t>Star of 4the CSL owns or occupies 6th cusp</t>
  </si>
  <si>
    <t>Landed property ownership</t>
  </si>
  <si>
    <t>4, 11, 12 with Saturn &amp; Mars</t>
  </si>
  <si>
    <t>Lower level education</t>
  </si>
  <si>
    <t>2, 11 &amp; weak mercury, Moon &amp; Jupiter</t>
  </si>
  <si>
    <t>Cause of misfortune</t>
  </si>
  <si>
    <t>csl, starlord+signification</t>
  </si>
  <si>
    <t>Marrying a career spouse</t>
  </si>
  <si>
    <t>4, 8, 12 + Mars</t>
  </si>
  <si>
    <t>Occupying a new house 4</t>
  </si>
  <si>
    <t>11,1</t>
  </si>
  <si>
    <t>Own vehicle</t>
  </si>
  <si>
    <t>4,11, venus</t>
  </si>
  <si>
    <t>Pleasant function at home</t>
  </si>
  <si>
    <t>10,11, 5</t>
  </si>
  <si>
    <t>Receipt of small parcel</t>
  </si>
  <si>
    <t>6/11, 2/9 with mercury</t>
  </si>
  <si>
    <t>Purchase of car</t>
  </si>
  <si>
    <t>4,9,10,11 Venus &amp; Mars &amp; Mercury</t>
  </si>
  <si>
    <t>Purchase of property by installments/loan</t>
  </si>
  <si>
    <t>4,6,11,12 Saturn</t>
  </si>
  <si>
    <t>Purchase of vehicle</t>
  </si>
  <si>
    <t>4,11,12 with influence Venus or chara(movable) if 6-car loan2nd land car inf by sat</t>
  </si>
  <si>
    <t>Reach home in time</t>
  </si>
  <si>
    <t>4,11</t>
  </si>
  <si>
    <t>Rent a property</t>
  </si>
  <si>
    <t>4,11,12,6,10</t>
  </si>
  <si>
    <t>Property handing over by owner to buyer</t>
  </si>
  <si>
    <t>4,11 with 2 influence by Mars</t>
  </si>
  <si>
    <t>Sale of immovable property</t>
  </si>
  <si>
    <t>3, 5, 10 with Sun/Sat/Rahu &amp; 2/11=profit, 8/12=loss</t>
  </si>
  <si>
    <t>Sale of immovable property with profit</t>
  </si>
  <si>
    <t>3, 5, 11 with Sun/Sat/Rahu</t>
  </si>
  <si>
    <t>2, 3, 5, with Sun/Sat/Rahu</t>
  </si>
  <si>
    <t>Sale of immovable property with loss</t>
  </si>
  <si>
    <t>Selling of a car</t>
  </si>
  <si>
    <t>3, 4, 5, 10</t>
  </si>
  <si>
    <t>Separation from Mother</t>
  </si>
  <si>
    <t>3, 12</t>
  </si>
  <si>
    <t>Study of Law</t>
  </si>
  <si>
    <t>6 or 9 along with Jupiter and Mercury in these cuspal positions</t>
  </si>
  <si>
    <t>Success in competitive exam</t>
  </si>
  <si>
    <t>4, 6, 9, 11</t>
  </si>
  <si>
    <t>Taking possession of flat residence</t>
  </si>
  <si>
    <t>Theft of vehicle</t>
  </si>
  <si>
    <t>4,6,8,12, Saturn and Rahu influencing the cuspal positions</t>
  </si>
  <si>
    <t>Sporting talent are indicated</t>
  </si>
  <si>
    <t>Affectionate children</t>
  </si>
  <si>
    <t>Good intellect</t>
  </si>
  <si>
    <t>Always cheerful</t>
  </si>
  <si>
    <t>Interested in Fine Arts</t>
  </si>
  <si>
    <t>Quick in understanding</t>
  </si>
  <si>
    <t>Good wisdom</t>
  </si>
  <si>
    <t>Satisfied life</t>
  </si>
  <si>
    <t>Chanting mantras and spiritual practice</t>
  </si>
  <si>
    <t>Gains through Music, Opera, sports and Entertainments</t>
  </si>
  <si>
    <t>Owns Studios and Cinema Theatres</t>
  </si>
  <si>
    <t>Amasses wealth through children</t>
  </si>
  <si>
    <t>Earns through religious institutions and festivals</t>
  </si>
  <si>
    <t>Takes up agencies on Sports Goods</t>
  </si>
  <si>
    <t>Musical instruments</t>
  </si>
  <si>
    <t>Manager of a Musical or drama troupe</t>
  </si>
  <si>
    <t>Good understanding with children</t>
  </si>
  <si>
    <t>Very bold</t>
  </si>
  <si>
    <t>Manages any situation</t>
  </si>
  <si>
    <t>Escapes from trouble at the last minute</t>
  </si>
  <si>
    <t>Gains in Vedic practice and chanting mantras</t>
  </si>
  <si>
    <t>Denial of birth of issues</t>
  </si>
  <si>
    <t>Disturbed mind</t>
  </si>
  <si>
    <t>Always in confusion</t>
  </si>
  <si>
    <t>Finds it very difficult to take a decision</t>
  </si>
  <si>
    <t>Always worried about nothing</t>
  </si>
  <si>
    <t>Short temper</t>
  </si>
  <si>
    <t>Gains in speculation</t>
  </si>
  <si>
    <t>Failure in love affairs</t>
  </si>
  <si>
    <t>No cure from ailments</t>
  </si>
  <si>
    <t>Bad reputation to his business establishments</t>
  </si>
  <si>
    <t>Master of all arts</t>
  </si>
  <si>
    <t>Good judgement</t>
  </si>
  <si>
    <t>Very shrewd</t>
  </si>
  <si>
    <t>Wins in arguments</t>
  </si>
  <si>
    <t>Begets good children</t>
  </si>
  <si>
    <t>Unity in family and among children</t>
  </si>
  <si>
    <t>Fond of entertainment and sports</t>
  </si>
  <si>
    <t>Full of wisdom</t>
  </si>
  <si>
    <t>A very successful person</t>
  </si>
  <si>
    <t>Fortune in gambling and speculation</t>
  </si>
  <si>
    <t>Children earn their wealth</t>
  </si>
  <si>
    <t>Gains in betting</t>
  </si>
  <si>
    <t>Stock Exchanges Share etc..</t>
  </si>
  <si>
    <t>No trouble and humiliation</t>
  </si>
  <si>
    <t>Mantra Siddhi</t>
  </si>
  <si>
    <t>Never meets failures in his life</t>
  </si>
  <si>
    <t>Always at the side of profits only</t>
  </si>
  <si>
    <t>Good understanding with the Partner</t>
  </si>
  <si>
    <t>Good relation with the public</t>
  </si>
  <si>
    <t>Tackles the problem carefully</t>
  </si>
  <si>
    <t>Happy to deal with public issues</t>
  </si>
  <si>
    <t>All sorts of impediments</t>
  </si>
  <si>
    <t>Hurdles and struggles</t>
  </si>
  <si>
    <t>Pain and humiliation</t>
  </si>
  <si>
    <t>Disappointments in all walks of life</t>
  </si>
  <si>
    <t>Worries and anxieties</t>
  </si>
  <si>
    <t>Meets with calamities</t>
  </si>
  <si>
    <t>Always in mental strain</t>
  </si>
  <si>
    <t>Good mental balance</t>
  </si>
  <si>
    <t>Quick judgement</t>
  </si>
  <si>
    <t>Research in various subjects</t>
  </si>
  <si>
    <t>Calm and cheerful</t>
  </si>
  <si>
    <t>Peace loving</t>
  </si>
  <si>
    <t>Obedient</t>
  </si>
  <si>
    <t>Good manners</t>
  </si>
  <si>
    <t>Popular in Fine Arts</t>
  </si>
  <si>
    <t>Earns his fortune through drama or Cinema</t>
  </si>
  <si>
    <t>Good Artist</t>
  </si>
  <si>
    <t>Children contributes to the status of the native</t>
  </si>
  <si>
    <t>Earns name and fame</t>
  </si>
  <si>
    <t>Higher position in life</t>
  </si>
  <si>
    <t>Intelligent Businessman</t>
  </si>
  <si>
    <t>Satisfactory gains in speculation</t>
  </si>
  <si>
    <t>Earns fortune by own intelligence</t>
  </si>
  <si>
    <t>Self made</t>
  </si>
  <si>
    <t>Always happy</t>
  </si>
  <si>
    <t>Satisfactory life</t>
  </si>
  <si>
    <t>Gains through children</t>
  </si>
  <si>
    <t>No disappointment</t>
  </si>
  <si>
    <t>Heavy losses and expenses</t>
  </si>
  <si>
    <t>Troubles through sureties made</t>
  </si>
  <si>
    <t>Disobedient children</t>
  </si>
  <si>
    <t>Loss of children and agony</t>
  </si>
  <si>
    <t>Always unhappy and worried about many, problem</t>
  </si>
  <si>
    <t>Children fall into sickness</t>
  </si>
  <si>
    <t>Children are in constant trouble</t>
  </si>
  <si>
    <t>Addiction to alcohol</t>
  </si>
  <si>
    <t>1, 2, 3, 4, 6 with influence of Saturn / Mars / Rahu / Venus</t>
  </si>
  <si>
    <t>Adopt a child</t>
  </si>
  <si>
    <t>4, 10, 11</t>
  </si>
  <si>
    <t>Caesarean child birth</t>
  </si>
  <si>
    <t>2, 11. Mars or Ketu will be present in the cuspal positions with the influence of the 12th lord</t>
  </si>
  <si>
    <t>First child for a female</t>
  </si>
  <si>
    <t>Child birth denial and abortion in a female</t>
  </si>
  <si>
    <t>1, 4, 10 along with 8 and 12 and influence of Mars and Ketu</t>
  </si>
  <si>
    <t>Child's health</t>
  </si>
  <si>
    <t>3, 5, 9, 11</t>
  </si>
  <si>
    <t>Cinema actor</t>
  </si>
  <si>
    <t>2, 5, 10, 11</t>
  </si>
  <si>
    <t>Death of child less than 33 years of age</t>
  </si>
  <si>
    <t>8 with Maraka and Badhaka of the child</t>
  </si>
  <si>
    <t>Delivery of child by operation</t>
  </si>
  <si>
    <t>4, 8, 12 with influence from Mars and Saturn</t>
  </si>
  <si>
    <t>Gain from Lottery</t>
  </si>
  <si>
    <t>Gain in gambling</t>
  </si>
  <si>
    <t>2, 5, 10, 11 + Rahu</t>
  </si>
  <si>
    <t>Getting a tenant</t>
  </si>
  <si>
    <t>4, 6, 11 + Mercury</t>
  </si>
  <si>
    <t>Having an affair with one's business partner</t>
  </si>
  <si>
    <t>5, 8, 11 + Rahu</t>
  </si>
  <si>
    <t>Illicit connections</t>
  </si>
  <si>
    <t>2, 5, 8, 11 with Rahu and Venus</t>
  </si>
  <si>
    <t>Intelligent thinking</t>
  </si>
  <si>
    <t>5,11,3,9 with Jupiter &amp; Venus</t>
  </si>
  <si>
    <t>Inter-community marriage</t>
  </si>
  <si>
    <t>2,7,11 Rahu/Ketu</t>
  </si>
  <si>
    <t>Keeping a mistress</t>
  </si>
  <si>
    <t>2, 7, 11, 12</t>
  </si>
  <si>
    <t>Loose thinking</t>
  </si>
  <si>
    <t>1, 4, 6, 8, 12</t>
  </si>
  <si>
    <t>Love affair</t>
  </si>
  <si>
    <t>Love Marriage</t>
  </si>
  <si>
    <t>2, 5, 7, 11</t>
  </si>
  <si>
    <t>Mantra receiving</t>
  </si>
  <si>
    <t>2, 5, 9, 11</t>
  </si>
  <si>
    <t>No marriage with a love partner</t>
  </si>
  <si>
    <t>6,12 &amp; 4th</t>
  </si>
  <si>
    <t>Normal delivery</t>
  </si>
  <si>
    <t>2,5,11</t>
  </si>
  <si>
    <t>Obstacles in career</t>
  </si>
  <si>
    <t>5,8,12 with influence of Saturn and Rahu</t>
  </si>
  <si>
    <t>Pleasure by thinking of love</t>
  </si>
  <si>
    <t>11 with Rahu and Venus/Mars and afflicted Moon and influence of air signs</t>
  </si>
  <si>
    <t>Popular actor &amp; artist</t>
  </si>
  <si>
    <t>5,6,10 influenced by Mercury Venus Moon and Air and Water signs</t>
  </si>
  <si>
    <t>Popularity and success in music</t>
  </si>
  <si>
    <t>5,6,10,11 with Venus</t>
  </si>
  <si>
    <t>Pregnancy</t>
  </si>
  <si>
    <t>Pregnancy and child birth</t>
  </si>
  <si>
    <t>Premarital sex</t>
  </si>
  <si>
    <t>5, 8, 11 with Rahu &amp; Venus/Mars</t>
  </si>
  <si>
    <t>Successful actor</t>
  </si>
  <si>
    <t>5, 6, 11 influence by sun</t>
  </si>
  <si>
    <t>Successful and famous actor</t>
  </si>
  <si>
    <t>5, 6,10(famous),11 influence by sun</t>
  </si>
  <si>
    <t>Raped by someone</t>
  </si>
  <si>
    <t>8, 12 with influence of Pluto,Uranus Mars Rahu &amp; Saturn at the cuspal positions</t>
  </si>
  <si>
    <t>Recovery from Health</t>
  </si>
  <si>
    <t>3,5</t>
  </si>
  <si>
    <t>Safe and natural delivery of child</t>
  </si>
  <si>
    <t>3,5,11</t>
  </si>
  <si>
    <t>Safe from danger/ cure/recovery</t>
  </si>
  <si>
    <t>1,5,11</t>
  </si>
  <si>
    <t>Scandalous love affair</t>
  </si>
  <si>
    <t>5, 8,12 rahu</t>
  </si>
  <si>
    <t>Separation from child</t>
  </si>
  <si>
    <t>4,12</t>
  </si>
  <si>
    <t>Siddhi initiation</t>
  </si>
  <si>
    <t>3, 9,10,12 ketu</t>
  </si>
  <si>
    <t>Speculation,cinema,music,children</t>
  </si>
  <si>
    <t>Speculative gain</t>
  </si>
  <si>
    <t>2,5,6,11 with influence from Jupiter &amp; Mercury</t>
  </si>
  <si>
    <t>Speculative business</t>
  </si>
  <si>
    <t>2,11,8 with Rahu,Mercury</t>
  </si>
  <si>
    <t>Spiritual life and Divine worship</t>
  </si>
  <si>
    <t>1,5,9,11,12 Saturn &amp; Ketu as benefits</t>
  </si>
  <si>
    <t>Sports, fine arts, film speculation as work</t>
  </si>
  <si>
    <t>10,2,11,6</t>
  </si>
  <si>
    <t>Sterility of a woman</t>
  </si>
  <si>
    <t>4,10,1 with Barren signs</t>
  </si>
  <si>
    <t>Success in sports</t>
  </si>
  <si>
    <t>6,11,3</t>
  </si>
  <si>
    <t>Success in film production</t>
  </si>
  <si>
    <t>5&amp;1 or 5&amp; 1 with</t>
  </si>
  <si>
    <t>Termination of love affair</t>
  </si>
  <si>
    <t>4, 6, 8, 10 &amp; 12</t>
  </si>
  <si>
    <t>Treatment not effective</t>
  </si>
  <si>
    <t>4,10</t>
  </si>
  <si>
    <t>Twin birth</t>
  </si>
  <si>
    <t>2,5,11 and influence of dual signs</t>
  </si>
  <si>
    <t>Live in Relationship</t>
  </si>
  <si>
    <t>5, 11 (Saturn as CSL)</t>
  </si>
  <si>
    <t>Transgender child</t>
  </si>
  <si>
    <t>5th CSL Mercury in Mercury star</t>
  </si>
  <si>
    <t>Sickness and poor health</t>
  </si>
  <si>
    <t>Faithful and affectionate servants</t>
  </si>
  <si>
    <t>Sickness due to indulgence with servant-maids</t>
  </si>
  <si>
    <t>Very successful in his attempt</t>
  </si>
  <si>
    <t>Commanding nature</t>
  </si>
  <si>
    <t>Financial success</t>
  </si>
  <si>
    <t>Easily borrows money</t>
  </si>
  <si>
    <t>Some of the servants are taken as family members</t>
  </si>
  <si>
    <t>Successful in agency and contract business</t>
  </si>
  <si>
    <t>Profits in short journeys</t>
  </si>
  <si>
    <t>Successful in correspondence matters</t>
  </si>
  <si>
    <t>Educational success</t>
  </si>
  <si>
    <t>Profit in real Estate business</t>
  </si>
  <si>
    <t>Successful teacher and money lender</t>
  </si>
  <si>
    <t>Cure from the ailments</t>
  </si>
  <si>
    <t>Maintain good health</t>
  </si>
  <si>
    <t>Retirement from service</t>
  </si>
  <si>
    <t>Often changing the job</t>
  </si>
  <si>
    <t>Disease will be aggravated</t>
  </si>
  <si>
    <t>Income through Government institutions</t>
  </si>
  <si>
    <t>Bank support</t>
  </si>
  <si>
    <t>Amount which you lent will receive</t>
  </si>
  <si>
    <t>Permanent in Career</t>
  </si>
  <si>
    <t>Servants betray</t>
  </si>
  <si>
    <t>Partners successful</t>
  </si>
  <si>
    <t>Partner economical</t>
  </si>
  <si>
    <t>Cattle and farming do not promise a good profit</t>
  </si>
  <si>
    <t>Very prompt in repayment of loans</t>
  </si>
  <si>
    <t>Failure in disputes and litigations</t>
  </si>
  <si>
    <t>Irregular servants</t>
  </si>
  <si>
    <t>Servants let them down at any moment</t>
  </si>
  <si>
    <t>Illness ends in fatality</t>
  </si>
  <si>
    <t>Successful in undertaking long tour</t>
  </si>
  <si>
    <t>Fond of tour</t>
  </si>
  <si>
    <t>Never afraid of long tours</t>
  </si>
  <si>
    <t>Achieves success by compromise</t>
  </si>
  <si>
    <t>Successful in religious matters</t>
  </si>
  <si>
    <t>Submits thesis for Doctorate</t>
  </si>
  <si>
    <t>A good combination for consulting service prospects</t>
  </si>
  <si>
    <t>Loves his job</t>
  </si>
  <si>
    <t>Does neat work</t>
  </si>
  <si>
    <t>Gets favors from officials</t>
  </si>
  <si>
    <t>Quick promotions</t>
  </si>
  <si>
    <t>Comes up in life by his own efforts</t>
  </si>
  <si>
    <t>Reaches the highest position in office</t>
  </si>
  <si>
    <t>Fulfillment of desires very easily</t>
  </si>
  <si>
    <t>Easy success in all undertakings</t>
  </si>
  <si>
    <t>Wins Court cases and litigation easily</t>
  </si>
  <si>
    <t>Gains in speculation and share market</t>
  </si>
  <si>
    <t>Gains through labours, workers and pet animals</t>
  </si>
  <si>
    <t>Pressure of loan</t>
  </si>
  <si>
    <t>Trouble through labour and workers</t>
  </si>
  <si>
    <t>Strike in their business places</t>
  </si>
  <si>
    <t>Unnecessary expenses</t>
  </si>
  <si>
    <t>Unforeseen Guests</t>
  </si>
  <si>
    <t>Medical expenses</t>
  </si>
  <si>
    <t>Borrowing due to disease, difficulties</t>
  </si>
  <si>
    <t>2, 6, 11 with influence of Saturn</t>
  </si>
  <si>
    <t>Borrowing from children</t>
  </si>
  <si>
    <t>5, 6, 11</t>
  </si>
  <si>
    <t>Borrowing From elder brother</t>
  </si>
  <si>
    <t>Borrowing from friends</t>
  </si>
  <si>
    <t>Borrowing From mother</t>
  </si>
  <si>
    <t>4, 6, 11</t>
  </si>
  <si>
    <t>Borrowing From spouse or partner</t>
  </si>
  <si>
    <t>6, 7, 11</t>
  </si>
  <si>
    <t>Borrowing from younger brother</t>
  </si>
  <si>
    <t>Borrowing from bank</t>
  </si>
  <si>
    <t>Borrowing to repay debt due to business</t>
  </si>
  <si>
    <t>2, 6, 9, 11</t>
  </si>
  <si>
    <t>Change in place of job</t>
  </si>
  <si>
    <t>3, 7, 10, 11, 12 Chara Rasi</t>
  </si>
  <si>
    <t>Chronic disease</t>
  </si>
  <si>
    <t>1, 6, 8 with Saturn</t>
  </si>
  <si>
    <t>Competitive exam</t>
  </si>
  <si>
    <t>4, 9, 11</t>
  </si>
  <si>
    <t>Cure disease/ recovery/ escape from accident or danger</t>
  </si>
  <si>
    <t>Danger from being in secret activities</t>
  </si>
  <si>
    <t>6, 8 with Saturn or Rahu in these cuspal positions</t>
  </si>
  <si>
    <t>Danger from opponents</t>
  </si>
  <si>
    <t>Debt ridden life</t>
  </si>
  <si>
    <t>Disease is cured &amp; safe from any danger</t>
  </si>
  <si>
    <t>Disease unknown in medical science</t>
  </si>
  <si>
    <t>8 &amp; 12 with influence ot Ketu / Saturn</t>
  </si>
  <si>
    <t>Disease root cause</t>
  </si>
  <si>
    <t>Study the star of the 6th cuspal sub lord</t>
  </si>
  <si>
    <t>Forced Retirement</t>
  </si>
  <si>
    <t>5, 11</t>
  </si>
  <si>
    <t>Free of disease</t>
  </si>
  <si>
    <t>lll Health</t>
  </si>
  <si>
    <t>1, 8, 12</t>
  </si>
  <si>
    <t>Job in a permanent place</t>
  </si>
  <si>
    <t>Life long disease</t>
  </si>
  <si>
    <t>Loans from bank</t>
  </si>
  <si>
    <t>Loss in competition</t>
  </si>
  <si>
    <t>5, 10, &amp; 12</t>
  </si>
  <si>
    <t>Overdraft facility</t>
  </si>
  <si>
    <t>Promotion in work</t>
  </si>
  <si>
    <t>Receipt of large parcel</t>
  </si>
  <si>
    <t>4/11, 2/9 with Mercury</t>
  </si>
  <si>
    <t>Receiving donation</t>
  </si>
  <si>
    <t>2, 6,11</t>
  </si>
  <si>
    <t>Repaying loan taken from bank</t>
  </si>
  <si>
    <t>Returning borrowed money</t>
  </si>
  <si>
    <t>4, 5, 8,10</t>
  </si>
  <si>
    <t>Secret activities of Partner</t>
  </si>
  <si>
    <t>5,11 &amp; mute signs</t>
  </si>
  <si>
    <t>Success in competitions</t>
  </si>
  <si>
    <t>1, 3, 11</t>
  </si>
  <si>
    <t>Success in Litigation</t>
  </si>
  <si>
    <t>1, 11 and Jupiter favorable 6/10, 11 &amp; not 5, 12</t>
  </si>
  <si>
    <t>Suffer from disease</t>
  </si>
  <si>
    <t>6, 8, 12 with influence of the 1st house lord</t>
  </si>
  <si>
    <t>Tender resignation of service in haste</t>
  </si>
  <si>
    <t>2, 8, 9, 10</t>
  </si>
  <si>
    <t>Winning election/litigation/sport/competition</t>
  </si>
  <si>
    <t>1, 6, 11 with 3 &amp; 10 houses</t>
  </si>
  <si>
    <t>Gains by business</t>
  </si>
  <si>
    <t>Affectionate spouse</t>
  </si>
  <si>
    <t>Social influence</t>
  </si>
  <si>
    <t>Deals with the public in a cordial way</t>
  </si>
  <si>
    <t>Disappearance of inimical forces</t>
  </si>
  <si>
    <t>Enemies surrender</t>
  </si>
  <si>
    <t>Gains by marriage</t>
  </si>
  <si>
    <t>Increase of financial position by doing business</t>
  </si>
  <si>
    <t>Dutiful spouse</t>
  </si>
  <si>
    <t>Gains through public</t>
  </si>
  <si>
    <t>Big fortune in marriage</t>
  </si>
  <si>
    <t>Spouse co-operates in all matters</t>
  </si>
  <si>
    <t>Tackles family problems easily within the family</t>
  </si>
  <si>
    <t>Agency and contract business</t>
  </si>
  <si>
    <t>Luck in correspondence, trade</t>
  </si>
  <si>
    <t>Delay in marriage</t>
  </si>
  <si>
    <t>Spouse brings landed property</t>
  </si>
  <si>
    <t>Partner employed</t>
  </si>
  <si>
    <t>Loveless spouse</t>
  </si>
  <si>
    <t>Love marriage</t>
  </si>
  <si>
    <t>Always indulging in sex affairs</t>
  </si>
  <si>
    <t>Spouse brings wealth</t>
  </si>
  <si>
    <t>Cordial family</t>
  </si>
  <si>
    <t>Successful lover</t>
  </si>
  <si>
    <t>Denial of marriage</t>
  </si>
  <si>
    <t>Disputes with Partner</t>
  </si>
  <si>
    <t>Divorce and separation of sickly life partner to the extent of being unfit for family life</t>
  </si>
  <si>
    <t>Gains in partnership business</t>
  </si>
  <si>
    <t>No impediments</t>
  </si>
  <si>
    <t>Powerful partner</t>
  </si>
  <si>
    <t>Partner in good health and spirit</t>
  </si>
  <si>
    <t>Prosperity to partner</t>
  </si>
  <si>
    <t>In the know of business life</t>
  </si>
  <si>
    <t>Disappointment through spouse</t>
  </si>
  <si>
    <t>Troublesome partner</t>
  </si>
  <si>
    <t>Nagging spouse</t>
  </si>
  <si>
    <t>Spouse comes from a rich family</t>
  </si>
  <si>
    <t>Clearance of loan</t>
  </si>
  <si>
    <t>Opponent gains</t>
  </si>
  <si>
    <t>Loss in Partnership business or cheated by Partner, monetarily</t>
  </si>
  <si>
    <t>Cordial understanding with spouse</t>
  </si>
  <si>
    <t>Luck to Partner</t>
  </si>
  <si>
    <t>Travels along with partner to holy places</t>
  </si>
  <si>
    <t>More knowledge on Commerce and Industry</t>
  </si>
  <si>
    <t>Spouse comes from a family of status</t>
  </si>
  <si>
    <t>Political success</t>
  </si>
  <si>
    <t>Business prospects</t>
  </si>
  <si>
    <t>One's profession as business thrives well</t>
  </si>
  <si>
    <t>Partner upto his satisfaction</t>
  </si>
  <si>
    <t>Conjugal bliss</t>
  </si>
  <si>
    <t>Gains through partner</t>
  </si>
  <si>
    <t>Realises ambition through partner</t>
  </si>
  <si>
    <t>Friendly ties with life partner</t>
  </si>
  <si>
    <t>Speculation gains for Partner</t>
  </si>
  <si>
    <t>Divorce</t>
  </si>
  <si>
    <t>Sickly life partner</t>
  </si>
  <si>
    <t>Medical expenses on life partner</t>
  </si>
  <si>
    <t>Trouble in political life</t>
  </si>
  <si>
    <t>Labour &amp; Workers give pleasures</t>
  </si>
  <si>
    <t>Inimical forces come to the front</t>
  </si>
  <si>
    <t>Trouble at all corners</t>
  </si>
  <si>
    <t>Let down by all people</t>
  </si>
  <si>
    <t>Break in Partnerships</t>
  </si>
  <si>
    <t>6, 10</t>
  </si>
  <si>
    <t>Breaking of engagement</t>
  </si>
  <si>
    <t>3, 7, 8 with afflicted Mercury</t>
  </si>
  <si>
    <t>Business partner</t>
  </si>
  <si>
    <t>5, 7, 11</t>
  </si>
  <si>
    <t>Second child for a female</t>
  </si>
  <si>
    <t>Commission Agency as Business</t>
  </si>
  <si>
    <t>3, 11 with Mercury</t>
  </si>
  <si>
    <t>Conflicts in marriage</t>
  </si>
  <si>
    <t>6, 8, 12 with influence of Mars</t>
  </si>
  <si>
    <t>Death of Partner</t>
  </si>
  <si>
    <t>6, 8, 12 with Maraka and Badhaka of the person</t>
  </si>
  <si>
    <t>2, 7, 11, 1, 6, 10 + Saturn, Sun, Mars, Rahu as 7th Sub Lord</t>
  </si>
  <si>
    <t>Too much age difference between partners in Marriage</t>
  </si>
  <si>
    <t>Saturn as 7th sub lord</t>
  </si>
  <si>
    <t>Dull business</t>
  </si>
  <si>
    <t>1, 5</t>
  </si>
  <si>
    <t>Export Business</t>
  </si>
  <si>
    <t>9, 12</t>
  </si>
  <si>
    <t>Gain from lndependent business</t>
  </si>
  <si>
    <t>Gain/Profit in business</t>
  </si>
  <si>
    <t>2, 10, 11</t>
  </si>
  <si>
    <t>Getting a business partner</t>
  </si>
  <si>
    <t>lndependent business</t>
  </si>
  <si>
    <t>Loss in business</t>
  </si>
  <si>
    <t>5, 8, 12 with influence of earthy signs</t>
  </si>
  <si>
    <t>Marriage partner looks</t>
  </si>
  <si>
    <t>star of 7th csl, planets associated</t>
  </si>
  <si>
    <t>Marriage fixed but stops abruptly</t>
  </si>
  <si>
    <t>1, 6, 10, 12</t>
  </si>
  <si>
    <t>Marriage and separation</t>
  </si>
  <si>
    <t>Marriage celebration</t>
  </si>
  <si>
    <t>Marriage to a widow</t>
  </si>
  <si>
    <t>2, 6, 7, 8, 11 with the influence of Saturn and Rahu</t>
  </si>
  <si>
    <t>Marriage to foreigner or a person in foreign land</t>
  </si>
  <si>
    <t>Misunderstanding with partner and family members</t>
  </si>
  <si>
    <t>2, 7, 8</t>
  </si>
  <si>
    <t>Multiple marriage</t>
  </si>
  <si>
    <t>2, 7, 11 &amp; Mercury/Dual signs</t>
  </si>
  <si>
    <t>No marriage</t>
  </si>
  <si>
    <t>1, 6, 10 houses strong</t>
  </si>
  <si>
    <t>Partnership breaks</t>
  </si>
  <si>
    <t>Partnership of any kind</t>
  </si>
  <si>
    <t>8,2,5,11self success &amp; )5,8)-success for partner</t>
  </si>
  <si>
    <t>Lover speaks truth</t>
  </si>
  <si>
    <t>with jupiter lies if R or a node is related with</t>
  </si>
  <si>
    <t>Publications as Business</t>
  </si>
  <si>
    <t>2,6,11,3 with influence of Mars Mercury and Jupiter</t>
  </si>
  <si>
    <t>Reconciliation after separation/divorce</t>
  </si>
  <si>
    <t>1,6,10,12 also 2,5,7,11</t>
  </si>
  <si>
    <t>Recovery of lost articles (Thief)</t>
  </si>
  <si>
    <t>2,6,11</t>
  </si>
  <si>
    <t>Return of life partner from normal separation</t>
  </si>
  <si>
    <t>11,7, &amp; 5</t>
  </si>
  <si>
    <t>7,11,5</t>
  </si>
  <si>
    <t>Second child</t>
  </si>
  <si>
    <t>2,11</t>
  </si>
  <si>
    <t>Separation after marriage</t>
  </si>
  <si>
    <t>1,7,6,12,10 with influence from Sun and Rahu or Saturn and Mars</t>
  </si>
  <si>
    <t>Separation by violence</t>
  </si>
  <si>
    <t>8,6,12 Mars and fiery signs</t>
  </si>
  <si>
    <t>Separation due to misunderstanding with partner</t>
  </si>
  <si>
    <t>2,7,12 Mercury</t>
  </si>
  <si>
    <t>Separation of spouse/partner by death</t>
  </si>
  <si>
    <t>8,12,6 and Maraka and Badhaka of the partner</t>
  </si>
  <si>
    <t>Separation spouses from each other</t>
  </si>
  <si>
    <t>1,6,10,12</t>
  </si>
  <si>
    <t>Spouse/partner will be an employee</t>
  </si>
  <si>
    <t>4,8,12</t>
  </si>
  <si>
    <t>Theft in house</t>
  </si>
  <si>
    <t>2,12 with influence of Saturn or Mars or Rahu</t>
  </si>
  <si>
    <t>Second marriage while still married to first spouse</t>
  </si>
  <si>
    <t>2, 7 + 7th CSL in dual sign</t>
  </si>
  <si>
    <t>Difficulties in married life</t>
  </si>
  <si>
    <t>4,6,8,12</t>
  </si>
  <si>
    <t>Import and Export Business</t>
  </si>
  <si>
    <t>3, 9</t>
  </si>
  <si>
    <t>Good longevity</t>
  </si>
  <si>
    <t>Finds easy to achieve his aim</t>
  </si>
  <si>
    <t>Inheritance of cash and jewellery by Will and transfer</t>
  </si>
  <si>
    <t>Unexpected gains</t>
  </si>
  <si>
    <t>Gains opponent's money</t>
  </si>
  <si>
    <t>Acquires properties by winning cases and litigations</t>
  </si>
  <si>
    <t>Spouse's money or partner's money, one gains</t>
  </si>
  <si>
    <t>Luck by lottery</t>
  </si>
  <si>
    <t>Finds it easy to earn money</t>
  </si>
  <si>
    <t>Huge profits in agency and contract business</t>
  </si>
  <si>
    <t>Gains by correspondence</t>
  </si>
  <si>
    <t>Liable to accidents</t>
  </si>
  <si>
    <t>Trouble through vehicles</t>
  </si>
  <si>
    <t>Fall from a building</t>
  </si>
  <si>
    <t>Injuries</t>
  </si>
  <si>
    <t>Cuts and wounds</t>
  </si>
  <si>
    <t>At times caught in an earth-quake</t>
  </si>
  <si>
    <t>Children prosperous in their acquisition of land and building</t>
  </si>
  <si>
    <t>All disappointments are turned into pleasure</t>
  </si>
  <si>
    <t>Success without any impediments</t>
  </si>
  <si>
    <t>Wins in litigations</t>
  </si>
  <si>
    <t>Comes out successful in all undertakings</t>
  </si>
  <si>
    <t>Short life</t>
  </si>
  <si>
    <t>Free from all troubles</t>
  </si>
  <si>
    <t>Economic partner</t>
  </si>
  <si>
    <t>Partner gains</t>
  </si>
  <si>
    <t>Indicates good longevity</t>
  </si>
  <si>
    <t>Disappointments in life and meets impediments in all walks of life</t>
  </si>
  <si>
    <t>Never gets satisfied and inimical forces will supersede</t>
  </si>
  <si>
    <t>Wins litigations or Court Cases by compromise</t>
  </si>
  <si>
    <t>One stands to lose some percentage</t>
  </si>
  <si>
    <t>Research in occult sciences and secret arts</t>
  </si>
  <si>
    <t>Find it easy to attain his status</t>
  </si>
  <si>
    <t>Comfortable job</t>
  </si>
  <si>
    <t>Maintains a good status</t>
  </si>
  <si>
    <t>Notable death</t>
  </si>
  <si>
    <t>Achieves one's ambition without any obstacles</t>
  </si>
  <si>
    <t>Bonus, shares etc.</t>
  </si>
  <si>
    <t>No disappointments</t>
  </si>
  <si>
    <t>Disappointments and pressures at all levels</t>
  </si>
  <si>
    <t>Always in mental pain and agony</t>
  </si>
  <si>
    <t>Accident</t>
  </si>
  <si>
    <t>1, 8</t>
  </si>
  <si>
    <t>Accident + hospitalization</t>
  </si>
  <si>
    <t>Accident + cure</t>
  </si>
  <si>
    <t>1, 8 + 5, 11 for cure</t>
  </si>
  <si>
    <t>Accidental death</t>
  </si>
  <si>
    <t>8,12 with influence of Mars, Rahu &amp; Saturn at the cuspal positions with Maraka &amp; Badhaka lords</t>
  </si>
  <si>
    <t>Ancestral property</t>
  </si>
  <si>
    <t>Calamity</t>
  </si>
  <si>
    <t>8,12 with influence of the Badhaka lord and Ketu</t>
  </si>
  <si>
    <t>Committing rape</t>
  </si>
  <si>
    <t>5, 12 lnvolvement of Pluto and Venus in these cuspal places</t>
  </si>
  <si>
    <t>Criminal mind</t>
  </si>
  <si>
    <t>5, 1</t>
  </si>
  <si>
    <t>Death due to accident</t>
  </si>
  <si>
    <t>Influence of Makara and Badhaka planets</t>
  </si>
  <si>
    <t>Depression</t>
  </si>
  <si>
    <t>1, 3, 12 + Moon afflicted by Saturn</t>
  </si>
  <si>
    <t>Disgrace, ill reputation and scandals</t>
  </si>
  <si>
    <t>1, 5, 8</t>
  </si>
  <si>
    <t>Dowry receiving</t>
  </si>
  <si>
    <t>Filing a court case</t>
  </si>
  <si>
    <t>Success in court case</t>
  </si>
  <si>
    <t>Getting gratuity insurance etc property of the deceased person</t>
  </si>
  <si>
    <t>2, 6, 8, 11 + Jupiter=full claim optional, Saturn=partial claim</t>
  </si>
  <si>
    <t>Getting hidden treasure</t>
  </si>
  <si>
    <t>4, 8, 11 + Rahu and Saturn influencing the cuspal positions</t>
  </si>
  <si>
    <t>Giving dowry</t>
  </si>
  <si>
    <t>5, 12 with indirect link with 7th</t>
  </si>
  <si>
    <t>Madness or insanity</t>
  </si>
  <si>
    <t>6, 8, 12 with Moon, Mercury, Ketu and Saturn influencing these cuspal points</t>
  </si>
  <si>
    <t>Ornaments or cash from inheritance</t>
  </si>
  <si>
    <t>Person of nuisance for others</t>
  </si>
  <si>
    <t>5,8 with Sun &amp; Mars</t>
  </si>
  <si>
    <t>Precious assets like gold etc inheritance through will</t>
  </si>
  <si>
    <t>6,8,11 with influence of Saturn involving houses 3 &amp; 10</t>
  </si>
  <si>
    <t>Property,vehicle from inheritance</t>
  </si>
  <si>
    <t>Receipt of Gifts</t>
  </si>
  <si>
    <t>6,11</t>
  </si>
  <si>
    <t>Rendering wealth</t>
  </si>
  <si>
    <t>Suicide</t>
  </si>
  <si>
    <t>12,4 and Badhaka and Maraka and Mars Saturn,Rahu, Ketu and Mercury</t>
  </si>
  <si>
    <t>Surgery/operation</t>
  </si>
  <si>
    <t>8,6,12 with influence of Mars/Sun</t>
  </si>
  <si>
    <t>Unearned Gains</t>
  </si>
  <si>
    <t>2,11, and 5tn for speculation related gains</t>
  </si>
  <si>
    <t>Unexpected Loss</t>
  </si>
  <si>
    <t>5,12</t>
  </si>
  <si>
    <t>Spouse's property</t>
  </si>
  <si>
    <t>8,2,11,7</t>
  </si>
  <si>
    <t>Generous minded</t>
  </si>
  <si>
    <t>Research Scholar</t>
  </si>
  <si>
    <t>Intelligent Higher status</t>
  </si>
  <si>
    <t>Full of  wisdom</t>
  </si>
  <si>
    <t>Religious and orthodox</t>
  </si>
  <si>
    <t>Strange and beneficial dreams</t>
  </si>
  <si>
    <t>Acquires a large estate from parents</t>
  </si>
  <si>
    <t>Always talks about religion and truth</t>
  </si>
  <si>
    <t>Gains through religious and teaching institutions</t>
  </si>
  <si>
    <t>Gains through strangers and foreigners</t>
  </si>
  <si>
    <t>Lectures connected with religion</t>
  </si>
  <si>
    <t>Tour abroad</t>
  </si>
  <si>
    <t>Gains by travel</t>
  </si>
  <si>
    <t>Acquires Doctorate</t>
  </si>
  <si>
    <t>Frequent transfers in his job</t>
  </si>
  <si>
    <t>His writings end in publications</t>
  </si>
  <si>
    <t>Writings connected with religion</t>
  </si>
  <si>
    <t>Teacher in religious institutions</t>
  </si>
  <si>
    <t>Well versed in philosophy and occult subjects</t>
  </si>
  <si>
    <t>Always interested in studies</t>
  </si>
  <si>
    <t>Cordial relation with children</t>
  </si>
  <si>
    <t>Steady mind</t>
  </si>
  <si>
    <t>Interested in higher side of life</t>
  </si>
  <si>
    <t>Talented in all subjects</t>
  </si>
  <si>
    <t>Successful research scholar</t>
  </si>
  <si>
    <t>Religious leader</t>
  </si>
  <si>
    <t>Compromise in Court cases and litigations</t>
  </si>
  <si>
    <t>Major share in the compromise</t>
  </si>
  <si>
    <t>Cordial relation with partner</t>
  </si>
  <si>
    <t>Honest deal public issue</t>
  </si>
  <si>
    <t>Decent businessman</t>
  </si>
  <si>
    <t>Lucky partner</t>
  </si>
  <si>
    <t>Trouble in education</t>
  </si>
  <si>
    <t>Rough manners</t>
  </si>
  <si>
    <t>Irreligious</t>
  </si>
  <si>
    <t>Indecent behaviour</t>
  </si>
  <si>
    <t>No peace of mind</t>
  </si>
  <si>
    <t>Danger in tour and travel</t>
  </si>
  <si>
    <t>Always dissatisfied in tour</t>
  </si>
  <si>
    <t xml:space="preserve">Failure in religious pursuit </t>
  </si>
  <si>
    <t>Danger to father and death unto him</t>
  </si>
  <si>
    <t>Good scholar</t>
  </si>
  <si>
    <t>Well-versed in religious subject</t>
  </si>
  <si>
    <t>Loves change of environment</t>
  </si>
  <si>
    <t>Native belong to a family of good status</t>
  </si>
  <si>
    <t>Earns by religious pursuits</t>
  </si>
  <si>
    <t>Higher Status abroad</t>
  </si>
  <si>
    <t>One's status is through religion/spiritual/yoga</t>
  </si>
  <si>
    <t>Successful in religious pursuits</t>
  </si>
  <si>
    <t>Gains by tour and travel</t>
  </si>
  <si>
    <t>Enjoys the tour</t>
  </si>
  <si>
    <t>Gains Worldly Knowledge in tour</t>
  </si>
  <si>
    <t>Tour abroad for studies and Research</t>
  </si>
  <si>
    <t>Gains everything easily</t>
  </si>
  <si>
    <t>Settles abroad</t>
  </si>
  <si>
    <t>Makes extensive tour</t>
  </si>
  <si>
    <t>Always away from kith and kin</t>
  </si>
  <si>
    <t>4, 9,11 &amp; influenced by Mercury, Jupiter &amp; Saturn</t>
  </si>
  <si>
    <t>Attainment of spirituality</t>
  </si>
  <si>
    <t>5, 11 &amp; Ketu, Jupiter or Saturn</t>
  </si>
  <si>
    <t>Change in job</t>
  </si>
  <si>
    <t>Third child of a female</t>
  </si>
  <si>
    <t>Gain a degree through correspondence</t>
  </si>
  <si>
    <t>Giving donation</t>
  </si>
  <si>
    <t>Good luck (lucky in all)</t>
  </si>
  <si>
    <t>9 and 11 + Jupiter &amp; Sun</t>
  </si>
  <si>
    <t>lnheritance of large property from father side</t>
  </si>
  <si>
    <t>Long Journeys only</t>
  </si>
  <si>
    <t>Long life of father</t>
  </si>
  <si>
    <t>1, 6, 9, 11</t>
  </si>
  <si>
    <t>Marriage--Second after Divorce</t>
  </si>
  <si>
    <t>2, 9, 11 with Jupiter and Mercury influencing the Dual signs</t>
  </si>
  <si>
    <t>3,9,10 &amp; chara rasi&amp; Jupi/Ketu/Saturn</t>
  </si>
  <si>
    <t>Publishing a book of technical,research, textbook</t>
  </si>
  <si>
    <t>9,10,11 influence by Mars, Sat, Jupi</t>
  </si>
  <si>
    <t>Scientist</t>
  </si>
  <si>
    <t>9,11,10,2,3 with Saturn &amp; Jupiter</t>
  </si>
  <si>
    <t>Separation from father</t>
  </si>
  <si>
    <t>8,12,3</t>
  </si>
  <si>
    <t>Success in spiritual &amp; yoga discipline</t>
  </si>
  <si>
    <t>6,11,9,10</t>
  </si>
  <si>
    <t>Success in research</t>
  </si>
  <si>
    <t>10,11 with fruitful signs</t>
  </si>
  <si>
    <t>Status achieved without any trouble</t>
  </si>
  <si>
    <t>Increase of wealth</t>
  </si>
  <si>
    <t>Finds out job easily</t>
  </si>
  <si>
    <t>Good business</t>
  </si>
  <si>
    <t>Quickly understands one's job</t>
  </si>
  <si>
    <t>Intelligent businessman</t>
  </si>
  <si>
    <t>Gains status by dint of one's own exertions</t>
  </si>
  <si>
    <t>More money and more status</t>
  </si>
  <si>
    <t>Always in pursuit of work and earns more money</t>
  </si>
  <si>
    <t>Expansion of business</t>
  </si>
  <si>
    <t>Increase of Bank balance</t>
  </si>
  <si>
    <t>Financial uplift</t>
  </si>
  <si>
    <t>Name in talking and on platforms</t>
  </si>
  <si>
    <t>Takes up agency contracts business</t>
  </si>
  <si>
    <t xml:space="preserve">Successful businessman </t>
  </si>
  <si>
    <t>Finds luck</t>
  </si>
  <si>
    <t>Very helpful always</t>
  </si>
  <si>
    <t>Earns by correspondence</t>
  </si>
  <si>
    <t>Name in writing</t>
  </si>
  <si>
    <t>Improves his status in his birth place</t>
  </si>
  <si>
    <t>Improves his assets like land and building</t>
  </si>
  <si>
    <t>Successful in real Estates</t>
  </si>
  <si>
    <t>Invests in land and vehicles</t>
  </si>
  <si>
    <t>Earns through them</t>
  </si>
  <si>
    <t>Good for agriculture</t>
  </si>
  <si>
    <t>Put up huge industries and establishments</t>
  </si>
  <si>
    <t>Business organisation stabilises</t>
  </si>
  <si>
    <t>Earns by music, dramas and cinema etc.</t>
  </si>
  <si>
    <t>Famous Artist</t>
  </si>
  <si>
    <t>Always happy about one's job or business</t>
  </si>
  <si>
    <t>Occupation more connected with Arts (Opera, Cinema hall etc.)</t>
  </si>
  <si>
    <t>Service minded</t>
  </si>
  <si>
    <t>Comes out successful</t>
  </si>
  <si>
    <t>Always work minded</t>
  </si>
  <si>
    <t>Quick uplift in service</t>
  </si>
  <si>
    <t>A very successful person in one's undertakings</t>
  </si>
  <si>
    <t>Commands respect</t>
  </si>
  <si>
    <t>Very good businessman</t>
  </si>
  <si>
    <t>Social and financial success</t>
  </si>
  <si>
    <t>Pleasing manners in dealing with the customers</t>
  </si>
  <si>
    <t>Troubles in occupational life</t>
  </si>
  <si>
    <t>Not satisfied with the job</t>
  </si>
  <si>
    <t>Pinpricks and backbiting in office and public life</t>
  </si>
  <si>
    <t>Never takes a right decision in his life</t>
  </si>
  <si>
    <t>Decisions appear to be right before performance Appears to be wrong after doing it</t>
  </si>
  <si>
    <t>Disappointment in Social and public life</t>
  </si>
  <si>
    <t>Resigns one's job</t>
  </si>
  <si>
    <t>Not good for service</t>
  </si>
  <si>
    <t>Good for business or for private consulting service</t>
  </si>
  <si>
    <t>Philosopher</t>
  </si>
  <si>
    <t>Help others</t>
  </si>
  <si>
    <t>Service portion of life ends</t>
  </si>
  <si>
    <t>Sure success in business or service</t>
  </si>
  <si>
    <t>Quick achievement of status</t>
  </si>
  <si>
    <t>Social life successful</t>
  </si>
  <si>
    <t>Majestic</t>
  </si>
  <si>
    <t>Always in one's own views</t>
  </si>
  <si>
    <t>Successful occupational life</t>
  </si>
  <si>
    <t>Achieves one's status very easily</t>
  </si>
  <si>
    <t>Friends will help in one's undertakings</t>
  </si>
  <si>
    <t>Fully satisfied life</t>
  </si>
  <si>
    <t>Cordial relation with all people</t>
  </si>
  <si>
    <t>Financially well off</t>
  </si>
  <si>
    <t>All round success</t>
  </si>
  <si>
    <t>Job in a foreign place or in a secluded place</t>
  </si>
  <si>
    <t>Prosperity in a distant place</t>
  </si>
  <si>
    <t>Changes his job frequently</t>
  </si>
  <si>
    <t>Spends more of his earnings</t>
  </si>
  <si>
    <t>Earns by smuggling</t>
  </si>
  <si>
    <t>Anticipated promotion (delayed)</t>
  </si>
  <si>
    <t>2, 3, 5, 10, 11 with influence of Saturn &amp; 8th lord</t>
  </si>
  <si>
    <t>Change in line of Career/vocation</t>
  </si>
  <si>
    <t>5, 9, 11 with 10, 12 Dual Rasi</t>
  </si>
  <si>
    <t>Computer professional</t>
  </si>
  <si>
    <t>2, 3, 11 + Involvement of Mercury and Ketu in these cuspal positions</t>
  </si>
  <si>
    <t>Failure in politics</t>
  </si>
  <si>
    <t>5, 9 (honorary)</t>
  </si>
  <si>
    <t>Fame</t>
  </si>
  <si>
    <t>1, 3, 10</t>
  </si>
  <si>
    <t>Success in Politics</t>
  </si>
  <si>
    <t>Getting an award /prize</t>
  </si>
  <si>
    <t>6, 10, 11 + Sun &amp; Jupiter</t>
  </si>
  <si>
    <t>Honourable life but materially poor</t>
  </si>
  <si>
    <t>1, 3, 9, 10</t>
  </si>
  <si>
    <t>Job &amp; independent business together</t>
  </si>
  <si>
    <t>Leasing a landed or immovable profession</t>
  </si>
  <si>
    <t>2, 6, 9, 11 with Jupiter. Mercury for Civil &amp; Mars for Criminal matters</t>
  </si>
  <si>
    <t>Loss of reputation &amp; money or income tax trouble</t>
  </si>
  <si>
    <t>7, 8, 9, 12</t>
  </si>
  <si>
    <t>Loss of work</t>
  </si>
  <si>
    <t>1, 5, 9, 12 with influence of planets in 5th and 9th</t>
  </si>
  <si>
    <t>Mother in law comes home &amp; the nature of effects</t>
  </si>
  <si>
    <t>2, 4 with 11</t>
  </si>
  <si>
    <t>Patent discovery-Listing success</t>
  </si>
  <si>
    <t>6, 10, 11 &amp; Jupiter / Venus / Moon / Sun &amp; fruitful signs</t>
  </si>
  <si>
    <t>Winding up business or break in career</t>
  </si>
  <si>
    <t>5,8,12 with influence of Earthy signs</t>
  </si>
  <si>
    <t>No change of work place</t>
  </si>
  <si>
    <t>1, 4, 10, 11</t>
  </si>
  <si>
    <t>No improvement in service or business</t>
  </si>
  <si>
    <t>2,5,10</t>
  </si>
  <si>
    <t>No occupation in life</t>
  </si>
  <si>
    <t>5,9 houses very strong</t>
  </si>
  <si>
    <t>Politics elections</t>
  </si>
  <si>
    <t>10,6,11 with sun,moon,saturn,venus,Jupi or &amp; not linked to 9,5,12</t>
  </si>
  <si>
    <t>Politics as Profession</t>
  </si>
  <si>
    <t>2,6,11,9 9 with Jupiter Sun and Saturn very strong in horoscope and in the cuspal positions</t>
  </si>
  <si>
    <t>Poor living</t>
  </si>
  <si>
    <t>8,12</t>
  </si>
  <si>
    <t>Popular astrologer</t>
  </si>
  <si>
    <t>11,2,5 &amp; 9</t>
  </si>
  <si>
    <t>Popularity</t>
  </si>
  <si>
    <t>1,10,3,11</t>
  </si>
  <si>
    <t>Popularity/success in politics</t>
  </si>
  <si>
    <t>3,10,11,2,6 &amp; influence from saturn &amp; sun 1,5,6,9,10,11 with sun.moon,saturn</t>
  </si>
  <si>
    <t>Problems in Service</t>
  </si>
  <si>
    <t>6,5,8</t>
  </si>
  <si>
    <t>Promotion with transfer</t>
  </si>
  <si>
    <t>2,3,6,10,11</t>
  </si>
  <si>
    <t>Reinstatement/Professional success</t>
  </si>
  <si>
    <t>2,6,10,11</t>
  </si>
  <si>
    <t>Remove from service</t>
  </si>
  <si>
    <t>5,9,8 with influence of Mars &amp; Jupiter in the cuspal positions</t>
  </si>
  <si>
    <t>Reputation</t>
  </si>
  <si>
    <t>11 with strong Sun or Saturn in the cuspal positions</t>
  </si>
  <si>
    <t>Retirement from Work</t>
  </si>
  <si>
    <t>5,9</t>
  </si>
  <si>
    <t>Step father</t>
  </si>
  <si>
    <t>(7th from 4th)</t>
  </si>
  <si>
    <t>Status and Respect</t>
  </si>
  <si>
    <t>1,11</t>
  </si>
  <si>
    <t>Success in politics</t>
  </si>
  <si>
    <t>10,11,1,6</t>
  </si>
  <si>
    <t>Successful astrologer</t>
  </si>
  <si>
    <t>2,9,11,10</t>
  </si>
  <si>
    <t>Successful in share market business</t>
  </si>
  <si>
    <t>5,10,2,7,11</t>
  </si>
  <si>
    <t>Suspension</t>
  </si>
  <si>
    <t>1,8,9,12 or 1,5,9</t>
  </si>
  <si>
    <t>Teaching as Profession</t>
  </si>
  <si>
    <t>2,6,11,4,9 with Jupiter and Venus in the cuspal positions</t>
  </si>
  <si>
    <t>Temporary Suspension in Service</t>
  </si>
  <si>
    <t>5,6,8</t>
  </si>
  <si>
    <t>Transfer</t>
  </si>
  <si>
    <t>3,10,12</t>
  </si>
  <si>
    <t>Voluntary Retirement from service</t>
  </si>
  <si>
    <t>1,5,9</t>
  </si>
  <si>
    <t>Spouse is destined to get property</t>
  </si>
  <si>
    <t>10,8,5</t>
  </si>
  <si>
    <t>Will tender resignation of service in haste</t>
  </si>
  <si>
    <t>1,3,8,9,10 and influence of Mars</t>
  </si>
  <si>
    <t>Promotion &amp; Posting in Overseas</t>
  </si>
  <si>
    <t>2,3,6,10,11 &amp; 3,9,12</t>
  </si>
  <si>
    <t>Satisfied in all walks of life</t>
  </si>
  <si>
    <t>Interested in the welfare of the society</t>
  </si>
  <si>
    <t>Broad minded</t>
  </si>
  <si>
    <t>Always in the company of friends</t>
  </si>
  <si>
    <t>Foreign Trade</t>
  </si>
  <si>
    <t>Fleshy body</t>
  </si>
  <si>
    <t>Earns up to his satisfaction</t>
  </si>
  <si>
    <t>Huge profits in his undertakings</t>
  </si>
  <si>
    <t>Wins in speculation</t>
  </si>
  <si>
    <t>Friends are helpful</t>
  </si>
  <si>
    <t>Fulfilment of ambition</t>
  </si>
  <si>
    <t>Financially well placed</t>
  </si>
  <si>
    <t>Enjoys other's wife or Husband</t>
  </si>
  <si>
    <t>Fond of short travel</t>
  </si>
  <si>
    <t>Writer of books</t>
  </si>
  <si>
    <t>Wants changes</t>
  </si>
  <si>
    <t>Contact with foreigners</t>
  </si>
  <si>
    <t>Reasonable courage</t>
  </si>
  <si>
    <t>Gains by commission and agency business</t>
  </si>
  <si>
    <t>Always on the move</t>
  </si>
  <si>
    <t>Gets everything by luck</t>
  </si>
  <si>
    <t>Acquires movable and immovable properties</t>
  </si>
  <si>
    <t>Builds his house to his satisfaction</t>
  </si>
  <si>
    <t>Gains in agriculture</t>
  </si>
  <si>
    <t>Owns good vehicles</t>
  </si>
  <si>
    <t>One begets good children</t>
  </si>
  <si>
    <t>Gains through music, opera, cinema</t>
  </si>
  <si>
    <t>Talented artist</t>
  </si>
  <si>
    <t>Properties through spouse</t>
  </si>
  <si>
    <t>Successful in love affairs</t>
  </si>
  <si>
    <t>Happy family</t>
  </si>
  <si>
    <t>Gains in share market</t>
  </si>
  <si>
    <t>Prudent investment and larger gains</t>
  </si>
  <si>
    <t>Very good merchant</t>
  </si>
  <si>
    <t>Deals with the public cordially</t>
  </si>
  <si>
    <t>Wins their favour</t>
  </si>
  <si>
    <t>Gets a pleasing partner</t>
  </si>
  <si>
    <t>Married life always happy</t>
  </si>
  <si>
    <t>Hale and healthy and smiling life partner</t>
  </si>
  <si>
    <t>Dissatisfied life</t>
  </si>
  <si>
    <t>Always in mental worries</t>
  </si>
  <si>
    <t>Troubles through friends and elders</t>
  </si>
  <si>
    <t>Gets money through legacy</t>
  </si>
  <si>
    <t>Gets one's hopes shattered at the final stage</t>
  </si>
  <si>
    <t>One gains through research studies and by new invention</t>
  </si>
  <si>
    <t>Religious in pursuit of divine thoughts</t>
  </si>
  <si>
    <t>Gains by travels</t>
  </si>
  <si>
    <t>Attached to father</t>
  </si>
  <si>
    <t>A very dutiful child for parents</t>
  </si>
  <si>
    <t>The person achieves a higher status</t>
  </si>
  <si>
    <t>Always in pursuit of prestige honour etc.</t>
  </si>
  <si>
    <t>Respected by all</t>
  </si>
  <si>
    <t>Awards from private and Government institutions</t>
  </si>
  <si>
    <t>Father amasses wealth easily</t>
  </si>
  <si>
    <t>The most luckiest person</t>
  </si>
  <si>
    <t>Fulfilment of ambitions very easily</t>
  </si>
  <si>
    <t>Good relationship with all</t>
  </si>
  <si>
    <t>Respected and loved by all people</t>
  </si>
  <si>
    <t>A pleasing personality</t>
  </si>
  <si>
    <t>Larger gains</t>
  </si>
  <si>
    <t>Good personality</t>
  </si>
  <si>
    <t>Praised by public</t>
  </si>
  <si>
    <t>Friends benefit him</t>
  </si>
  <si>
    <t>Hopes are shattered</t>
  </si>
  <si>
    <t>Dissatisfaction in all affairs</t>
  </si>
  <si>
    <t>Trouble through friends</t>
  </si>
  <si>
    <t>Loss and expenditure</t>
  </si>
  <si>
    <t>Wants seclusion</t>
  </si>
  <si>
    <t>Prayer and meditations</t>
  </si>
  <si>
    <t>Fourth child of a female</t>
  </si>
  <si>
    <t>Any child of a male</t>
  </si>
  <si>
    <t>Child's return home</t>
  </si>
  <si>
    <t>Childlessness of a Man</t>
  </si>
  <si>
    <t>1, 4, 10</t>
  </si>
  <si>
    <t>Divorce finalized</t>
  </si>
  <si>
    <t>No Objection Certificate etc.</t>
  </si>
  <si>
    <t>Friends helpful and beneficial</t>
  </si>
  <si>
    <t>Gain of money/wealth</t>
  </si>
  <si>
    <t>Get a desired or good job</t>
  </si>
  <si>
    <t>Happy married life</t>
  </si>
  <si>
    <t>2, 7, 11 + strong Venus and Mars unafflicted</t>
  </si>
  <si>
    <t>Having marriage as one desired</t>
  </si>
  <si>
    <t>2, 3, 7, 11</t>
  </si>
  <si>
    <t>High position in politics</t>
  </si>
  <si>
    <t>Higher Studies</t>
  </si>
  <si>
    <t>9, 11 with 3 &amp; 5 + the influence of Jupiter</t>
  </si>
  <si>
    <t>Loan Recovery</t>
  </si>
  <si>
    <t>2, 6, 11 (if 8 some loss. Saturn = Law suit, Mars / Ketu / Rahu = Partial Loss, Jupiter = full recovery, Sun / Mars = Transfer, violence)</t>
  </si>
  <si>
    <t>Losing through friends</t>
  </si>
  <si>
    <t>4, 5, 8, 12</t>
  </si>
  <si>
    <t>Loss of wealth</t>
  </si>
  <si>
    <t>No cure of disease</t>
  </si>
  <si>
    <t>4, 6, 12</t>
  </si>
  <si>
    <t>Non-recovery of lost articles due to theft</t>
  </si>
  <si>
    <t>Popular in acting</t>
  </si>
  <si>
    <t>5, 11 Mercury,venus Moon &amp; sun</t>
  </si>
  <si>
    <t>Profit in business</t>
  </si>
  <si>
    <t>2, 7, 10, 11</t>
  </si>
  <si>
    <t>Promotion/reinstatement/gain in occupation</t>
  </si>
  <si>
    <t>Realization of amount due</t>
  </si>
  <si>
    <t>2 &amp; 11</t>
  </si>
  <si>
    <t>Research scholarship</t>
  </si>
  <si>
    <t>2, 6, 11 &amp; connected to 4</t>
  </si>
  <si>
    <t>Reunion with spouse</t>
  </si>
  <si>
    <t>Reunion with kith and kin</t>
  </si>
  <si>
    <t>Satisfaction of Desires</t>
  </si>
  <si>
    <t>1,11 &amp; fruitful signs</t>
  </si>
  <si>
    <t>Satisfactory spiritual life</t>
  </si>
  <si>
    <t>5,10 with ketu</t>
  </si>
  <si>
    <t>Scholarship</t>
  </si>
  <si>
    <t>2.6.11.4</t>
  </si>
  <si>
    <t>Scholarship for higher study</t>
  </si>
  <si>
    <t>6.9.11.4</t>
  </si>
  <si>
    <t>Sexual relationship with friend</t>
  </si>
  <si>
    <t>Success in all undertakings</t>
  </si>
  <si>
    <t>6,11,1,2,3,10</t>
  </si>
  <si>
    <t>4,9,11</t>
  </si>
  <si>
    <t>Success in interview /contract bidding</t>
  </si>
  <si>
    <t>3,9</t>
  </si>
  <si>
    <t>Success in love affair</t>
  </si>
  <si>
    <t>5 and 11 with influence of Mars and Venus together</t>
  </si>
  <si>
    <t>Successful writer / publisher</t>
  </si>
  <si>
    <t>3,9, connected Ju, Me</t>
  </si>
  <si>
    <t>Unhappy married life</t>
  </si>
  <si>
    <t>4,6,8,10,12</t>
  </si>
  <si>
    <t>Unreliable friends</t>
  </si>
  <si>
    <t>7,8,9 &amp; Moon</t>
  </si>
  <si>
    <t>Vacating by tenant</t>
  </si>
  <si>
    <t>8,6</t>
  </si>
  <si>
    <t>Winning in Love</t>
  </si>
  <si>
    <t xml:space="preserve">Losses are converted into profit </t>
  </si>
  <si>
    <t>Deals with other's money</t>
  </si>
  <si>
    <t>Small investment and good gains</t>
  </si>
  <si>
    <t>Secret inimical operations unearthed</t>
  </si>
  <si>
    <t>Good profit</t>
  </si>
  <si>
    <t>Always saves money</t>
  </si>
  <si>
    <t>Jealousy</t>
  </si>
  <si>
    <t>Always in pursuit of earning money</t>
  </si>
  <si>
    <t>Adopts all methods to earn his fortune</t>
  </si>
  <si>
    <t>Earns his fortune in a foreign country</t>
  </si>
  <si>
    <t>Frequent change of residence</t>
  </si>
  <si>
    <t>Gains in travel and by correspondence</t>
  </si>
  <si>
    <t>All his earnings are invested in land or buildings</t>
  </si>
  <si>
    <t>Improves agriculture</t>
  </si>
  <si>
    <t>Business or industry</t>
  </si>
  <si>
    <t>Health is affected</t>
  </si>
  <si>
    <t>Honour and prestige at stake</t>
  </si>
  <si>
    <t>Drawn to court and put to disgrace</t>
  </si>
  <si>
    <t>Loss in speculation and share market</t>
  </si>
  <si>
    <t>Failure and disappointments converted into success</t>
  </si>
  <si>
    <t>Always under the care of others</t>
  </si>
  <si>
    <t>Indiscreet way of life</t>
  </si>
  <si>
    <t>Annoying others</t>
  </si>
  <si>
    <t>Cowardice</t>
  </si>
  <si>
    <t>Submissive to spouse and partners</t>
  </si>
  <si>
    <t>All secret activities come to light</t>
  </si>
  <si>
    <t>Court cases and disputes are decided in opponents favour</t>
  </si>
  <si>
    <t>Liable to get into accidents</t>
  </si>
  <si>
    <t>Pressure of loans</t>
  </si>
  <si>
    <t>Mental agony</t>
  </si>
  <si>
    <t>Spends more money for a little thing</t>
  </si>
  <si>
    <t>Cannot bargain</t>
  </si>
  <si>
    <t>Finds fortune in a foreign country</t>
  </si>
  <si>
    <t>Fond of long tours</t>
  </si>
  <si>
    <t>Enjoys life by making pleasant journeys</t>
  </si>
  <si>
    <t>Wants changes in job and residence</t>
  </si>
  <si>
    <t>All secret activities of the enemies helpful for a person's uplift in life</t>
  </si>
  <si>
    <t>Luck in occupational life</t>
  </si>
  <si>
    <t>A smuggler or Secret Agent</t>
  </si>
  <si>
    <t>No loss</t>
  </si>
  <si>
    <t>Huge profits</t>
  </si>
  <si>
    <t>Fulfillment of ambitions without any difficulty</t>
  </si>
  <si>
    <t>Constructive expenditure</t>
  </si>
  <si>
    <t>Heavy expenses</t>
  </si>
  <si>
    <t>No satisfaction in life</t>
  </si>
  <si>
    <t>Disturbance by people of all quarters</t>
  </si>
  <si>
    <t>Frequent falls and accidents</t>
  </si>
  <si>
    <t>New and bad environments</t>
  </si>
  <si>
    <t>Bad luck in the form of any loss</t>
  </si>
  <si>
    <t>5, 8, 12 &amp; Saturn &amp; Mars</t>
  </si>
  <si>
    <t>Coming back home after discharge from hospital</t>
  </si>
  <si>
    <t>Congenital Birth defect</t>
  </si>
  <si>
    <t>12th cusp is related with the 6th cusp + Influence of Saturn / Rahu / Ketu / Mars</t>
  </si>
  <si>
    <t>Debt to repay debt</t>
  </si>
  <si>
    <t>2, 5, 8, 11, 12</t>
  </si>
  <si>
    <t>Discharge from hospital</t>
  </si>
  <si>
    <t>Disease causing defect in body</t>
  </si>
  <si>
    <t>6, 8 &amp; 12</t>
  </si>
  <si>
    <t>Doctorate degree</t>
  </si>
  <si>
    <t>4, 9, 11 with strong Saturn</t>
  </si>
  <si>
    <t>Donations</t>
  </si>
  <si>
    <t>Eye disease (defect to left eye)</t>
  </si>
  <si>
    <t>6, 8 and Sun and Moon afflicted</t>
  </si>
  <si>
    <t>Foreign settlement</t>
  </si>
  <si>
    <t>3, 9, 12 + 11</t>
  </si>
  <si>
    <t>Foreign study</t>
  </si>
  <si>
    <t>3, 9, 12 + 4, 11</t>
  </si>
  <si>
    <t>Foreign Travel</t>
  </si>
  <si>
    <t>Free from debt</t>
  </si>
  <si>
    <t>1, 2, 11, 12</t>
  </si>
  <si>
    <t>Further studies (Master Ph.D.)</t>
  </si>
  <si>
    <t>4, 9, 11 + Saturn as Sub Lord of 12</t>
  </si>
  <si>
    <t>Gain in foreign land and/or with foreigners</t>
  </si>
  <si>
    <t>2, 3, 6, 10, 11</t>
  </si>
  <si>
    <t>Gain in lnvestment</t>
  </si>
  <si>
    <t>Getting bail</t>
  </si>
  <si>
    <t>5, 6, 10, 11</t>
  </si>
  <si>
    <t>Having bed comfort with one's spouse</t>
  </si>
  <si>
    <t>1, 5, 7, 12</t>
  </si>
  <si>
    <t>House detention</t>
  </si>
  <si>
    <t>4, 8, 12</t>
  </si>
  <si>
    <t>lmprisonment</t>
  </si>
  <si>
    <t>2, 3, 8, 12 + Rahu as 12th CSL + Rahu in the star of a direct planet</t>
  </si>
  <si>
    <t>Insanity</t>
  </si>
  <si>
    <t>6, 8, 12 with moon afflicted by Saturn &amp; Rahu</t>
  </si>
  <si>
    <t>Loan giving</t>
  </si>
  <si>
    <t>Loss in lnvestment</t>
  </si>
  <si>
    <t>Mind to commit crime</t>
  </si>
  <si>
    <t>6, 8, 10, 12 with influence of Rahu &amp; Mars</t>
  </si>
  <si>
    <t>Mind to raping</t>
  </si>
  <si>
    <t>5, 6, 8, 10 + Mars</t>
  </si>
  <si>
    <t>Moving from place to place</t>
  </si>
  <si>
    <t>New inventions</t>
  </si>
  <si>
    <t>1, 5, 9, 10 &amp; strong influence of Rahu</t>
  </si>
  <si>
    <t>Release from jail</t>
  </si>
  <si>
    <t>2,4,11</t>
  </si>
  <si>
    <t>Renunciation</t>
  </si>
  <si>
    <t>1, 12 with Saturn and Ketu (4 = inhouse Sanyasi, 3 = Walks out of the house and becomes Sanyasi)</t>
  </si>
  <si>
    <t>Repaying loan taken from a third person</t>
  </si>
  <si>
    <t>Stay in mother land</t>
  </si>
  <si>
    <t>2, 4, 11</t>
  </si>
  <si>
    <t>9,11,6,12, Saturn &amp; Jupiter + 12th CSL Saturn</t>
  </si>
  <si>
    <t>Foreign travel for Pleasure</t>
  </si>
  <si>
    <t>3, 9, 12 + 5</t>
  </si>
  <si>
    <t>Foreign Travel for Job</t>
  </si>
  <si>
    <t>Foreign Travel for Business</t>
  </si>
  <si>
    <t>3, 9, 12 + 7</t>
  </si>
  <si>
    <t>Foreign Travel for Medical Treatment</t>
  </si>
  <si>
    <t>3, 9, 12 + 8</t>
  </si>
  <si>
    <t>Publishing press ownership, buy home from owner</t>
  </si>
  <si>
    <t>10,4</t>
  </si>
  <si>
    <t>2,6,10 with influence of Mars &amp; mercury4/9/11</t>
  </si>
  <si>
    <t>Business=</t>
  </si>
  <si>
    <t>10th csl</t>
  </si>
  <si>
    <t>7,3,11,4,9 with sun/moon/mercury/rahu</t>
  </si>
  <si>
    <t>Service=</t>
  </si>
  <si>
    <t>10th csl-</t>
  </si>
  <si>
    <t>6,10,11 with saturn/Jupiter/Venus/ketu</t>
  </si>
  <si>
    <t>Purchase of a housebuy flat from real estate developer</t>
  </si>
  <si>
    <t>12,4</t>
  </si>
  <si>
    <t>4,6,9,10 &amp; 4,11,12</t>
  </si>
  <si>
    <t>Vacation,holiday travel</t>
  </si>
  <si>
    <t>5 &amp; 11</t>
  </si>
  <si>
    <t>11,5,3 &amp; 5,11,3 with Venus</t>
  </si>
  <si>
    <t>Second marriage after demise of first spouse</t>
  </si>
  <si>
    <t>2,9,11 with influence fromJupiter Mars &amp; dual signs 2,6,12 with Sat/sun/Rahu/Ketu/Mars &amp; dual signs</t>
  </si>
  <si>
    <t>Inheriting property (8th csl or will of inheritance)</t>
  </si>
  <si>
    <t>Liquid=10, Landed=12</t>
  </si>
  <si>
    <t>2,10,11 2/10, 6/11 + 4</t>
  </si>
  <si>
    <t>Return of missing person</t>
  </si>
  <si>
    <t>lst and 11th csl of missing person</t>
  </si>
  <si>
    <t>(2,8,11)of the missing person along with the 4th house of the missing person</t>
  </si>
  <si>
    <t>2 wheel=Mithuna,kanya,Thula, Kumba</t>
  </si>
  <si>
    <t>4Wheel=Mesha,Vrishchika,Simha,Dhanus,Makara</t>
  </si>
  <si>
    <t>Multi axle vehicle=Karkataka,vrishchika</t>
  </si>
  <si>
    <t>No vehicle=meena</t>
  </si>
  <si>
    <t>To repay loan fast</t>
  </si>
  <si>
    <t>Category</t>
  </si>
  <si>
    <t>Primary House</t>
  </si>
  <si>
    <t>Income</t>
  </si>
  <si>
    <t>Income from Personal Efforts</t>
  </si>
  <si>
    <t>Income from Jewelry, Precision Stones, Metals, Mortgages, Negotiable Assets, Voice related, Eyes, Cosmetics, Lending business, Collection agency</t>
  </si>
  <si>
    <t>Income from Mind related, Psychology, General Trading, Local delivery, Written communication, Branding, Marketing, Social Media, TV, Radio, Internet, Book Store, Library</t>
  </si>
  <si>
    <t>Income from Real estate, Houses, Buildings, Land, Vehicles, Transport, Agriculture, Gardens, Herbs, Education, Schools, Junior Colleges</t>
  </si>
  <si>
    <t>Income from Kids, Children, Recreation, Entertainment, Amusements, Sports and Games, Banquet, Merriments, Romance and similar interests, Cinema, Drama, Opera, Dance &amp; Music, Playing Cards, Crossword puzzles, Dice, Horse racing, Betting, Lottery, Gambling, Chanting, Mantra, Rituals, Stock Exchange, Love affairs, Courtships, Good learning and wisdom, Festivities, Events Management</t>
  </si>
  <si>
    <t>Income from Job, Pet Animals, Small Cattle, Sanitation and Public Health</t>
  </si>
  <si>
    <t>Income from Partnership Business, Public Relations, Public Contracts, Public Service</t>
  </si>
  <si>
    <t>Mortuary, Burial Ground, Unearned income, Inheritance, Legacies, Wills and Insurance, Surgeons, Medical Officers, Health Inspectors, Slaughter Houses, Butchery, Flood and Fire, Epidemics dealing, Earthquakes related, Corruption, Dowry</t>
  </si>
  <si>
    <t>Philosophy and Religion, Religious, Meditation, Yoga, Astrology, Vastu, Numerology, Occult Science, Research and Invention, Senior Colleges, Universities, Publishing books of intrinsic value, Import and Export, Pilgrimage, Charity, Discovery and exploration, Legal arbitration, Long journeys by Air, Land and Sea, Emigration and immigration Department</t>
  </si>
  <si>
    <t>Own Independent or Consulting Profession (such as a Lawyer, CA, Engineer, Architect, Plumber, Carpenter, Electrician, Management, etc.), Politics, Government, Minister, Head of State or Country, Owners and Trainers of Horses, Olympics Athletics, Judges and Stewards, President in Race clubs, Joint Venture</t>
  </si>
  <si>
    <t>Friendship, Foreign collaboration, Election</t>
  </si>
  <si>
    <t>Purchases and Investments, Prisons, Occult Research, Success in a foreign land, Spies, Secret and and Occult Societies, Mystery and Psychic research,  Investigation, Detective work, Jails and Asylums, Sanatorium, Nursing Home, Mental Hospitals, Boot-legging, Smuggling, Black-mailing</t>
  </si>
  <si>
    <t>2, 8, 11 + Rahu / Saturn</t>
  </si>
  <si>
    <t>Increase in ornaments, jewels, precious metals and stones</t>
  </si>
  <si>
    <t>Insurance claim supported (Check 8th house for final result)</t>
  </si>
  <si>
    <t>2, 8, 11 + Mercury / Jupiter</t>
  </si>
  <si>
    <t>Legacy, Gratuity</t>
  </si>
  <si>
    <t>2, 8, 11 + Jupiter</t>
  </si>
  <si>
    <t>Medical claim</t>
  </si>
  <si>
    <t>Winning Lottery</t>
  </si>
  <si>
    <t>Winning Lottery + Huge money</t>
  </si>
  <si>
    <t>3, 5, 8 + 2</t>
  </si>
  <si>
    <t>Winning Lottery + Huge money + First prize</t>
  </si>
  <si>
    <t>3, 5, 8 + 2 + Jupiter</t>
  </si>
  <si>
    <t>Speculative income</t>
  </si>
  <si>
    <t>2, 8, 11</t>
  </si>
  <si>
    <t xml:space="preserve">Returning borrowed money </t>
  </si>
  <si>
    <t>4, 5, 8, 10</t>
  </si>
  <si>
    <t>Ancestral wealth</t>
  </si>
  <si>
    <t>Getting a hidden treasure</t>
  </si>
  <si>
    <t>4, 8, 11 + Rahu / Saturn</t>
  </si>
  <si>
    <t>Inheritance of Vehicles or Property</t>
  </si>
  <si>
    <t>Taking a loan to repay a loan</t>
  </si>
  <si>
    <t>4, 9, 11 + (2, 6 for income) + (10 for fame)</t>
  </si>
  <si>
    <t>Recognition in Job</t>
  </si>
  <si>
    <t>Salary increment and promotion</t>
  </si>
  <si>
    <t>Losses</t>
  </si>
  <si>
    <t>Lack of income from any relevant house</t>
  </si>
  <si>
    <t>&lt;any of 12&gt;</t>
  </si>
  <si>
    <t>Born to be poor</t>
  </si>
  <si>
    <t>Loss of income from job</t>
  </si>
  <si>
    <t>Loss of income from retirement</t>
  </si>
  <si>
    <t>Loss in investment</t>
  </si>
  <si>
    <t>Child Birth</t>
  </si>
  <si>
    <t>For women, first pregnancy</t>
  </si>
  <si>
    <t>For women, second pregnancy</t>
  </si>
  <si>
    <t>For women, third pregnancy</t>
  </si>
  <si>
    <t>For women, fourth pregnancy</t>
  </si>
  <si>
    <t>For women, fifth pregnancy</t>
  </si>
  <si>
    <t>For women, six pregnancy onwards 5, 7, 9, 11, 2</t>
  </si>
  <si>
    <t>For men, avoid predicting. If unavoidable, check 11th houses for all children</t>
  </si>
  <si>
    <t>For women and men, if &lt;5&gt;th house lord and it's star lord are in barren signs of Aries, Gemini, Leo or Virgo</t>
  </si>
  <si>
    <t>No Child</t>
  </si>
  <si>
    <t>For women and men, if &lt;5&gt;th house lord or it's star lord in a fruitful sign of Taurus, Cancer, Libra, Scorpio, Sagittarius, Capricorn, Aquarius, Pisces</t>
  </si>
  <si>
    <t>Child if 2, 5, 11 signified</t>
  </si>
  <si>
    <t>If the &lt;5&gt;th house sub lord is in Barren sign but its star lord is in a fruitful sign and signifies 2, 5, or 11</t>
  </si>
  <si>
    <t>Last child. No more children.</t>
  </si>
  <si>
    <t>Gender of child</t>
  </si>
  <si>
    <t>Check gender rule book</t>
  </si>
  <si>
    <t>Enunch (neither male or female) child born if &lt;5&gt;th house sub lord is Mercury in Mercury's own star of Ashlesha, Jayeshta, or Revati</t>
  </si>
  <si>
    <t>Enunch</t>
  </si>
  <si>
    <t>If Moon in Aswini star, then child birth is possible only if Rahu is favorable</t>
  </si>
  <si>
    <t>Every pregnancy is considered a child in KP Astrology</t>
  </si>
  <si>
    <t>If &lt;5&gt;th house sub lord is = Mars, Rahu or Sun</t>
  </si>
  <si>
    <t>Miscarriage or Abortion</t>
  </si>
  <si>
    <t>Denial of Child birth</t>
  </si>
  <si>
    <t>Delay in child birth if Saturn is the sub lord especially during a Dasa + Bukthi of Saturn or in a planet in Saturn star</t>
  </si>
  <si>
    <t>Saturn is a delay maker</t>
  </si>
  <si>
    <t>Child birth only if Mahadasa lord + Starlord not in barren sign. One of them must be in a fruitful zodiac sign.</t>
  </si>
  <si>
    <t>Barren period no child</t>
  </si>
  <si>
    <t>Difficulty</t>
  </si>
  <si>
    <t>Frequent hospitalization due to accidents</t>
  </si>
  <si>
    <t>6, 8, 12 + Mars</t>
  </si>
  <si>
    <t>6, 8, 12 + Mars / Sun</t>
  </si>
  <si>
    <t>Life ruined</t>
  </si>
  <si>
    <t>8 + Maraka + Badaka + Saturn in 8</t>
  </si>
  <si>
    <t>Life long diseases</t>
  </si>
  <si>
    <t>Weak lagna</t>
  </si>
  <si>
    <t>Political failure promised (Check 10th house for final result)</t>
  </si>
  <si>
    <t>Blindnes in left eye</t>
  </si>
  <si>
    <t>1 + (For Girls Sun in Watery sign of Cancer, Scorpio, or Pisces)
1 + (For Boys Moon in Watery sign in Cancer, Scorpio, or Pisces)</t>
  </si>
  <si>
    <t>Blindness in right eye</t>
  </si>
  <si>
    <t>1 + (For Girls Moon in Watery sign of Cancer, Scorpio, or Pisces)
1 + (For Boys Sun in Watery sign in Cancer, Scorpio, or Pisces)</t>
  </si>
  <si>
    <t>Blindness in both eyes</t>
  </si>
  <si>
    <t>1 + Moon and Sun in Watery sign of Cancer, Scorpio, or Pisces</t>
  </si>
  <si>
    <t>Blindness through accident</t>
  </si>
  <si>
    <t>1 + 8 + (Moon / Sun in Watery sign as per gender of child)</t>
  </si>
  <si>
    <t>8, 12 + Saturn</t>
  </si>
  <si>
    <t>Enmity with younger siblings</t>
  </si>
  <si>
    <t>School education damaged</t>
  </si>
  <si>
    <t>School education failure</t>
  </si>
  <si>
    <t>8</t>
  </si>
  <si>
    <t>School education change of school</t>
  </si>
  <si>
    <t>3</t>
  </si>
  <si>
    <t>4, 6, 8, 12 + Saturn / Rahu</t>
  </si>
  <si>
    <t>Chronic illness and disease</t>
  </si>
  <si>
    <t>1, 6, 8 + Saturn</t>
  </si>
  <si>
    <t>Unknown disease in medical history</t>
  </si>
  <si>
    <t>8, 12 + Ketu / Saturn</t>
  </si>
  <si>
    <t>Ill Health</t>
  </si>
  <si>
    <t>Resignation from job in haste</t>
  </si>
  <si>
    <t>Loss of job</t>
  </si>
  <si>
    <t>Change of job</t>
  </si>
  <si>
    <t>5</t>
  </si>
  <si>
    <t>Change of professional career</t>
  </si>
  <si>
    <t>9</t>
  </si>
  <si>
    <t>Accident + Hospitalisation</t>
  </si>
  <si>
    <t>Accident + Cure</t>
  </si>
  <si>
    <t>1, 8 + 5, 11</t>
  </si>
  <si>
    <t>Criminal Mind</t>
  </si>
  <si>
    <t>Disgrace, ill reputation, scandals</t>
  </si>
  <si>
    <t>1, 5, 12</t>
  </si>
  <si>
    <t>Madness</t>
  </si>
  <si>
    <t>6, 8, 12 + Moon, Mercury, Ketu, Saturn</t>
  </si>
  <si>
    <t>Person of nuisance</t>
  </si>
  <si>
    <t>5, 8</t>
  </si>
  <si>
    <t>4, 12 Mars, Saturn, Rahu, Ketu, Mercury + Bhadaka / Maraka</t>
  </si>
  <si>
    <t>Income tax trouble</t>
  </si>
  <si>
    <t>Problems in service</t>
  </si>
  <si>
    <t>5, 6, 8</t>
  </si>
  <si>
    <t>Termination of service</t>
  </si>
  <si>
    <t>5, 8, 9</t>
  </si>
  <si>
    <t>Suspension from service</t>
  </si>
  <si>
    <t>1, 5, 9, 8, 12</t>
  </si>
  <si>
    <t>Bad luck in all forms</t>
  </si>
  <si>
    <t>5, 8, 12 + Saturn, Mars</t>
  </si>
  <si>
    <t>Deaf and Dumb</t>
  </si>
  <si>
    <t>Disease causing defect in the body</t>
  </si>
  <si>
    <t>House arrest and detention</t>
  </si>
  <si>
    <t>Imprisonment</t>
  </si>
  <si>
    <t>2, 3, 8, 12 + Rahu as House Sub lord</t>
  </si>
  <si>
    <t>6, 8, 12 + Moon + Malefic Saturn and Rahu connecting</t>
  </si>
  <si>
    <t>6, 8, 10, 12 + Mars, Rahu</t>
  </si>
  <si>
    <t>Mentally retarded child / Special needs child</t>
  </si>
  <si>
    <t>Moon and Lagna at 90 degrees from each other on either direction</t>
  </si>
  <si>
    <t>Slightly mentally affected child</t>
  </si>
  <si>
    <t>Moon and Lagna at 30/45/60/120 from each other on either side</t>
  </si>
  <si>
    <t>Addiction</t>
  </si>
  <si>
    <t>1, 2, 3, 4, 6 + Saturn, Mars, Rahu, Venus</t>
  </si>
  <si>
    <t>Full recovery / cure from disease / Good health</t>
  </si>
  <si>
    <t>Live in partner / Premarital sex</t>
  </si>
  <si>
    <t>5, 8, 11</t>
  </si>
  <si>
    <t>Illicit relationship</t>
  </si>
  <si>
    <t>2, 5, 8, 11 + Rahu / Venus</t>
  </si>
  <si>
    <t>8, 12 + Mars, Rahu, Saturn</t>
  </si>
  <si>
    <t>Raping someone</t>
  </si>
  <si>
    <t>5, 12</t>
  </si>
  <si>
    <t>Termination of love affairs</t>
  </si>
  <si>
    <t>4, 6, 8, 10, 12</t>
  </si>
  <si>
    <t>2, 7, 11 + Fruitful signs</t>
  </si>
  <si>
    <t>Separation</t>
  </si>
  <si>
    <t>Periods of loneliness in Married life</t>
  </si>
  <si>
    <t>2, 7, 11 + 1</t>
  </si>
  <si>
    <t>Marriage through advertisement</t>
  </si>
  <si>
    <t>2, 7, 11 + 3</t>
  </si>
  <si>
    <t>Loveless marriage, Delayed marriage, Marrying a neighbor or within family circles</t>
  </si>
  <si>
    <t>2, 7, 11 + 4</t>
  </si>
  <si>
    <t>2, 7, 11 + 5</t>
  </si>
  <si>
    <t>Spouse leaves for some periods of time</t>
  </si>
  <si>
    <t>2, 7, 11 + 6</t>
  </si>
  <si>
    <t>Arranged marriage, Nagging spouse</t>
  </si>
  <si>
    <t>2, 7, 11 + 8</t>
  </si>
  <si>
    <t>Marrying a stranger, a teacher, Religious and Spiritual practices together</t>
  </si>
  <si>
    <t>7 = 2, 7, 11 + 9</t>
  </si>
  <si>
    <t>Dignified partner, Periods of lack of fulfilment</t>
  </si>
  <si>
    <t>7 = 2, 7, 11 + 10</t>
  </si>
  <si>
    <t>Sickly partner, Medical expenses due to partner</t>
  </si>
  <si>
    <t>2, 7, 11 + 12</t>
  </si>
  <si>
    <t>Total fulfillment in marriage, best friends as life partners</t>
  </si>
  <si>
    <t>2, 7 + 11</t>
  </si>
  <si>
    <t>Delayed marriage</t>
  </si>
  <si>
    <t>2, 7, 11 + 4 + 10</t>
  </si>
  <si>
    <t>Marrying a widow, a divorcee, or strange age difference</t>
  </si>
  <si>
    <t>Saturn as house sub lord</t>
  </si>
  <si>
    <t>Marrying a lowly person</t>
  </si>
  <si>
    <t>Rahu as house sub lord</t>
  </si>
  <si>
    <t>Marrying a foreigner or out of caste (Mostly a Christian)</t>
  </si>
  <si>
    <t>Ketu as house sub lord</t>
  </si>
  <si>
    <t>Partner is beautiful</t>
  </si>
  <si>
    <t>Moon or Venus in 5</t>
  </si>
  <si>
    <t>Success for partner, failure for self</t>
  </si>
  <si>
    <t>Marrying an employed spouse</t>
  </si>
  <si>
    <t>Spouse to get property</t>
  </si>
  <si>
    <t>5, 8, 10</t>
  </si>
  <si>
    <t>Sexual relationship with a friend</t>
  </si>
  <si>
    <t>Sexual relationship with a partner</t>
  </si>
  <si>
    <t>Travel</t>
  </si>
  <si>
    <t>Short travel</t>
  </si>
  <si>
    <t>3, 9, 11, 12</t>
  </si>
  <si>
    <t>Local travel within 30 kms</t>
  </si>
  <si>
    <t>Long travel 30 to 300 kms</t>
  </si>
  <si>
    <t>Long travel above 300 kms</t>
  </si>
  <si>
    <t>Foreign travel</t>
  </si>
  <si>
    <t>Foreign travel for education</t>
  </si>
  <si>
    <t>3, 9, 11, 12 + (4 or 9)</t>
  </si>
  <si>
    <t>Foreign travel for medical treatment</t>
  </si>
  <si>
    <t>3, 9, 11, 8 or 12 (8 for treatment, 12 for hospitalisation)</t>
  </si>
  <si>
    <t>3, 9, 11, 12 + 6</t>
  </si>
  <si>
    <t>Foreign travel for pleasure</t>
  </si>
  <si>
    <t>3, 9, 11, 12 + 5</t>
  </si>
  <si>
    <t>Foreign travel with spouse or business</t>
  </si>
  <si>
    <t>3, 9, 11, 12 + 7</t>
  </si>
  <si>
    <t>Visa / Passport / Greencard / Permanent Resident / Citizenship application</t>
  </si>
  <si>
    <t>3, 6, 9, 11, 12</t>
  </si>
  <si>
    <t>Receipt of Visa / Passport / Greencard / Permanent Resident / Citizenship</t>
  </si>
  <si>
    <t>Property</t>
  </si>
  <si>
    <t>Construct house</t>
  </si>
  <si>
    <t>Construct house with housing loan</t>
  </si>
  <si>
    <t>4, 11 + 12</t>
  </si>
  <si>
    <t>Construction of a religious or a spiritual building</t>
  </si>
  <si>
    <t>Renting a building</t>
  </si>
  <si>
    <t>Owning a house</t>
  </si>
  <si>
    <t>Occupying a new house</t>
  </si>
  <si>
    <t>Handing over from builder</t>
  </si>
  <si>
    <t>4, 11, 2 + Mars</t>
  </si>
  <si>
    <t>Sale of property</t>
  </si>
  <si>
    <t>3, 5, 10 + (2/11 for profit) + (8/12 for loss)</t>
  </si>
  <si>
    <t>Taking possession of an apartment/flat residence</t>
  </si>
  <si>
    <t>Tenant vacating</t>
  </si>
  <si>
    <t>4, 9, 10, 11 (+12 for vehicle loan)</t>
  </si>
  <si>
    <t>SUN</t>
  </si>
  <si>
    <t>Chemistry, Doctor</t>
  </si>
  <si>
    <t>Government, Management, Administration</t>
  </si>
  <si>
    <t>Management, Leadership, Business Administration</t>
  </si>
  <si>
    <t>Real Estate, Local Politics</t>
  </si>
  <si>
    <t>Trading, Stock Market, Cinema, Forest Officer</t>
  </si>
  <si>
    <t>Chemistry, Medicine, Hospital</t>
  </si>
  <si>
    <t>Business</t>
  </si>
  <si>
    <t>Religious Studies, Education, Law, Travel and Tourism, Research, International studies</t>
  </si>
  <si>
    <t>Business, Jewels, Music, Arts, Social Work, Politics</t>
  </si>
  <si>
    <t>Business, Social studies</t>
  </si>
  <si>
    <t>Medicine, Chemistry, Occult Science, Criminal and Prison related studies, Mind related, Foreign relations</t>
  </si>
  <si>
    <t>MOON</t>
  </si>
  <si>
    <t>Business, Social studies, Labor relationships, Science, Astrology</t>
  </si>
  <si>
    <t>Literature, Women health</t>
  </si>
  <si>
    <t>Arts, Architecture, Design, Social Science</t>
  </si>
  <si>
    <t>Water Management, Wetland study, Automobile, Civil, Marine</t>
  </si>
  <si>
    <t>Kindergarden, Children studies, Music, Theatre, Swimming, Advisory</t>
  </si>
  <si>
    <t>Banking</t>
  </si>
  <si>
    <t>Public Service</t>
  </si>
  <si>
    <t>Finance</t>
  </si>
  <si>
    <t>Law, Religion, Spiritual, Tourism, Travel, Foreign studies, Design, Arts, Psychology, Marine</t>
  </si>
  <si>
    <t>Public studies, Arts, Design, Mass media, Travel, Study of elders</t>
  </si>
  <si>
    <t>Social studies, Politics, Agriculture</t>
  </si>
  <si>
    <t>Occult science, Arts, Design, Hospitals, Travel</t>
  </si>
  <si>
    <t>MARS</t>
  </si>
  <si>
    <t>Criminology, Legal, Police, Army, Chemist, Doctor</t>
  </si>
  <si>
    <t>Criminology, Legal, Police, Army, Iron, Steel, Timber, Chemical, HR</t>
  </si>
  <si>
    <t>Army, Police, Business, Dancing, Entertainment</t>
  </si>
  <si>
    <t>Real estate, Autombile, Wealth Studies, Catering</t>
  </si>
  <si>
    <t>Surgical science, Medical equipment, Pharma, Sports, Physical Education, Police</t>
  </si>
  <si>
    <t>Real estate, Civil, Politics, Animal, Catering</t>
  </si>
  <si>
    <t>Autombile, Business</t>
  </si>
  <si>
    <t>Dancing, Fire, Police, Natural Disasters</t>
  </si>
  <si>
    <t>Agriculture, International Trade, Export, Enterprises</t>
  </si>
  <si>
    <t>Army, Police, Government Tax Collection, Forestry, Sales, Marketing, Business, Social studies, Agriculture, Real Estate, Civil</t>
  </si>
  <si>
    <t>Agriculture, Civil</t>
  </si>
  <si>
    <t>Jail, Prison, Police</t>
  </si>
  <si>
    <t>MERCURY</t>
  </si>
  <si>
    <t>Communication, Magic, Astronomy, Astrology, Mathematics, Computer Science, Engineering, Arts, Design, Science, Chemistry, Medical, Crafts, Speech, Accountancy</t>
  </si>
  <si>
    <t>Teaching, Writing, Advertising, Books, Printing, Publishing, Literature</t>
  </si>
  <si>
    <t>Teaching, Mind related, Reading, Library, Computer Science especially design and development</t>
  </si>
  <si>
    <t>Education, Tour guide, Travel, Civil, Real Estate, Journalism, Tourism</t>
  </si>
  <si>
    <t>Political Science, Advisory Studies, Arts, Design, Computer Science, Creative fields</t>
  </si>
  <si>
    <t>Hygience studies, Labor relations, chemistry, medicine, computer science</t>
  </si>
  <si>
    <t>Business, Neuro Science</t>
  </si>
  <si>
    <t>Education, Teaching, Foreign Studies, Public Life, Music, Computer Science</t>
  </si>
  <si>
    <t>Business, Public Studies, Journalism, Literature, Teaching, Electrical, Railways, Archaeology, Automobile, Real Estate, Computer Science</t>
  </si>
  <si>
    <t>Finance, Wealth Management, Social Studies, Mathematics, Astrology, Young Adult Studies, Accountancy</t>
  </si>
  <si>
    <t>Secret Science, Forensic, Occult Science</t>
  </si>
  <si>
    <t>JUPITER</t>
  </si>
  <si>
    <t>Finance, Child care, Career Management in HR, Languages, Politics, Banking, Physician, Law, Teaching, Theology, Accountant, Computer science</t>
  </si>
  <si>
    <t>Career Management, HR, Finance, Business, Communication, Social work, Banking, Religious studies, Teaching, Insurance, Computer Science</t>
  </si>
  <si>
    <t>Philosophy, Counselling, PR, Advertising, Publicity, Marketing, Computer Science</t>
  </si>
  <si>
    <t>Real Estate, Civil, Automobile, Animal, Education</t>
  </si>
  <si>
    <t>Child Studies, Music, Cinema, Mass Communication, Business, Social Studies, Politics, Law</t>
  </si>
  <si>
    <t>Health Science, Pharma, Natural Science, Politics, Computer Science</t>
  </si>
  <si>
    <t>Business, Agriculture, Finance, Law</t>
  </si>
  <si>
    <t>Secret Science, Detective, Forensic, Catering, Investing</t>
  </si>
  <si>
    <t>Religious Studies, Law, Philosophy, Social Studies, Travel, Foreign Relationships, International trade, Advisory, Consultancy, Computer Science and Research</t>
  </si>
  <si>
    <t>Social studies, Music</t>
  </si>
  <si>
    <t>Law, Medicine, Occult Science, Public Services, Mental Science, Foreign Studies, Religious Studies, Philosophy, Spiritual</t>
  </si>
  <si>
    <t>VENUS</t>
  </si>
  <si>
    <t>Arts, Music, Theater, Cinema, Drama, Craft, Mathematics, Poetry, Literature, Mass media, Fine arts</t>
  </si>
  <si>
    <t>Arts, Hotel Management, Beautician, Luxury Goods, Jewellary, Music</t>
  </si>
  <si>
    <t>Painting, Cost Cutting, Preventive Health, Decoration, Design, Architecture</t>
  </si>
  <si>
    <t>Property Management, Finance, Beauty, Diary, Automobile, Transportation, Education</t>
  </si>
  <si>
    <t>Retrenchment, Cost control, Labor, Maternity, Animals, Health, Politics, Women Related</t>
  </si>
  <si>
    <t>Social Studies, Finance, Business, PR, Women Related, Family, Retail Business</t>
  </si>
  <si>
    <t xml:space="preserve">Finance, Business, Insurance, Petroleum, Fuel, Forestry, Wood, Bathroom fittings </t>
  </si>
  <si>
    <t>Education, Music, Arts, Travel, Foreign Studies, PR, Infantry, Spiritual, Religious</t>
  </si>
  <si>
    <t>Geriatrics, Music, Wedding Management, Jewellery, Luxury Goods, Amusement, Stock Trading, Decoration</t>
  </si>
  <si>
    <t>Agriculture, Luxury Goods, Wealth Management, Luxury Cars, Social Events Management</t>
  </si>
  <si>
    <t>Secret science, Public Studies, Social Science</t>
  </si>
  <si>
    <t>SATURN</t>
  </si>
  <si>
    <t>Skilled work</t>
  </si>
  <si>
    <t>Skilled work, Geology, Mine, Investment, Coal, Lead, Refrigeration</t>
  </si>
  <si>
    <t>Finance, Wealth, Diplomacy, Mind Control related</t>
  </si>
  <si>
    <t>Property, Land, Civil, Pilgrimage, Tour, Oil seeds, Black Grains</t>
  </si>
  <si>
    <t>Adoption Services, Family counseling, Cinema, Criminal law, Story telling</t>
  </si>
  <si>
    <t>Legal, Wealth</t>
  </si>
  <si>
    <t>Biology, Geology</t>
  </si>
  <si>
    <t>Legal, Forensic, Trading, Secret Sciences</t>
  </si>
  <si>
    <t>Philosophy, Spiritual, Geology, Mineralogy, Occult, Metaphysics</t>
  </si>
  <si>
    <t>Religious, Foreign Studies</t>
  </si>
  <si>
    <t>Agriclture, Politics, Land, Civil, Business, Finance</t>
  </si>
  <si>
    <t>Criminal Law, Secret Arts</t>
  </si>
  <si>
    <t>9th Cuspal Sub Lord</t>
  </si>
  <si>
    <t>Deposited in House</t>
  </si>
  <si>
    <t>Higher Education Stream</t>
  </si>
  <si>
    <t>Barren</t>
  </si>
  <si>
    <t>House</t>
  </si>
  <si>
    <t>House Meaning</t>
  </si>
  <si>
    <t>Planet</t>
  </si>
  <si>
    <t>Signification</t>
  </si>
  <si>
    <t>Generous, determined, frank, dignity, independent, hopeful, good constitution, satisfactory immunity, successful attempts, good relationship with officers, promotion, smooth life, defective vision, boastful, lofty, proud, magnanimous, confident, just, ambitious, hot temper, proud and haughty, noble and aspiring, loves science and arts, fond of opposite sex, chemist, doctor, gains fame and name.</t>
  </si>
  <si>
    <t>Inheritance, gain by one's Industry or through Government or holding responsible position. Generous, social, fond of sports and pleasure. If afflicted loss of money, immoral life, nasty talk, extravagant and impulsive expenses.</t>
  </si>
  <si>
    <t>Commands respect, bold, courageous, gains through relatives, good understanding with neighbours, success in agency, good for business, creative, victory over enemies, good health, reputation and honour. If afflicted, troubles, anxious, anonymous petitions, false reports, difficulties.</t>
  </si>
  <si>
    <t>Realise ambition, purchase of property, land or gain through estate, inherits property. If afflicted, obstacles, troubles, difficulty in old age, blood pressure, undomestic environments and loss of property.</t>
  </si>
  <si>
    <t>Gains through speculation, children, amusement, cinema etc. Difficulty during childbirth. May go on journey to forest region, intestinal disorders. If afflicted, loss, rivalry in courtship, difficulty through love affairs and trouble with children.</t>
  </si>
  <si>
    <t>Not good for health, weakness, constitution, gain through service, promotion, chemistry, medicine, hospital, heart trouble, organic trouble, intelligent, bold, victory over enemies, big family, self-esteem.</t>
  </si>
  <si>
    <t>Success after marriage, magnanimous, determined, permanent attachment, popular, litigation averted by arbitration, compromise, gains through partners in business, if afflicted loose morals, late marriage, henpecked, travels, both partners character questionable; beneficial aspect shows virtuous, two wives, illness to partner, venereal disease, defective vision, displeasure from officials.</t>
  </si>
  <si>
    <t>Better luck after marriage, gains by partnership. End by self-sacrifice or any heroic action. Improves vitality, contributes long life, Few children. if afflicted weak constitution, defective vision, economical, violent end. In a female's chart, the husband passes away first, loss of wealth, immoral connection, litigation and poverty.</t>
  </si>
  <si>
    <t>Religious, connection with colleges or legal department, gains through travels, desire to carry out research, success in overseas, sincere, constant in religious beliefs, self-reliance, increase in popularity, does meritorious deeds, success in attempts, much self-acquired properties.</t>
  </si>
  <si>
    <t>Increase in income, improvement in status, honour, and authority. Independent, decent inheritance, very steady improvement in business, profession, promotion, good vitality, possesses jewels, tactful, fond of music, arts, head of small society or village, success in political life.</t>
  </si>
  <si>
    <t>Ambitious, fulfills one's desire, respectful, loyal, honest, connection with people in power, hopeful, permanent friends, social success, good business, many conveyance, unfriendly with politicians, principled.</t>
  </si>
  <si>
    <t>Success in medicine, chemistry, occult science, association with hospital, prison, sanatorium etc.  Prefers to lead a secluded life. self-sacrificing if afflicted poverty, not straight forward, like widows, unscrupulous, dispute with parents, danger to children, loss in foreign land.</t>
  </si>
  <si>
    <t>Weak constitution, dyspepsia, disease in micturition, defect in the ear, many brothers and sisters, worries, never steady, ever changeful, fertile imagination, gains in business, happy domestic life, good dreams, if afflicted, mental disease, danger from water and  liquids. Unstable in mind, fond of other sex, quiet, fond of society and friendship, gains through the lower class, timid, generous ambitious, aspiring, fond of drinks, low class people, bad behaviour, filthy talk, fond of science and astrology, respect, firm, industrious, kind and quiet, loves peace and calmness.</t>
  </si>
  <si>
    <t>Increase in income, books, larger profits, happy sexual life, versatile, handsome, intelligent, break in education, respected by all, sweet speech, gains through ladies, mother etc.</t>
  </si>
  <si>
    <t>Popular, many sisters, good health. If afflicted dyspepsia, good education, bold, mind ever engaged and alert, fond of journeys, changes new surroundings, social life.</t>
  </si>
  <si>
    <t>Gains through parents, happy domestic life, inherits, popular, change of residence, over indulgence, gains from wetland, possesses building, vehicle, etc. If afflicted, disappointment, difficulties, theft, fraud, estrangement, loss of parents, complications etc.</t>
  </si>
  <si>
    <t>Fond of pleasure, enjoys life in the society of children, speculative mind, fond of music, opera, swimming pool, handsome wife, affects education, birth of many daughters, a good adviser, wise decision, changeable affection, unsteady.</t>
  </si>
  <si>
    <t>Weak health, susceptivity for infectious disease; lazy, henpecked, suffers from dysentery, gas trouble, diarrhoea, loss of money, pressure from bank, misunderstanding with mother, loves widows, pilfering habits, changes service, treachery, loss through pet animals, poultry etc.</t>
  </si>
  <si>
    <t>The partner will be fond of change and travel. Unsettled nature, engaged in public work, early marriage, fond of other ladies, two wives, narrow outlook, jealousy, short journey and honeymoon.</t>
  </si>
  <si>
    <t>Danger to Mother, disharmony with material people, ill-health, lack of comforts, agony, loss through ladies, gains venereal disease. Profitable transaction; receives the goods of the debt; lean body, defective vision and short life.</t>
  </si>
  <si>
    <t>Does meritorious deeds, success in attempts, becomes popular, intelligent, builds temples and charitable institutions, possess lands, jewels, becomes wealthy, makes long voyages, lives in foreign land, romantic and fanciful mind, good dreams, psychic experiences.</t>
  </si>
  <si>
    <t>Public life, changes business or profession, unstable, becomes popular, increases inheritances, makes voyages, charitable, loves widows, long life, respect for elders.</t>
  </si>
  <si>
    <t>Many friends, mostly reliable, only a few permanent ones, gains through social life, politics, realises ambition, lucky children, wide-awake, well informed, gains by agriculture, principled.</t>
  </si>
  <si>
    <t>Fond of occult subject, romance, indiscreet love affairs, loss, gains through hospitals or isolated positions, makes voyages, ill-repute, loss of money, mean behaviour, defective organ.</t>
  </si>
  <si>
    <t>Irritable, extravagant, increase in income, equal-expenses, education affected, mixes with wicked people, danger to partner, gains through iron, steel, timber, chemicals and skill promotion.</t>
  </si>
  <si>
    <t>Very bold, danger to brother, wealth increases, success in enterprise, victory over enemies, adulterous, fond of dancing girls, danger during journey, if afflicted thoughts of suicide.</t>
  </si>
  <si>
    <t>Loss of wealth, unhealthy to mother, chest pain, danger during journey, danger to parents, dispute in the family, brutal, indecent in the treatment of ladies, loss by theft, fire, litigation in property.</t>
  </si>
  <si>
    <t>Surgical aid during, delivery, good sportsman, muscular exercise, rash, attraction to the opposite sex, over-indulgence, danger of injury to first child. Lost in speculation, dispute with children. Government displeasure, criminal activities, scandal.</t>
  </si>
  <si>
    <t>Rich, plenty of lands, political life, success, victory over enemies, unhealthy uncle, active careless, inflammation or injury, loss through animals and poultry.</t>
  </si>
  <si>
    <t>Unhealthy wife, piles, many brothers intelligent, dispute with ladies, evil friendship, long journey. If afflicted death of partner, impetuous in loss through litigation, competition business.</t>
  </si>
  <si>
    <t>Defective vision, short life, loves dancing girls,loses partner danger to father, misery unhappy, partner extravagant, loss by the fire and theft.</t>
  </si>
  <si>
    <t>Loss in agriculture, short tempered father, sickly, international trade, export, power and prestige-increase, danger of violence in other places, dreams, distressful, a frantic, skeptic, does not pay respects to early religious teachings, enterprising, self-made.</t>
  </si>
  <si>
    <t>Impulsive, intellectual, reasonable, independent, courageous, gains through business, promotion, salesman, industrial pursuit, head of a society, colony or town, makes money in agriculture, owns estate.</t>
  </si>
  <si>
    <t>Gains through agriculture, income increases, promotion, prosperity, progress, popularity, well informed elder brothers, self made, possesses property, a few reliable friends.</t>
  </si>
  <si>
    <t>Danger, injury, scandal, treacherous, visits jails, liability to imprisonment, a cheat, loss of partner, sore eyes, difficulties.</t>
  </si>
  <si>
    <t>Good speech, learned, well informed, learns magic, astronomy, astrology, mathematics, engineering, etc. Studious habits, changeable, artist, adaptable, fertile imagination, journeys. Quick-witted, sharp, fluent in speech, skilled, crafty, head- strong, orator, loves science - Chemist or Doctor, inquisitive, quick in judgement, changeable, proud.</t>
  </si>
  <si>
    <t>Gains by teaching, writing or by commissions. Advertising, stationery books press. Many children, acquires property, stores, grain, happy.</t>
  </si>
  <si>
    <t>Frequent short journeys, broad outlook, fond of reading, teaching, anxious, mental development, many brothers, weak body, deception.</t>
  </si>
  <si>
    <t>Good in education, robust health, pleasant mother, new friends, happy domestic life, but change of residence, no fixed abode, gain money through land, mine, estate, newspaper, library, registrar office, etc. Intelligent mother, ever changes the car.</t>
  </si>
  <si>
    <t>More of mental pleasure than of muscular one. Anyhow worry, anxiety and obstacles. A minister or an adviser, intelligent children, success in attempts.</t>
  </si>
  <si>
    <t>Petty quarrels, labour trouble, studies hygiene, chemistry, medicine, active mind, nervous breakdown; suicidal tendency, stomach trouble, dispute with maternal uncle; loss of money through litigation; education affected; disease in the tips of fingers.</t>
  </si>
  <si>
    <t>Troubles, difficulties, dispute litigation with partner; misunderstanding with neighbour: journey to attend funeral ceremony, nervous breakdown; paralysis; long life, few children, much wealth, popular helps relatives.</t>
  </si>
  <si>
    <t>Studious, higher education, success in long journeys, life in foreign place, indecisive, high position, respected by public, fortunate father, learns music.</t>
  </si>
  <si>
    <t>Success in business, promotion, additional charge public life, novelist, teacher, reporter, electrician-railway, antiquities, research, promotion, possesses good house and vehicle, success in education.</t>
  </si>
  <si>
    <t>Owns much property, increases wealth, prosperous, generous, charitable, many respectful, many acquaintances, only a few permanent friends, associates with youngsters, good in mathematics and astrology.</t>
  </si>
  <si>
    <t>Adulterous, danger to mother and uncle, poor number of children, lazy, poverty, fond of occultism, secret arts, unusual thoughts, petty quarrels; anxiety; scandal.</t>
  </si>
  <si>
    <t>Robust health, satisfactory financial position, providential help, birth of children, reputation, advancement in career, good education, grammar, politician, Lucky life, stout body; optimistic, jovial, honest, true, banker, physician, judge, lawyer, teacher, theologian, cashier, if afflicted suffers from cancer, imps re blood, excessive stoutness, plephorea. Generous, bold,  successful, proud, fond of recreation, faithful. Help others fond of sports, drinks, entertainment, free, just, religious, loves honour, liberal.</t>
  </si>
  <si>
    <t>Successful career, increase in income, prosperous, good for business, gains influence, eloquent, liberal, charitable, gains through banking, religion, education, insurance, etc.</t>
  </si>
  <si>
    <t>Philosophical, sympathetic, courteous, many brothers, adopts methods unscrupulously to gain one's object, addicted to evil, likes the company of the other sex, gains through 3rd house matters. Advertising publicity. etc.</t>
  </si>
  <si>
    <t>Happy domestic life, gains through parents, successful estates, possession of building, vehicle, cattle etc. Lucky mother, success in education, happy end.</t>
  </si>
  <si>
    <t>Good children, gains through love affairs, pleasant life, fond of amusement, cinema, music etc, gains in speculation, wholesale merchant, social success, political career, wise-counsel.</t>
  </si>
  <si>
    <t>Maintains health, all comforts given and gains during unhealthy period (One may ask how it is possible to gain when one is ill. A friend of mine admitted himself in a hospital during the period ;of-the planet occupying the constellation of Jupiter occupying the 6th house in his horoscope. During that time. he made friendship with a foreigner On a later date the foreigner was responsible to arrange foreign collaboration for his business. Thus planets occupying the constellation of Jupiter when it is occupying the 6th house does good to the native.) Victory in election, adulterous, dyspeptic trouble.</t>
  </si>
  <si>
    <t>Partner well behaved and true, magnanimous, increase in wealth, become very rich, reputation, success in agriculture, gains through partners, good business, wins in litigation.</t>
  </si>
  <si>
    <t>Loss of property, secret activities, narrow outlook, fond of drinks, never afraid of misappropriation especially public money, pretends to be honest and generous, prosperity after marriage, gains by legacy, handle other's money freely.</t>
  </si>
  <si>
    <t>Reputation, religious, lawful, correct intuition, clear thought, philanthropic, good for Travel, logical, optimistic, luck to father, association with foreigners, a good adviser, consultant, many children.</t>
  </si>
  <si>
    <t>Noble birth, optimistic, influential, good business, political life, sportsman, timely promotion, good relationship with higher officials, social, financial success, does meritorious deeds, possesses lands, vehicle, head of a village, commands many servants.</t>
  </si>
  <si>
    <t>Good friends, well placed in life, gains through Jupiterians, social success, popularity, realises ambition, birth of children, learns music, masters it, possesses building, enjoys all comforts.</t>
  </si>
  <si>
    <t>Gains through law, medicine, occult subjects, service in public institutions, visits hospital and asylums. Connections with foreigners, danger to children, or limited number of children, enlargement of spleen, evil tendencies and scandal if afflicted. Wanders, becomes a sanyasi, pious, in the end of life Moksha.</t>
  </si>
  <si>
    <t>Reliable, affectionate, emotional, social, fond of arts pleasure, music, fortune, fruitful, successful, mathematician, poet, if afflicted defect in ovaries, kidneys, cheeks affected, diabetes, accumulates wealth, purchases jewels, costly dress etc., pleases the partner in sex affairs, fortunate, loved by other sex, fond of entertainment, generous, kind, fond of drinks, veteran in fine arts, wins by love, good in music and arts.</t>
  </si>
  <si>
    <t>Fortune, favour from ladies, higher officials, artists etc. social success, marriage pleasant, purchases jewels, runs hotels, fond of adornment, luxuries, nevertheless increase in wealth, happy married life, charming wife, musician.</t>
  </si>
  <si>
    <t>Brothers prosperous, liking for painting, cheerful, optimistic, relatives and neighbours are favourable, saves money, keeps health, if afflicted unhappy, poor, economical, unpopular, dissatisfaction in married life.</t>
  </si>
  <si>
    <t>Happy domestic life, prefers his own native place, easily gets inheritance, possesses property, fortune, glutton, beautiful mother, possesses castle, plenty of milk and milky products, owns estates, cars, service in transport, educational institution.</t>
  </si>
  <si>
    <t>Birth of beautiful children especially daughters, talented in music, gains through love affairs, speculation, investment, music, summer resorts, etc. A good administrator and adviser, danger to mother.</t>
  </si>
  <si>
    <t>Can maintain health, avoid excesses, no labour problem, gains in maternity nursing and maintaining pet animals, poultry etc. skin diseases kidney or ovary troubles, diabetes. Wins in election, victory over enemies, fond of ladies of all kinds.</t>
  </si>
  <si>
    <t>Social and financial success, good partners. success in business, public relation satisfactory, very clever in adultery, fond of other women, over thinking of sexual pleasure, happy domestic life, pleasant journey, extravagant expenses.</t>
  </si>
  <si>
    <t>Increase in income, ill-health to mother, successful business, wealth through partner, God-fearing, profit by legacy, insurance, fuel, forest, deals in wood, closet bathroom fittings.</t>
  </si>
  <si>
    <t>Pleasing manners, popular, success with other sex, permanent friends, never rubs on the wrong side, gain through elders and through music, happy domestic life, harmonious, wedded life, gain through jewellery, luxury, amusement, speculation, decoration, possesses house, conveyance, some breaks in education, few elder sisters, success in litigation.</t>
  </si>
  <si>
    <t>Very rich, luxurious comforts, learned, possesses lands, gains in agriculture, uses good conveyance, pleasant friend, social success, prosperity after marriage.</t>
  </si>
  <si>
    <t>Romantic life, investigates secret arts, gains through charitable and public institution, enjoys peaceful life in seclusion, happy and satisfactory sexual bliss, immoral tendencies in plenty, does not reject women though low born, pleasant promises and unworthy performance.</t>
  </si>
  <si>
    <t>Lazy, lethargic, abortive tendency, loss of children, unscrupulous, adulterous, obstacles, wandering, poor, loss of wife, if afflicted methodical, industrious, if ill-placed affects the bone, teeth, right ear, knees, spleen, constipation, rheumatism, stone in adder etc. Timid, cautious, reserved, revengeful, jealous, free, honest, rash, suspicious, hardworking, miserly, selfish, shy, stubborn.</t>
  </si>
  <si>
    <t>Maximum labour, minimum wages, uphill struggle, lack of money, success in estate, mine, investment, coal, lead, refrigeration etc. More than one wife. Break in education, fond of drinking.</t>
  </si>
  <si>
    <t>Increase in income, gains wealth, death of brother, victory over enemies, success in litigation, diplomatic, mental control, concentration, very cautious, cares for truth.</t>
  </si>
  <si>
    <t>Chronic disease to mother, loses ancestral property, voyage to distant places, misfortune in his own land, scandal, incomplete education, gains through oil seeds and black grains, enmity with politician, seclusion at the end of life. If well posited and if it receives good aspects from lords of 2, 7, 11 comes by treasure.</t>
  </si>
  <si>
    <t>Abortive tendencies, still born child, may adopt, disappointment in love affairs, likes only old people, in a female chart it shows attraction to widowers, troubles through children, loss in speculation, cinema, criminal prosecution, wandering often, depressed, tale bearer.</t>
  </si>
  <si>
    <t>Deaf, adamant, victory over enemies, court bird, increase in income, popular, greater authority, chronic disease, loss through animal and poultry, labour trouble.</t>
  </si>
  <si>
    <t>Late marriage, sickly wife, fond of other's wives, pain in the ear, prudent and faithful wife, steady in affection, poverty, misery, loss by partnership, unsuited for business, always meets with opposition, failure in litigation, miserable failure in election, scandal.</t>
  </si>
  <si>
    <t>Loss of wealth, criminal activities disputes, untold misery, obstacles, disappointment, dejection, slow death, chronic disease, distressing dreams, death of father, danger of drowning, unwieldy sexual organ, adulterous, fond of drinks, leprosy, consumption, asthma, danger to brother, dishonest, black marketer, secret activities.</t>
  </si>
  <si>
    <t>Philosophical minded, detached attachment, scientific, meditative, geology, mineralogy, occult subject, metaphysics, renovates temple, irreligious, misfortune, unpleasant domestic life.</t>
  </si>
  <si>
    <t>Speedy promotion to a high level, sudden reversal and adversary, ambition for power and prestige. Industrious, yet financial loss in business ultimately (in a few cases it is found that Saturn in 10 for cinema actors and actresses had given a very good life and income. But everything is lost and they lead a miserable life. So also great politicians, and powerful people had Saturn in 10, reached the highest position and fell down to a depth much greater than the height they climbed. It is similar to person climbing up a tree on the shore of the sea, walk along the branch and fall into the sea, the depth of which is much greater than the height that he climbed). Chances to visit holy places, enjoys life  foreign land, becomes the head of religious institutions and ultimately becomes a sanyasi as he does not own anything.</t>
  </si>
  <si>
    <t>Select friends, mostly elders, hopes fulfilled, becomes rich, owns lands, political power, obstacles in education, danger to elder brother, enjoys conveyance, vehicle, commands authority, success in enterprises, promotion, influence, increase in income.</t>
  </si>
  <si>
    <t>Life in a secluded place, danger of imprisonment, secret inimical activities, downfall, loss, accidents, injury, secret sorrows, disappointment in love affairs, dissatisfaction in sexual life, wasting money for nasty purposes, vision defective, ill health to children, weak constitution, misery.</t>
  </si>
  <si>
    <t>Note: Replace Rahu/Ketu with it's star lord and refer to the table above</t>
  </si>
  <si>
    <t>Star</t>
  </si>
  <si>
    <t>Parts of the Body</t>
  </si>
  <si>
    <t>Diseases (Sixth Bhava)</t>
  </si>
  <si>
    <t>Aswini</t>
  </si>
  <si>
    <t xml:space="preserve">Head, Cerebral hemispheres. </t>
  </si>
  <si>
    <t>Injury in the head, congestion in the brains, thrombosis, cerebral anaemia, faintings, epilepsy, violence, spasms, severe headache on any one side, neuralgia, coma, trance, cerebral hemorrhages, paralytic stroke, insomnia, malaria, meningitis, smallpox.</t>
  </si>
  <si>
    <t xml:space="preserve">Head, Cerebral hemisphere, organs within the head, eyes. </t>
  </si>
  <si>
    <t xml:space="preserve">Injury in the head, mostly in the forehead and just around the eyes, cold venereal distemper, syphilis affecting face and vision, catarrh in the head, mucus, moist humours, reins afflicted, weakness due to gratifying one's tastes and pleasurable emotions in dissipating habits. </t>
  </si>
  <si>
    <t>Karthikai 1st Quarter</t>
  </si>
  <si>
    <t xml:space="preserve">Head, eyes, Wain, vision. </t>
  </si>
  <si>
    <t xml:space="preserve">Sharp fever, malaria, filaria, plague, smallpox, wounds, cerebral meningitis, brain fever, injury, cuts, accident, explosions, carbuncle, fire accident. </t>
  </si>
  <si>
    <t>Karthikai 2, 3 and 4th Quarters</t>
  </si>
  <si>
    <t xml:space="preserve">Face, neck, Larynx, tonsils, lower jaw, occipital region. </t>
  </si>
  <si>
    <t xml:space="preserve">Pimples, cuts, reddish eye, eyesore, throat troubles, tumours in the knee, quinsy, swelling above neck, polypus of the nose. </t>
  </si>
  <si>
    <t xml:space="preserve">Face, mouth tongue, tonsils, palate, neck, cerebellum, atlas cervical vertebra. </t>
  </si>
  <si>
    <t>Sore-throat, cold, cough, pains in the legs and feet, paining into breast, goiter, apoplexy, irregular menses, swellings.</t>
  </si>
  <si>
    <t>Mrigasira First Half</t>
  </si>
  <si>
    <t>Face, chin, cheeks, larynge, palate, carotid, arteries, jugular veins, inflamed Tonsils.</t>
  </si>
  <si>
    <t xml:space="preserve">Pimples, cuts, and injuries in those parts, pain in the throat, adenoids, diphtheria,weak loins and king's evil, nosebleed, goiter, constipation, venereal, distemper, polypus. </t>
  </si>
  <si>
    <t>Mrigasira Second Half</t>
  </si>
  <si>
    <t>Throat, vocal cord, arms, shoulders, ears, thymus gland, upper ribs.</t>
  </si>
  <si>
    <t>Corrupted blood, stitches, wounds, and fracture of arms, collarbone,fractured femur, sciatica, surfeit, fever, pains in the shoulders near collar bone, arms, disorders in secret parts, inflammation of pericardium.</t>
  </si>
  <si>
    <t>Arudra</t>
  </si>
  <si>
    <t xml:space="preserve">Throat, arms, shoulders. </t>
  </si>
  <si>
    <t>Septic throat, mumps, asthma, eosinophilia, dry cough, diphtheria, ear trouble, pus in the ear.</t>
  </si>
  <si>
    <t>Punarvasu 1, 2, 3 quarter</t>
  </si>
  <si>
    <t xml:space="preserve">Ear, throat, shoulder blades. </t>
  </si>
  <si>
    <t xml:space="preserve">Pleurisy, bronchitis, pneumonia, reins disorder, pericardium inflammation, swelling and pain in the ear, goiter due to iodine deficiency, infiltration in the upper lobe of the lungs, pulmonary apoplexy. </t>
  </si>
  <si>
    <t>Punarvasu 4th Quarter</t>
  </si>
  <si>
    <t xml:space="preserve">Lungs, respiratory system, chest, stomach, oesophagus, diaphragm, pancreas, mammae, lacteals, upper lobes of liver, thoracic. </t>
  </si>
  <si>
    <t xml:space="preserve">Dropsy, beri-beri, stomach upset, irregular appetite, corrupt blood, tuberculosis, pneumonia, bronchitis, liver complaint, jaundice, gourmandize, dyspepsia. </t>
  </si>
  <si>
    <t>Pushyam</t>
  </si>
  <si>
    <t xml:space="preserve">Lungs, stomach and ribs. </t>
  </si>
  <si>
    <t>Tuberculosis, ulcerations in the respiratory system, gastric ulcer, gallstones, nausea, belching, obstruction, bruises in the breast, scurvy, cancer, phthisis, jaundice, cough, hiccough, eczema, pyorrhoea, dyspepsia.</t>
  </si>
  <si>
    <t>Aslesha</t>
  </si>
  <si>
    <t xml:space="preserve">Lungs, stomach, oesophagus, diaphragm, pancreas, liver. </t>
  </si>
  <si>
    <t xml:space="preserve">Vitamin 'B' deficiency, cold stomach, windiness, wind pressing the diaphragm making it difficult to breathe, distillation of rectum, pains in knees and legs. Drunkenness, phlegm, flatulence, nephritis, hypochondria, hysteria, dropsy, jaundice, nervous, indigestion. </t>
  </si>
  <si>
    <t>Makam</t>
  </si>
  <si>
    <t xml:space="preserve">Heart, back, spinal cord, spleen, dorsal region of spine, aorta. </t>
  </si>
  <si>
    <t xml:space="preserve">Heart affected by sudden shock, grief or, poison, pains in the back, cholera, humours, gravel in kidneys, palpitation, regurgitation, faintings, spinal meningitis. </t>
  </si>
  <si>
    <t>Poorvapalguni</t>
  </si>
  <si>
    <t xml:space="preserve">Heart, Spinal Cord. </t>
  </si>
  <si>
    <t>Uthrapalguni I-Quarter</t>
  </si>
  <si>
    <t xml:space="preserve">Spinal cord. </t>
  </si>
  <si>
    <t xml:space="preserve">Pains in the back and in the head, spotted fever, plague, hyperaemia. faintings, blood pressure, becomes mad temporarily due to clotting of blood in the capillaries in the brain, palpitation, backache. </t>
  </si>
  <si>
    <t>Uthrapalguni-2nd, 3rd and 4th Padas</t>
  </si>
  <si>
    <t xml:space="preserve">Intestines, bowels, liver. </t>
  </si>
  <si>
    <t xml:space="preserve">Tumours in the bowels, obstructions, stomach also disordered, sore-throat and swelling in neck. </t>
  </si>
  <si>
    <t>Hastham</t>
  </si>
  <si>
    <t xml:space="preserve">Bowels, intestines, secreting, glands, enzyme. </t>
  </si>
  <si>
    <t>Chitra - First Half</t>
  </si>
  <si>
    <t xml:space="preserve">Belly, Lower part. </t>
  </si>
  <si>
    <t xml:space="preserve">Ulcers, sharp and acute pains, choleric humours, worms, irritation and itching, legs paining, dry-griping p wounds from insects, reptiles and animals. </t>
  </si>
  <si>
    <t>Chitra 3rd and 4th Padas</t>
  </si>
  <si>
    <t>Kidney, Loins, Hernia, Appendicitis, lumbar region of the spine, vasomotor system.</t>
  </si>
  <si>
    <t xml:space="preserve">Polyuria, inflammation of ureter connecting kidney and bladder, Bright's diseases, lumbago, kidney trouble, excess of urine, haemorrhage of the kidneys, renal stone, sunstroke, brain fever, pains in head. </t>
  </si>
  <si>
    <t>Swathi</t>
  </si>
  <si>
    <t xml:space="preserve">Skin, kidneys, ureter, appendicitis, hernia, bladder. </t>
  </si>
  <si>
    <t xml:space="preserve">Polyuria, urinary trouble, ureters ulcerated, pus formation, Bright's disease, eczema, skin trouble, leprosy. </t>
  </si>
  <si>
    <t>Visakam - 1, 2 and 3 Padas</t>
  </si>
  <si>
    <t>Lower abdomen, parts near bladder, kidneys and pancreatic gland.</t>
  </si>
  <si>
    <t xml:space="preserve">Deficiency of Adrenal secretion, renal abscess, skin eruption, diabetes, kidney sluggish, insulin deficient, congestion of brain, coma, vertigo. </t>
  </si>
  <si>
    <t>Visakam 4th Quarter</t>
  </si>
  <si>
    <t>Bladder, Urethra, genital organs, rectum, descending colon, prostate gland.</t>
  </si>
  <si>
    <t>Diseases of the womb, fibroid tumour, prostate gland enlargement, urinary trouble, frequent micturition, abnormal bleeding during menses, rupture, renal stones and gravel, uterine tumours, urethral abscess, dropsy, hydraemia, urates in excess,strangury, apoplexy, nose bleed.</t>
  </si>
  <si>
    <t xml:space="preserve">Bladder, genital organs, rectum, nasal bones, bones near genital organs. </t>
  </si>
  <si>
    <t>Suppression of menses, poor bleeding and severe pain stricture, sterility, constipation, piles, painful and not bleeding, nasal catarrh, phlegm, sore throat, fracture, hip-bone.</t>
  </si>
  <si>
    <t>Jyeshta</t>
  </si>
  <si>
    <t xml:space="preserve">Colon, anus genital organs, ovaries, womb. </t>
  </si>
  <si>
    <t xml:space="preserve">Leucorrhoea, bleeding piles, fistula, tumour, distemper in secret parts, affliction of bowels, pains in arms and shoulders. </t>
  </si>
  <si>
    <t>Moolam</t>
  </si>
  <si>
    <t xml:space="preserve">Hips, thighs, femur, ilium, sciatic nerves. </t>
  </si>
  <si>
    <t>Locomotor ataxia, rheumatism, lumbago, hip diseases, pulmonary troubles</t>
  </si>
  <si>
    <t>Poorvashada</t>
  </si>
  <si>
    <t xml:space="preserve">Thighs, hips, the coccygeal and sacral regions of the spine, the iliac arteries and veins. </t>
  </si>
  <si>
    <t xml:space="preserve">Sciatica, diabetes, rheumatism. respiratory diseases, cancer in lungs, hip gout, surfeits, cold, moist, humour, putrefaction of blood. swellings above the knees. </t>
  </si>
  <si>
    <t>Uthrashada I Quarter</t>
  </si>
  <si>
    <t xml:space="preserve">Thighs, femur, arteries. </t>
  </si>
  <si>
    <t xml:space="preserve">Sciatica, Paralysis of limbs, pulmonary diseases, eyes affected. </t>
  </si>
  <si>
    <t>Uthrashada-2nd, 3rd and 4th padas</t>
  </si>
  <si>
    <t>Skin, knees, patella.</t>
  </si>
  <si>
    <t>Eczema, skin diseases. leprosy. crysipelas, digestive trouble, uneasiness due to gas in the stomach, dull pain, rheumatism, palpitation of hearts, cardiac thrombosis.</t>
  </si>
  <si>
    <t>Sravana</t>
  </si>
  <si>
    <t>Lymphatic vessels, knee, skin</t>
  </si>
  <si>
    <t>Filaria, eczema, skin diseases, leprosy, boils, pus formation, rheumatism, tuberculosis, pleurisy and poor digestion.</t>
  </si>
  <si>
    <t>Dhanishta First Half</t>
  </si>
  <si>
    <t>Knee-cap bones.</t>
  </si>
  <si>
    <t xml:space="preserve">Injury in the leg, Eosinophilia, dry cough, Hiccough, flying gout, lameness, amputation. </t>
  </si>
  <si>
    <t>Dhanishta Second Half</t>
  </si>
  <si>
    <t>Ankles, limbs, portion between knees and ankles.</t>
  </si>
  <si>
    <t>Fracture of the leg, Varicose Veins, blood poisoning, heart failure, Cardiac thrombosis, high blood pressure, overheated blood, palpitation, fainting.</t>
  </si>
  <si>
    <t>Sathabhisha</t>
  </si>
  <si>
    <t>Portion between knees and ankles, calf muscle.</t>
  </si>
  <si>
    <t>Rheumatism, rheumatic heart, eczema, leprosy, palpitation, high blood pressure, fracture, amputation, lame, guinea worm.</t>
  </si>
  <si>
    <t>Poorvapathrapada- 1,2,3 Quarters,</t>
  </si>
  <si>
    <t>Ankles.</t>
  </si>
  <si>
    <t>Apoplexy, irregularity of heart, dropsy, milk- leg, swollen ankles, palpitation, dilated heart, low blood pressure.</t>
  </si>
  <si>
    <t>Pourvapathrapada IV quarter</t>
  </si>
  <si>
    <t>Feet, Toes.</t>
  </si>
  <si>
    <t>Swelling, perspiring feet, enlarged liver, abdominal tumour, intestines affected, hernia, jaundice, sprue, corns.</t>
  </si>
  <si>
    <t>Uthrapathrapada</t>
  </si>
  <si>
    <t>Feet.</t>
  </si>
  <si>
    <t>Rheumatic pains drop foot, indigestion, Constipation, hernia, flatulence fracture in the foot, coldfoot, tuberculosis, dropsy.</t>
  </si>
  <si>
    <t xml:space="preserve">Revathi </t>
  </si>
  <si>
    <t>Feet and toes.</t>
  </si>
  <si>
    <t>Abdominal disorders, troubles, deformities of the feet, intestinal ulcers mostly due to drinks and drugs, gout in the feet, cramps. Nephritis, lassitude, deafness, pus in the ear.</t>
  </si>
  <si>
    <r>
      <rPr>
        <b/>
        <sz val="13.5"/>
        <rFont val="Times New Roman"/>
        <family val="1"/>
      </rPr>
      <t>KP TABLE FOR 1-249 HORARY NUMBERS</t>
    </r>
  </si>
  <si>
    <r>
      <rPr>
        <b/>
        <sz val="13.5"/>
        <rFont val="Times New Roman"/>
        <family val="1"/>
      </rPr>
      <t>Sign, Star And Sub Table</t>
    </r>
  </si>
  <si>
    <r>
      <rPr>
        <sz val="12"/>
        <rFont val="Times New Roman"/>
        <family val="1"/>
      </rPr>
      <t>No.</t>
    </r>
  </si>
  <si>
    <r>
      <rPr>
        <sz val="12"/>
        <rFont val="Times New Roman"/>
        <family val="1"/>
      </rPr>
      <t>Sign</t>
    </r>
  </si>
  <si>
    <r>
      <rPr>
        <sz val="12"/>
        <rFont val="Times New Roman"/>
        <family val="1"/>
      </rPr>
      <t>From (Deg/Min/Sec)</t>
    </r>
  </si>
  <si>
    <r>
      <rPr>
        <sz val="12"/>
        <rFont val="Times New Roman"/>
        <family val="1"/>
      </rPr>
      <t>To (Deg/Min/Sec)</t>
    </r>
  </si>
  <si>
    <r>
      <rPr>
        <sz val="12"/>
        <rFont val="Times New Roman"/>
        <family val="1"/>
      </rPr>
      <t>Sign Lord</t>
    </r>
  </si>
  <si>
    <r>
      <rPr>
        <sz val="12"/>
        <rFont val="Times New Roman"/>
        <family val="1"/>
      </rPr>
      <t>Star Lord</t>
    </r>
  </si>
  <si>
    <r>
      <rPr>
        <sz val="12"/>
        <rFont val="Times New Roman"/>
        <family val="1"/>
      </rPr>
      <t>Sub Lord</t>
    </r>
  </si>
  <si>
    <r>
      <rPr>
        <sz val="12"/>
        <rFont val="Times New Roman"/>
        <family val="1"/>
      </rPr>
      <t>Aries</t>
    </r>
  </si>
  <si>
    <r>
      <rPr>
        <sz val="12"/>
        <rFont val="Times New Roman"/>
        <family val="1"/>
      </rPr>
      <t>00°00′00″</t>
    </r>
  </si>
  <si>
    <r>
      <rPr>
        <sz val="12"/>
        <rFont val="Times New Roman"/>
        <family val="1"/>
      </rPr>
      <t>00°46′40″</t>
    </r>
  </si>
  <si>
    <r>
      <rPr>
        <sz val="12"/>
        <rFont val="Times New Roman"/>
        <family val="1"/>
      </rPr>
      <t>Mars</t>
    </r>
  </si>
  <si>
    <r>
      <rPr>
        <sz val="12"/>
        <rFont val="Times New Roman"/>
        <family val="1"/>
      </rPr>
      <t>Ketu</t>
    </r>
  </si>
  <si>
    <r>
      <rPr>
        <sz val="12"/>
        <rFont val="Times New Roman"/>
        <family val="1"/>
      </rPr>
      <t>03°00′00”</t>
    </r>
  </si>
  <si>
    <r>
      <rPr>
        <sz val="12"/>
        <rFont val="Times New Roman"/>
        <family val="1"/>
      </rPr>
      <t>Venus</t>
    </r>
  </si>
  <si>
    <r>
      <rPr>
        <sz val="12"/>
        <rFont val="Times New Roman"/>
        <family val="1"/>
      </rPr>
      <t>03°00′00″</t>
    </r>
  </si>
  <si>
    <r>
      <rPr>
        <sz val="12"/>
        <rFont val="Times New Roman"/>
        <family val="1"/>
      </rPr>
      <t>03°40′00”</t>
    </r>
  </si>
  <si>
    <r>
      <rPr>
        <sz val="12"/>
        <rFont val="Times New Roman"/>
        <family val="1"/>
      </rPr>
      <t>Sun</t>
    </r>
  </si>
  <si>
    <r>
      <rPr>
        <sz val="12"/>
        <rFont val="Times New Roman"/>
        <family val="1"/>
      </rPr>
      <t>03°40′00″</t>
    </r>
  </si>
  <si>
    <r>
      <rPr>
        <sz val="12"/>
        <rFont val="Times New Roman"/>
        <family val="1"/>
      </rPr>
      <t>04°46’40”</t>
    </r>
  </si>
  <si>
    <r>
      <rPr>
        <sz val="12"/>
        <rFont val="Times New Roman"/>
        <family val="1"/>
      </rPr>
      <t>Moon</t>
    </r>
  </si>
  <si>
    <r>
      <rPr>
        <sz val="12"/>
        <rFont val="Times New Roman"/>
        <family val="1"/>
      </rPr>
      <t>04°46′40″</t>
    </r>
  </si>
  <si>
    <r>
      <rPr>
        <sz val="12"/>
        <rFont val="Times New Roman"/>
        <family val="1"/>
      </rPr>
      <t>05°33’20”</t>
    </r>
  </si>
  <si>
    <r>
      <rPr>
        <sz val="12"/>
        <rFont val="Times New Roman"/>
        <family val="1"/>
      </rPr>
      <t>05°33′20″</t>
    </r>
  </si>
  <si>
    <r>
      <rPr>
        <sz val="12"/>
        <rFont val="Times New Roman"/>
        <family val="1"/>
      </rPr>
      <t>07°33’20”</t>
    </r>
  </si>
  <si>
    <r>
      <rPr>
        <sz val="12"/>
        <rFont val="Times New Roman"/>
        <family val="1"/>
      </rPr>
      <t>Rahu</t>
    </r>
  </si>
  <si>
    <r>
      <rPr>
        <sz val="12"/>
        <rFont val="Times New Roman"/>
        <family val="1"/>
      </rPr>
      <t>07°33′20″</t>
    </r>
  </si>
  <si>
    <r>
      <rPr>
        <sz val="12"/>
        <rFont val="Times New Roman"/>
        <family val="1"/>
      </rPr>
      <t>09°20’00”</t>
    </r>
  </si>
  <si>
    <r>
      <rPr>
        <sz val="12"/>
        <rFont val="Times New Roman"/>
        <family val="1"/>
      </rPr>
      <t>Jupiter</t>
    </r>
  </si>
  <si>
    <r>
      <rPr>
        <sz val="12"/>
        <rFont val="Times New Roman"/>
        <family val="1"/>
      </rPr>
      <t>09°20′00″</t>
    </r>
  </si>
  <si>
    <r>
      <rPr>
        <sz val="12"/>
        <rFont val="Times New Roman"/>
        <family val="1"/>
      </rPr>
      <t>11°26’40”</t>
    </r>
  </si>
  <si>
    <r>
      <rPr>
        <sz val="12"/>
        <rFont val="Times New Roman"/>
        <family val="1"/>
      </rPr>
      <t>Saturn</t>
    </r>
  </si>
  <si>
    <r>
      <rPr>
        <sz val="12"/>
        <rFont val="Times New Roman"/>
        <family val="1"/>
      </rPr>
      <t>11°26′40″</t>
    </r>
  </si>
  <si>
    <r>
      <rPr>
        <sz val="12"/>
        <rFont val="Times New Roman"/>
        <family val="1"/>
      </rPr>
      <t>13°20’00”</t>
    </r>
  </si>
  <si>
    <r>
      <rPr>
        <sz val="12"/>
        <rFont val="Times New Roman"/>
        <family val="1"/>
      </rPr>
      <t>Mercury</t>
    </r>
  </si>
  <si>
    <r>
      <rPr>
        <sz val="12"/>
        <rFont val="Times New Roman"/>
        <family val="1"/>
      </rPr>
      <t>13°20′00″</t>
    </r>
  </si>
  <si>
    <r>
      <rPr>
        <sz val="12"/>
        <rFont val="Times New Roman"/>
        <family val="1"/>
      </rPr>
      <t>15°33′20”</t>
    </r>
  </si>
  <si>
    <r>
      <rPr>
        <sz val="12"/>
        <rFont val="Times New Roman"/>
        <family val="1"/>
      </rPr>
      <t>15°33′20″</t>
    </r>
  </si>
  <si>
    <r>
      <rPr>
        <sz val="12"/>
        <rFont val="Times New Roman"/>
        <family val="1"/>
      </rPr>
      <t>16°13′20”</t>
    </r>
  </si>
  <si>
    <r>
      <rPr>
        <sz val="12"/>
        <rFont val="Times New Roman"/>
        <family val="1"/>
      </rPr>
      <t>16°13’20”</t>
    </r>
  </si>
  <si>
    <r>
      <rPr>
        <sz val="12"/>
        <rFont val="Times New Roman"/>
        <family val="1"/>
      </rPr>
      <t>17°20’00”</t>
    </r>
  </si>
  <si>
    <r>
      <rPr>
        <sz val="12"/>
        <rFont val="Times New Roman"/>
        <family val="1"/>
      </rPr>
      <t>18°06’40”</t>
    </r>
  </si>
  <si>
    <r>
      <rPr>
        <sz val="12"/>
        <rFont val="Times New Roman"/>
        <family val="1"/>
      </rPr>
      <t>20°06’40”</t>
    </r>
  </si>
  <si>
    <r>
      <rPr>
        <sz val="12"/>
        <rFont val="Times New Roman"/>
        <family val="1"/>
      </rPr>
      <t>21°53’20”</t>
    </r>
  </si>
  <si>
    <r>
      <rPr>
        <sz val="12"/>
        <rFont val="Times New Roman"/>
        <family val="1"/>
      </rPr>
      <t>24°00’00”</t>
    </r>
  </si>
  <si>
    <r>
      <rPr>
        <sz val="12"/>
        <rFont val="Times New Roman"/>
        <family val="1"/>
      </rPr>
      <t>25°53’20”</t>
    </r>
  </si>
  <si>
    <r>
      <rPr>
        <sz val="12"/>
        <rFont val="Times New Roman"/>
        <family val="1"/>
      </rPr>
      <t>26°40’00”</t>
    </r>
  </si>
  <si>
    <r>
      <rPr>
        <sz val="12"/>
        <rFont val="Times New Roman"/>
        <family val="1"/>
      </rPr>
      <t>26°40′00”</t>
    </r>
  </si>
  <si>
    <r>
      <rPr>
        <sz val="12"/>
        <rFont val="Times New Roman"/>
        <family val="1"/>
      </rPr>
      <t>27°20′00”</t>
    </r>
  </si>
  <si>
    <r>
      <rPr>
        <sz val="12"/>
        <rFont val="Times New Roman"/>
        <family val="1"/>
      </rPr>
      <t>27°20’00”</t>
    </r>
  </si>
  <si>
    <r>
      <rPr>
        <sz val="12"/>
        <rFont val="Times New Roman"/>
        <family val="1"/>
      </rPr>
      <t>28°26’40”</t>
    </r>
  </si>
  <si>
    <r>
      <rPr>
        <sz val="12"/>
        <rFont val="Times New Roman"/>
        <family val="1"/>
      </rPr>
      <t>29°13’20”</t>
    </r>
  </si>
  <si>
    <r>
      <rPr>
        <sz val="12"/>
        <rFont val="Times New Roman"/>
        <family val="1"/>
      </rPr>
      <t>30°00’00”</t>
    </r>
  </si>
  <si>
    <r>
      <rPr>
        <sz val="12"/>
        <rFont val="Times New Roman"/>
        <family val="1"/>
      </rPr>
      <t>Taurus</t>
    </r>
  </si>
  <si>
    <r>
      <rPr>
        <sz val="12"/>
        <rFont val="Times New Roman"/>
        <family val="1"/>
      </rPr>
      <t>00°00’00”</t>
    </r>
  </si>
  <si>
    <r>
      <rPr>
        <sz val="12"/>
        <rFont val="Times New Roman"/>
        <family val="1"/>
      </rPr>
      <t>01°13’20”</t>
    </r>
  </si>
  <si>
    <r>
      <rPr>
        <sz val="12"/>
        <rFont val="Times New Roman"/>
        <family val="1"/>
      </rPr>
      <t>03°00’00’</t>
    </r>
  </si>
  <si>
    <r>
      <rPr>
        <sz val="12"/>
        <rFont val="Times New Roman"/>
        <family val="1"/>
      </rPr>
      <t>03°00’00”</t>
    </r>
  </si>
  <si>
    <r>
      <rPr>
        <sz val="12"/>
        <rFont val="Times New Roman"/>
        <family val="1"/>
      </rPr>
      <t>05°06’40”</t>
    </r>
  </si>
  <si>
    <r>
      <rPr>
        <sz val="12"/>
        <rFont val="Times New Roman"/>
        <family val="1"/>
      </rPr>
      <t>07°00’00”</t>
    </r>
  </si>
  <si>
    <r>
      <rPr>
        <sz val="12"/>
        <rFont val="Times New Roman"/>
        <family val="1"/>
      </rPr>
      <t>07°46’40”</t>
    </r>
  </si>
  <si>
    <r>
      <rPr>
        <sz val="12"/>
        <rFont val="Times New Roman"/>
        <family val="1"/>
      </rPr>
      <t>07:46’40”</t>
    </r>
  </si>
  <si>
    <r>
      <rPr>
        <sz val="12"/>
        <rFont val="Times New Roman"/>
        <family val="1"/>
      </rPr>
      <t>10°00’00”</t>
    </r>
  </si>
  <si>
    <r>
      <rPr>
        <sz val="12"/>
        <rFont val="Times New Roman"/>
        <family val="1"/>
      </rPr>
      <t>10°00′00”</t>
    </r>
  </si>
  <si>
    <r>
      <rPr>
        <sz val="12"/>
        <rFont val="Times New Roman"/>
        <family val="1"/>
      </rPr>
      <t>11°06′40”</t>
    </r>
  </si>
  <si>
    <r>
      <rPr>
        <sz val="12"/>
        <rFont val="Times New Roman"/>
        <family val="1"/>
      </rPr>
      <t>11°06’40”</t>
    </r>
  </si>
  <si>
    <r>
      <rPr>
        <sz val="12"/>
        <rFont val="Times New Roman"/>
        <family val="1"/>
      </rPr>
      <t>11°53’20”</t>
    </r>
  </si>
  <si>
    <r>
      <rPr>
        <sz val="12"/>
        <rFont val="Times New Roman"/>
        <family val="1"/>
      </rPr>
      <t>13°53’20”</t>
    </r>
  </si>
  <si>
    <r>
      <rPr>
        <sz val="12"/>
        <rFont val="Times New Roman"/>
        <family val="1"/>
      </rPr>
      <t>15°40’00”</t>
    </r>
  </si>
  <si>
    <r>
      <rPr>
        <sz val="12"/>
        <rFont val="Times New Roman"/>
        <family val="1"/>
      </rPr>
      <t>17°46’40”</t>
    </r>
  </si>
  <si>
    <r>
      <rPr>
        <sz val="12"/>
        <rFont val="Times New Roman"/>
        <family val="1"/>
      </rPr>
      <t>19°40’00”</t>
    </r>
  </si>
  <si>
    <r>
      <rPr>
        <sz val="12"/>
        <rFont val="Times New Roman"/>
        <family val="1"/>
      </rPr>
      <t>20°26’40”</t>
    </r>
  </si>
  <si>
    <r>
      <rPr>
        <sz val="12"/>
        <rFont val="Times New Roman"/>
        <family val="1"/>
      </rPr>
      <t>22°40’00”</t>
    </r>
  </si>
  <si>
    <r>
      <rPr>
        <sz val="12"/>
        <rFont val="Times New Roman"/>
        <family val="1"/>
      </rPr>
      <t>23°20’00”</t>
    </r>
  </si>
  <si>
    <r>
      <rPr>
        <sz val="12"/>
        <rFont val="Times New Roman"/>
        <family val="1"/>
      </rPr>
      <t>24°06:40”</t>
    </r>
  </si>
  <si>
    <r>
      <rPr>
        <sz val="12"/>
        <rFont val="Times New Roman"/>
        <family val="1"/>
      </rPr>
      <t>24°06’40”</t>
    </r>
  </si>
  <si>
    <r>
      <rPr>
        <sz val="12"/>
        <rFont val="Times New Roman"/>
        <family val="1"/>
      </rPr>
      <t>26°06’40”</t>
    </r>
  </si>
  <si>
    <r>
      <rPr>
        <sz val="12"/>
        <rFont val="Times New Roman"/>
        <family val="1"/>
      </rPr>
      <t>27°53’20”</t>
    </r>
  </si>
  <si>
    <r>
      <rPr>
        <sz val="12"/>
        <rFont val="Times New Roman"/>
        <family val="1"/>
      </rPr>
      <t>Gemini</t>
    </r>
  </si>
  <si>
    <r>
      <rPr>
        <sz val="12"/>
        <rFont val="Times New Roman"/>
        <family val="1"/>
      </rPr>
      <t>01°53’20”</t>
    </r>
  </si>
  <si>
    <r>
      <rPr>
        <sz val="12"/>
        <rFont val="Times New Roman"/>
        <family val="1"/>
      </rPr>
      <t>02°40’00”</t>
    </r>
  </si>
  <si>
    <r>
      <rPr>
        <sz val="12"/>
        <rFont val="Times New Roman"/>
        <family val="1"/>
      </rPr>
      <t>04°53’20”</t>
    </r>
  </si>
  <si>
    <r>
      <rPr>
        <sz val="12"/>
        <rFont val="Times New Roman"/>
        <family val="1"/>
      </rPr>
      <t>06°40’00”</t>
    </r>
  </si>
  <si>
    <r>
      <rPr>
        <sz val="12"/>
        <rFont val="Times New Roman"/>
        <family val="1"/>
      </rPr>
      <t>08°40’00”</t>
    </r>
  </si>
  <si>
    <r>
      <rPr>
        <sz val="12"/>
        <rFont val="Times New Roman"/>
        <family val="1"/>
      </rPr>
      <t>10°26’40”</t>
    </r>
  </si>
  <si>
    <r>
      <rPr>
        <sz val="12"/>
        <rFont val="Times New Roman"/>
        <family val="1"/>
      </rPr>
      <t>12°33’20”</t>
    </r>
  </si>
  <si>
    <r>
      <rPr>
        <sz val="12"/>
        <rFont val="Times New Roman"/>
        <family val="1"/>
      </rPr>
      <t>12°33’20</t>
    </r>
  </si>
  <si>
    <r>
      <rPr>
        <sz val="12"/>
        <rFont val="Times New Roman"/>
        <family val="1"/>
      </rPr>
      <t>14°26’40”</t>
    </r>
  </si>
  <si>
    <r>
      <rPr>
        <sz val="12"/>
        <rFont val="Times New Roman"/>
        <family val="1"/>
      </rPr>
      <t>15°13’20”</t>
    </r>
  </si>
  <si>
    <r>
      <rPr>
        <sz val="12"/>
        <rFont val="Times New Roman"/>
        <family val="1"/>
      </rPr>
      <t>17°26’40”</t>
    </r>
  </si>
  <si>
    <r>
      <rPr>
        <sz val="12"/>
        <rFont val="Times New Roman"/>
        <family val="1"/>
      </rPr>
      <t>19°13’20”</t>
    </r>
  </si>
  <si>
    <r>
      <rPr>
        <sz val="12"/>
        <rFont val="Times New Roman"/>
        <family val="1"/>
      </rPr>
      <t>20°00’00”</t>
    </r>
  </si>
  <si>
    <r>
      <rPr>
        <sz val="12"/>
        <rFont val="Times New Roman"/>
        <family val="1"/>
      </rPr>
      <t>21°46’40”</t>
    </r>
  </si>
  <si>
    <r>
      <rPr>
        <sz val="12"/>
        <rFont val="Times New Roman"/>
        <family val="1"/>
      </rPr>
      <t>23°53’20”</t>
    </r>
  </si>
  <si>
    <r>
      <rPr>
        <sz val="12"/>
        <rFont val="Times New Roman"/>
        <family val="1"/>
      </rPr>
      <t>25°46’40”</t>
    </r>
  </si>
  <si>
    <r>
      <rPr>
        <sz val="12"/>
        <rFont val="Times New Roman"/>
        <family val="1"/>
      </rPr>
      <t>26°33’20”</t>
    </r>
  </si>
  <si>
    <r>
      <rPr>
        <sz val="12"/>
        <rFont val="Times New Roman"/>
        <family val="1"/>
      </rPr>
      <t>28°46’40”</t>
    </r>
  </si>
  <si>
    <r>
      <rPr>
        <sz val="12"/>
        <rFont val="Times New Roman"/>
        <family val="1"/>
      </rPr>
      <t>29°26’40”</t>
    </r>
  </si>
  <si>
    <r>
      <rPr>
        <sz val="12"/>
        <rFont val="Times New Roman"/>
        <family val="1"/>
      </rPr>
      <t>Cancer</t>
    </r>
  </si>
  <si>
    <r>
      <rPr>
        <sz val="12"/>
        <rFont val="Times New Roman"/>
        <family val="1"/>
      </rPr>
      <t>00°33’20”</t>
    </r>
  </si>
  <si>
    <r>
      <rPr>
        <sz val="12"/>
        <rFont val="Times New Roman"/>
        <family val="1"/>
      </rPr>
      <t>01°20’00”</t>
    </r>
  </si>
  <si>
    <r>
      <rPr>
        <sz val="12"/>
        <rFont val="Times New Roman"/>
        <family val="1"/>
      </rPr>
      <t>03°20’00”</t>
    </r>
  </si>
  <si>
    <r>
      <rPr>
        <sz val="12"/>
        <rFont val="Times New Roman"/>
        <family val="1"/>
      </rPr>
      <t>05°26’40”</t>
    </r>
  </si>
  <si>
    <r>
      <rPr>
        <sz val="12"/>
        <rFont val="Times New Roman"/>
        <family val="1"/>
      </rPr>
      <t>07°20’00”</t>
    </r>
  </si>
  <si>
    <r>
      <rPr>
        <sz val="12"/>
        <rFont val="Times New Roman"/>
        <family val="1"/>
      </rPr>
      <t>08°06’40”</t>
    </r>
  </si>
  <si>
    <r>
      <rPr>
        <sz val="12"/>
        <rFont val="Times New Roman"/>
        <family val="1"/>
      </rPr>
      <t>10°20’00”</t>
    </r>
  </si>
  <si>
    <r>
      <rPr>
        <sz val="12"/>
        <rFont val="Times New Roman"/>
        <family val="1"/>
      </rPr>
      <t>11°00’00’</t>
    </r>
  </si>
  <si>
    <r>
      <rPr>
        <sz val="12"/>
        <rFont val="Times New Roman"/>
        <family val="1"/>
      </rPr>
      <t>12°06’40’</t>
    </r>
  </si>
  <si>
    <r>
      <rPr>
        <sz val="12"/>
        <rFont val="Times New Roman"/>
        <family val="1"/>
      </rPr>
      <t>12°53’20”</t>
    </r>
  </si>
  <si>
    <r>
      <rPr>
        <sz val="12"/>
        <rFont val="Times New Roman"/>
        <family val="1"/>
      </rPr>
      <t>14°53’20”</t>
    </r>
  </si>
  <si>
    <r>
      <rPr>
        <sz val="12"/>
        <rFont val="Times New Roman"/>
        <family val="1"/>
      </rPr>
      <t>16°40’00”</t>
    </r>
  </si>
  <si>
    <r>
      <rPr>
        <sz val="12"/>
        <rFont val="Times New Roman"/>
        <family val="1"/>
      </rPr>
      <t>18°33’21”</t>
    </r>
  </si>
  <si>
    <r>
      <rPr>
        <sz val="12"/>
        <rFont val="Times New Roman"/>
        <family val="1"/>
      </rPr>
      <t>19°20’00”</t>
    </r>
  </si>
  <si>
    <r>
      <rPr>
        <sz val="12"/>
        <rFont val="Times New Roman"/>
        <family val="1"/>
      </rPr>
      <t>21°33’20”</t>
    </r>
  </si>
  <si>
    <r>
      <rPr>
        <sz val="12"/>
        <rFont val="Times New Roman"/>
        <family val="1"/>
      </rPr>
      <t>22°13’20”</t>
    </r>
  </si>
  <si>
    <r>
      <rPr>
        <sz val="12"/>
        <rFont val="Times New Roman"/>
        <family val="1"/>
      </rPr>
      <t>23°20’00</t>
    </r>
  </si>
  <si>
    <r>
      <rPr>
        <sz val="12"/>
        <rFont val="Times New Roman"/>
        <family val="1"/>
      </rPr>
      <t>Leo</t>
    </r>
  </si>
  <si>
    <r>
      <rPr>
        <sz val="12"/>
        <rFont val="Times New Roman"/>
        <family val="1"/>
      </rPr>
      <t>00°46’40”</t>
    </r>
  </si>
  <si>
    <r>
      <rPr>
        <sz val="12"/>
        <rFont val="Times New Roman"/>
        <family val="1"/>
      </rPr>
      <t>03°40’00”</t>
    </r>
  </si>
  <si>
    <r>
      <rPr>
        <sz val="12"/>
        <rFont val="Times New Roman"/>
        <family val="1"/>
      </rPr>
      <t>04°46’40’</t>
    </r>
  </si>
  <si>
    <r>
      <rPr>
        <sz val="12"/>
        <rFont val="Times New Roman"/>
        <family val="1"/>
      </rPr>
      <t>15°33’20”</t>
    </r>
  </si>
  <si>
    <r>
      <rPr>
        <sz val="12"/>
        <rFont val="Times New Roman"/>
        <family val="1"/>
      </rPr>
      <t>Virgo</t>
    </r>
  </si>
  <si>
    <r>
      <rPr>
        <sz val="12"/>
        <rFont val="Times New Roman"/>
        <family val="1"/>
      </rPr>
      <t>Libra</t>
    </r>
  </si>
  <si>
    <r>
      <rPr>
        <sz val="12"/>
        <rFont val="Times New Roman"/>
        <family val="1"/>
      </rPr>
      <t>08°40’00’</t>
    </r>
  </si>
  <si>
    <r>
      <rPr>
        <sz val="12"/>
        <rFont val="Times New Roman"/>
        <family val="1"/>
      </rPr>
      <t>Scorpio</t>
    </r>
  </si>
  <si>
    <r>
      <rPr>
        <sz val="12"/>
        <rFont val="Times New Roman"/>
        <family val="1"/>
      </rPr>
      <t>11°00’00”</t>
    </r>
  </si>
  <si>
    <r>
      <rPr>
        <sz val="12"/>
        <rFont val="Times New Roman"/>
        <family val="1"/>
      </rPr>
      <t>12°06’40”</t>
    </r>
  </si>
  <si>
    <r>
      <rPr>
        <sz val="12"/>
        <rFont val="Times New Roman"/>
        <family val="1"/>
      </rPr>
      <t>18°33’20”</t>
    </r>
  </si>
  <si>
    <r>
      <rPr>
        <sz val="12"/>
        <rFont val="Times New Roman"/>
        <family val="1"/>
      </rPr>
      <t>Sagittarius</t>
    </r>
  </si>
  <si>
    <r>
      <rPr>
        <sz val="12"/>
        <rFont val="Times New Roman"/>
        <family val="1"/>
      </rPr>
      <t>00°46’40</t>
    </r>
  </si>
  <si>
    <r>
      <rPr>
        <sz val="12"/>
        <rFont val="Times New Roman"/>
        <family val="1"/>
      </rPr>
      <t>05°53’20”</t>
    </r>
  </si>
  <si>
    <r>
      <rPr>
        <sz val="12"/>
        <rFont val="Times New Roman"/>
        <family val="1"/>
      </rPr>
      <t>28°26’40</t>
    </r>
  </si>
  <si>
    <r>
      <rPr>
        <sz val="12"/>
        <rFont val="Times New Roman"/>
        <family val="1"/>
      </rPr>
      <t>Capricorn</t>
    </r>
  </si>
  <si>
    <r>
      <rPr>
        <sz val="12"/>
        <rFont val="Times New Roman"/>
        <family val="1"/>
      </rPr>
      <t>17°46’40</t>
    </r>
  </si>
  <si>
    <r>
      <rPr>
        <sz val="12"/>
        <rFont val="Times New Roman"/>
        <family val="1"/>
      </rPr>
      <t>20°46’40”</t>
    </r>
  </si>
  <si>
    <r>
      <rPr>
        <sz val="12"/>
        <rFont val="Times New Roman"/>
        <family val="1"/>
      </rPr>
      <t>Aquarius</t>
    </r>
  </si>
  <si>
    <r>
      <rPr>
        <sz val="12"/>
        <rFont val="Times New Roman"/>
        <family val="1"/>
      </rPr>
      <t>06°40’20”</t>
    </r>
  </si>
  <si>
    <r>
      <rPr>
        <sz val="12"/>
        <rFont val="Times New Roman"/>
        <family val="1"/>
      </rPr>
      <t>Pisces</t>
    </r>
  </si>
  <si>
    <r>
      <rPr>
        <sz val="12"/>
        <rFont val="Times New Roman"/>
        <family val="1"/>
      </rPr>
      <t>27°53’20</t>
    </r>
  </si>
  <si>
    <t>Dec 13, 2023 Cap 08°29’</t>
  </si>
  <si>
    <t>Jan 2, 2024 Sag 22°10’</t>
  </si>
  <si>
    <t>19d</t>
  </si>
  <si>
    <t>Apr 1, 2024 Ari 27°13’</t>
  </si>
  <si>
    <t>Apr 25, 2024 Ari 15°58’</t>
  </si>
  <si>
    <t>23d</t>
  </si>
  <si>
    <t>Aug 5, 2024 Vir 04°06’</t>
  </si>
  <si>
    <t>Aug 28, 2024 Leo 21°24’</t>
  </si>
  <si>
    <t>Nov 26, 2024 Sag 22°40’</t>
  </si>
  <si>
    <t>Dec 15, 2024 Sag 06°23’</t>
  </si>
  <si>
    <t>No Retrograde for Venus in 2024</t>
  </si>
  <si>
    <t>Dec 6, 2024 Leo 06°10’</t>
  </si>
  <si>
    <t>Feb 24, 2025 Can 17°00’</t>
  </si>
  <si>
    <t>79d</t>
  </si>
  <si>
    <t>Oct 9, 2024 Gem 21°20’</t>
  </si>
  <si>
    <t>Feb 4, 2025 Gem 11°16’</t>
  </si>
  <si>
    <t>118d</t>
  </si>
  <si>
    <t>Jun 29, 2024 Pis 19°25’</t>
  </si>
  <si>
    <t>Nov 15, 2024 Pis 12°41’</t>
  </si>
  <si>
    <t>138d</t>
  </si>
  <si>
    <t>Retrograde Begins</t>
  </si>
  <si>
    <t>Retrograde Ends</t>
  </si>
  <si>
    <t>No. of Days</t>
  </si>
  <si>
    <t>Month </t>
  </si>
  <si>
    <t>Date </t>
  </si>
  <si>
    <t>Transit</t>
  </si>
  <si>
    <t>JANUARY </t>
  </si>
  <si>
    <t>JANUARY 15, 2024</t>
  </si>
  <si>
    <t>Sun transit in Capricorn 2024</t>
  </si>
  <si>
    <t>FEBRUARY </t>
  </si>
  <si>
    <t>FEBRUARY 13, 2024</t>
  </si>
  <si>
    <t>Sun transit in Aquarius 2024</t>
  </si>
  <si>
    <t>MARCH </t>
  </si>
  <si>
    <t>MARCH 14, 2024</t>
  </si>
  <si>
    <t>Sun transit in Pisces 2024</t>
  </si>
  <si>
    <t>APRIL </t>
  </si>
  <si>
    <t>Sun transit in Aries 2024</t>
  </si>
  <si>
    <t>MAY </t>
  </si>
  <si>
    <t>MAY 14, 2024</t>
  </si>
  <si>
    <t>Sun transit in Taurus 2024</t>
  </si>
  <si>
    <t>JUNE </t>
  </si>
  <si>
    <t>JUNE 15, 2024</t>
  </si>
  <si>
    <t>Sun transit in Gemini 2024</t>
  </si>
  <si>
    <t>JULY </t>
  </si>
  <si>
    <t>JULY 16, 2024</t>
  </si>
  <si>
    <t>Sun Transit in Cancer 2024</t>
  </si>
  <si>
    <t>AUGUST </t>
  </si>
  <si>
    <t>AUGUST 16, 2024</t>
  </si>
  <si>
    <t>Sun transit in Leo 2024</t>
  </si>
  <si>
    <t>SEPTEMBER </t>
  </si>
  <si>
    <t>SEPTEMBER 16, 2024</t>
  </si>
  <si>
    <t>Sun transit in Virgo 2024</t>
  </si>
  <si>
    <t>OCTOBER </t>
  </si>
  <si>
    <t>OCTOBER 17, 2024</t>
  </si>
  <si>
    <t>Sun transit in Libra 2024</t>
  </si>
  <si>
    <t>NOVEMBER </t>
  </si>
  <si>
    <t>NOVEMBER 16, 2024</t>
  </si>
  <si>
    <t>Sun transit in Scorpio 2024</t>
  </si>
  <si>
    <t>DECEMBER </t>
  </si>
  <si>
    <t>DECEMBER 16, 2024</t>
  </si>
  <si>
    <t>Sun transit in Sagittarius 2024</t>
  </si>
  <si>
    <t>Violent</t>
  </si>
  <si>
    <t>Bestial</t>
  </si>
  <si>
    <t>Masculine</t>
  </si>
  <si>
    <t>Head</t>
  </si>
  <si>
    <t>Throat &amp; Neck</t>
  </si>
  <si>
    <t>Human</t>
  </si>
  <si>
    <t>Dual</t>
  </si>
  <si>
    <t>Lungs</t>
  </si>
  <si>
    <t>Fruitful</t>
  </si>
  <si>
    <t>Mute</t>
  </si>
  <si>
    <t>Chest &amp; Stomach</t>
  </si>
  <si>
    <t>Ankle</t>
  </si>
  <si>
    <t>Feet</t>
  </si>
  <si>
    <t>Title</t>
  </si>
  <si>
    <t>Prediction Template</t>
  </si>
  <si>
    <t>Rule Book Master Table</t>
  </si>
  <si>
    <t>Rule Book Ready Reckoner</t>
  </si>
  <si>
    <t>Higher Education Streams</t>
  </si>
  <si>
    <t>Time of Event Calculation Template</t>
  </si>
  <si>
    <t>2024 Sun Transit Calendar in Zodiacs</t>
  </si>
  <si>
    <t>Malefic and Benefic Planets Template</t>
  </si>
  <si>
    <t>Aspects Table</t>
  </si>
  <si>
    <t>ABCD Significance Calculation Template</t>
  </si>
  <si>
    <t>249 Sub Divisions Horary Numbers</t>
  </si>
  <si>
    <t>249 Diseases List</t>
  </si>
  <si>
    <t>249 Mindsets List</t>
  </si>
  <si>
    <t>249 Professions List</t>
  </si>
  <si>
    <t>Fortuna Rule Book</t>
  </si>
  <si>
    <t>Fortuna Calculation Method</t>
  </si>
  <si>
    <t>Houses Meaning Table</t>
  </si>
  <si>
    <t>Planet Position Signification Table</t>
  </si>
  <si>
    <t>Star-wise Diseases List</t>
  </si>
  <si>
    <t>2024 Retrograde Calendar</t>
  </si>
  <si>
    <t>Full Life Events Prediction</t>
  </si>
  <si>
    <t>1, 2, 3, 6, 10, 11 and not related with Maraka and Badhaka</t>
  </si>
  <si>
    <t>1 Death Longevity Age Calculation Template, Weak Lagna, Strong Lagna</t>
  </si>
  <si>
    <t xml:space="preserve">2 Wealth, Speech </t>
  </si>
  <si>
    <t>3 Memory, mindsets, siblings, competitive exams, writing, communications, blindness, short travel, lottery, merchant/agent</t>
  </si>
  <si>
    <t>4 Mother, schooling, property, car</t>
  </si>
  <si>
    <t>5 Child, sports, music, cinema, gambling, stock market, cure, romance, addiction</t>
  </si>
  <si>
    <t>6 sickness, job, employees and subordinates, cash income</t>
  </si>
  <si>
    <t>7 spouse, business, customers, open enemies</t>
  </si>
  <si>
    <t>8 mode of death, unearned income, difficulties, accidents</t>
  </si>
  <si>
    <t>9 college, occult science, guru, teaching, long distance travel, export import, publishing, invention, religion, spiritual</t>
  </si>
  <si>
    <t xml:space="preserve">11 fulfillment, friends, success </t>
  </si>
  <si>
    <t>12 hidden enemies, investment, foreign, sanyasi, court and prison</t>
  </si>
  <si>
    <t>Study Malefic and Benefic Planets. Mark down Malefic and Benefic Periods</t>
  </si>
  <si>
    <t>Full Life Events Prediction Process</t>
  </si>
  <si>
    <t>From Birth</t>
  </si>
  <si>
    <t>List ABCD Signification of Each Planet</t>
  </si>
  <si>
    <t>D = Houses owned by Planet, C = Houses owned by Star Lord, B = Deposition of Planet, A= Deposition of Star Lord</t>
  </si>
  <si>
    <t>Use Malefic Benefic Template</t>
  </si>
  <si>
    <t>Punarpoo Dosha Rule</t>
  </si>
  <si>
    <t>4) Saturn and Moon are opposing each other (180 degrees + or – 3.20 degrees)</t>
  </si>
  <si>
    <t>4) Sun is opposing Moon or Saturn (180 degrees + or – 6.40 degrees)</t>
  </si>
  <si>
    <t>5) Saturn in Sun star or sub</t>
  </si>
  <si>
    <t>6) Moon in Sun star or sub</t>
  </si>
  <si>
    <t>7) Sun is in a star, lord of which is near either Moon or Saturn</t>
  </si>
  <si>
    <t>8) Any planet near the Moon or Saturn, but is posited in the star of Sun</t>
  </si>
  <si>
    <t>Punarpoo Dosha if any one of the conditions is satisfied:</t>
  </si>
  <si>
    <t>Punarpoo Dosha gets canceled if any one of the conditions is satisfied:</t>
  </si>
  <si>
    <t>A person with Punarpoo Dosha may marry only after 33 years of age. 7th CSL must promise marriage.</t>
  </si>
  <si>
    <t>04 April 1973 8:59:05 am Hyderabad. Marriage in 2001</t>
  </si>
  <si>
    <t>9) Sun is conjunct with a planet and Moon or Saturn posited in the star or sub of the conjunct planet (need validation). Is 60 degree aspect from Sun and Saturn causing cancelation? Or Is Saturn in the sign of Venus conjunct with Sun canceling?</t>
  </si>
  <si>
    <t>Store Keeper - Writer - Finance Broker - Statistician - Exporter - Software</t>
  </si>
  <si>
    <t>Spy - Service in CID &amp; CBI Departments - Finger prints - Investigation - Diagnostics - Cyber Security</t>
  </si>
  <si>
    <t>Star/Quarter</t>
  </si>
  <si>
    <t>Star-wise Profession</t>
  </si>
  <si>
    <t>Acquisition of lands, buildings or possession of patrimony, bold punter, dauntless speculator, military, police, industry medical, surgical, navy (Moon in this position or a planet in this star and Moon sub). Defense department, travels, manufacturing chemicals, bombs, crackers, explosives, match boxes, iron and steel utensils, war material, Brahmins and particularly those performing daily Agnihotra, reciters of sacred hymns, white flowers, grammarians, barbers, miners, priests, astrologers, potters and those who know the sacrificial rules.</t>
  </si>
  <si>
    <t>Krittika 1Q</t>
  </si>
  <si>
    <t>Krittika 2-3-4Q</t>
  </si>
  <si>
    <t xml:space="preserve">Benefit through Government, Victory over enemies, acquires costly jewels and dress, contacts with foreigners, (credit card dues) money collection agents, event managers, music, dance, drama, opera, poet, artist, drawing master, draftsman, sculpture, silk, photography, international trade, installation of parks, decoration, industry, medical department, engineer, tax collector, wool dealer, export of hair, assessment, venereal expert. </t>
  </si>
  <si>
    <t>Caters to the need of the public, hotels, restaurants, lodging -houses, bakeries, boarding houses with comforts and conveniences, bar attached, dealers in houses, lands, fruits, automobile, petrol, oils, milk, dairy farm, ice cream, glass, plastic, scents, perfumeries, soap, sandalwood oil, paints, water, colour, dyes, liquids, acids,  marriage broker, dress and pearls dealer, navy, shipping, clearing agent, judge, politician, tannery, yarn merchant, sugar, sugarcane, sugar- coated tablets, etc. King, wealthy person, observers of vows, merchandises, cartman, cows, bulls, aquatic animals. agriculturists, yogins, mountains and men in authority.</t>
  </si>
  <si>
    <t>Mrigashīrsha 1-2Q</t>
  </si>
  <si>
    <t>Estate owners, land, building, instrumental music, exhibition, display, eversilver, platinum, tailor, dressmaker, mobile structurals, fertilizer, automobile, engineering, income tax and sales tax department, skins and hides, tobacco, snuff, confectionary, marriage, mandapam owners, veterinary doctors, animal husbandry lethal chamber, cartman, rickshaw pullers, taxi drivers, fruit sellers like apple, banana, etc., gains through business, textiles, cinema industry, sound engineer, photography, diamonds, rubies, corals, jewellery, vaseline, snow, face powder, sandal powder, tooth paste, brush, etc.</t>
  </si>
  <si>
    <t>Dealing in machineries, tools instruments, electrical goods, surgical instruments, telephones, telegraph, cables, wires, engineers, surgeons, soldiers, mathematicians, ambassadors, astronomers, building contractors, highways, bridge or dam site constructors, textile, engineers, tape recorder, gramophone, radio dealers, press, publication, computers, calculators, salesman, representatives, agents, brokers, jobbers, thieves, etc. (Aquatic products, fragrant things, flowers, fruits, garments, gems, birds, beasts, foresters, drinkers of Soma juice, letter-bearers, lovers and musicians).</t>
  </si>
  <si>
    <t>Mrigashīrsha 3-4Q</t>
  </si>
  <si>
    <t xml:space="preserve">Salesman, book-seller, stock keeper, Post &amp; Telegraphs Department. Communication, Transport, atomic energy, aerial, radio, advertising, publicity, writer, author, research department, explorer, dealing in drugs, beverages, canned goods, hand-writing expert, fingerprint expert, public appointments, finance broker. Any how this zone of 13°-20' is barren. This area is good for statistics, physics, dynamics, gravitation. </t>
  </si>
  <si>
    <t xml:space="preserve">Success in journalism, editing, publishing, correcting, inspecting, story-writing, advertising, publicity, religion, law, literature, poetry, insurance agency, finance broker, accountants, auditors, civil judge, civil engineer, mayor, councilor, school master, preceptor, interpreter, secretary, registrar, messenger, Tamil pandit, astrologer, mathematician, clerk, postman, clothier, woolen merchant, provision dealer. </t>
  </si>
  <si>
    <t>Punarvasu 1-2-3Q</t>
  </si>
  <si>
    <t>Uttara Phalgunī  1Q</t>
  </si>
  <si>
    <t>Uttara Phalgunī  2-3-4Q</t>
  </si>
  <si>
    <t>Chitra 1-2Q</t>
  </si>
  <si>
    <t>Chitra 3-4Q</t>
  </si>
  <si>
    <t>Vishakha 1-2-3Q</t>
  </si>
  <si>
    <t>Vishakha 4Q</t>
  </si>
  <si>
    <t>Uttara Ashadha 1Q</t>
  </si>
  <si>
    <t>Uttara Ashadha 2-3-4Q</t>
  </si>
  <si>
    <t>Dhanishta 1-2Q</t>
  </si>
  <si>
    <t>Dhanishta 3-4Q</t>
  </si>
  <si>
    <t>Purva Bhadrapada 1Q</t>
  </si>
  <si>
    <t>Purva Bhadrapada 2-3-4Q</t>
  </si>
  <si>
    <t xml:space="preserve">Banker, physician, religious head, temples, economics, statistics, advocate, judge, professor, principal, merchant, sailor, traveller, manager of public conveyance, dealers in fluids, salesman, nurse, midwife, water supplier, female officials. </t>
  </si>
  <si>
    <t>Punarvasu 4Q</t>
  </si>
  <si>
    <t xml:space="preserve">Deals in mine products, kerosene, petrol, petroleum products, coal, lands, produce, wells, excavations, canals, trenches, deals in agricultural lands, holds position of trust, plumber, sexton, jailer, grave-digger, engineer digging wells, tanks, etc., and constructing bridges, dams, tunnels, those who work at night and underground, dealers in oils, working in submarine. </t>
  </si>
  <si>
    <t>Salesman, agent, representative, business, commerce, international trade, clerk correspondent, author, writer, manufacturer of ink, paints, accounts, auditing, teacher, interpreter, ambassador, water supply engineer, textile engineer, dealer in yarn, paper, pen, ink, travelling agent, guide, hostess, astrologer, mathematician, water diviner, midwife, nurse, bulbs, roots, fruits, reptile, poison, worms, counterfeits, robbers, husk grain, and all classes of physicians.</t>
  </si>
  <si>
    <t>Amalgamating a few companies, astronomer, astrologer, communication department, education department, handwriting experts, governor, tourist department, engineering, press, lecturer, correspondent, publication, public relation officer, megaphone, loudspeaker, manufacturer, telephone, mine engineering, State Trading, Corporation, contractors, agents industry, chemical engineering, physician, public health department, hospitals, Registrar of Newspaper, Registrar of birth and death, ambassadors, postal department.</t>
  </si>
  <si>
    <t>Government service, Transport, Radio, Music, renovation of ancient paintings, preservation of monuments, museums, sports, mobile, automobile, disinfectant for crops, cinema theatre, studio, film section, photography, animal husbandry, slaughter house, lethal chamber, veterinary surgeon, leather, skin, hides, hotels, canteens, revenue department, house building, maternity surgeon, venereal expert, educationist, Vice Chancellor, service in women's colleges or jails, optician, glass dealers, cigarette  manufacturers.</t>
  </si>
  <si>
    <t xml:space="preserve">Any service under Government, medical, defense, shipping, navy. industry, commerce, stock exchange-share business, maternity home, heart specialist. </t>
  </si>
  <si>
    <t>Salesman, commerce, overseas, communication, mail order business, shipping, clearing agent, textiles, yarn engineer, bridges, dam sites, canals, tunnels, ink, press, ink manufacturer, advocate, sanitary engineer, export, import, artist, painter, politician, ambassador, embassy, messenger.</t>
  </si>
  <si>
    <t>Mechanical Engineer, Press, Publication, Building contractor or broker Supplier to jail, criminal lawyer, tax department, Sales Tax, Income-tax, revenue, nor, finance department, factory, industry, electricity, mine, tunnel, trenches, finger print  expert, Police of Law and order and traffic, defense department, military accounts, cost accountant. Persons skilled in the art of ornamenting, painting, jewelry, singing, writing, perfumery, as well as mathematicians, weavers, physicians.</t>
  </si>
  <si>
    <t xml:space="preserve">Lawyer, Surgeon, scientist, philosopher, religious, endowment, board,  business, Military, Defence Department, Industry, Partnership in business, building contractor, litho press, artistic advertisement, decorators, scents, perfumeries powder, marriage broker, registrar of marriages, sports materials, music, telescope, microscope, radio, television, tape recorder dealers, lady doctor, surgeons, tailors, cigarette and snuff merchants, petroleum products, automobile, spare parts dress, jewels. </t>
  </si>
  <si>
    <t xml:space="preserve">All imitations, mobile, automobile, transport, tourist, music, opera, drama, art, paint, decoration, exhibition, tube light, fan, Frigidaire, hot water equipment, hot air blower, X-ray instrument manufacturer, female enmity, scientists, service in clinics, judge, poet, toilet set manufacturer, confectionery, bakery, women's apparel, fancy goods, perfumeries, readymade dress, maid servant, plastic, mica, ground glass, scents, pasteurized milk, leather goods, Nadaswaram, cooks, builders, silk-mercers, embroiderers, gloves, bonnets. </t>
  </si>
  <si>
    <t xml:space="preserve">Business with partners, travelling agent, tourist officer, shipping, air travel, dealings with foreigners, pawnbroker, banker's speculator, race-goer, works in building construction, fruit gardens, Tax and revenue departments, foreign trade, floats big companies, judge, auditor, professor, principal, physician, manufacturers, coloured papers , cinema publicity, advertisement through slides, actor, costly dress, lace, jewels, perfumeries, minting, etc.  (Green-gram, sesame, black gram, Bengal Gram, tree with red blossoms and fruits, cotton and men devoted to Indra or Agni). </t>
  </si>
  <si>
    <t>Bank, judge, Criminal Lawyer, Insurance Company, chemical and drug manufacturer, land, estate owner, agriculturist, share market operations, more by jobbing  than by investing, racing, cards, betting, dice, customs, industrial units, harbour, port Trust, defence department, Defence Minister, Village Munsif, Ayurveda medicine.</t>
  </si>
  <si>
    <t xml:space="preserve">Mines engineer, criminal lawyer, medicine, surgeon, instrumental music, industries, mechanical engineer, lead type foundry, actor, Homeopathy, brothel, leather trade, skins and hides, woollen articles, water diviner, kerosene merchant of oil engine, oil crusher, amputation surgeon, Dentist, service in jail, judge, watchman undertaker, plumber, laborious work, arduous nature, coal, mine ores dealers, linseed, groundnut, mustard, cottonseed. </t>
  </si>
  <si>
    <t xml:space="preserve">Chemical Engineer, press publication, ink, typewriter, textile mill, machinery, industry, dam site, canals, thermal station, power house. impounded reservoir, music instrument, jalatharangam, Insurance agent, Surgeon, surgical instrument, tonics, serums manufacturer. Military, Navy accounts, advertisement, publicity, boilers, pumpsets, sessions judge, gallows, jails, postmortem, calculators, telegraph sets, cable and wire manufacturer, boatman representatives. </t>
  </si>
  <si>
    <t>Religious endowment, advocate, judge, teacher, purohit, puranas, ambassador. Congressman, literate, cabinet official, physician, Ayurveda, social worker, counsellor, provision dealers, horse-racing, gain through big ventures, international trade, assembly speaker, exchange, imports, Medicines, Physician, Deacon of Corporations, very rich man, persons dealing in flowers, roots and fruits, seeds, and those that feed on fruits and roots.</t>
  </si>
  <si>
    <t xml:space="preserve">Judge, advocate, banker, cashier, accountant, director, revenue and finance department, food, sugar, silk, cotton, rubber, railways road, building, air travel. Goddess temple, social studies, welfare officer, animal husbandry, garden, nursery, transport, music, film show, foreign trade, foreign exchange, stock exchange, restaurants, hostels, business partner, Ayurveda medicine, physician, women and children hospital, health centre. </t>
  </si>
  <si>
    <t>Arbitrator, judge, politician,- bank, finance department, shipping, education, religion, international trade, Embassy, Export promotion, Free Trade Physician, Ayurveda medicine, Port Trust, Customs, Jail Department, Refugee Camp, Hospitals, Charitable Institutions.</t>
  </si>
  <si>
    <t>Position of trust, estate, mine, coal. Income-tax Officer attending to wealth duty, estate duty, scientific research, finance department, curtailing expenses, control department, archaeology, monuments, antiquities, wool, Homeopathy, jail, Engineer, ancient languages, skins, hides.</t>
  </si>
  <si>
    <t xml:space="preserve">Mine, Mine products, liquids, oils, kerosene, petrol, coal, wetlands, wells, trenches, excavation, tunnels, fisherman, minister, king, agriculturist, plumber, mine engineer, ice cream, Frigidaire, air-cooler, those who serve at night at work underground, driver, pearls, submarine. </t>
  </si>
  <si>
    <t>Mine and ground engineer, death duty, estate duty, insurance, philosopher, Homeopathy, Ayurvedic, Jail department, gallows, murderer, slaughter, house, surgeon dealing with fractures, amputation labourer, labour department, welfare department, refugee camp, rehabilitation, industry, tools, spare parts, etc, distilleries, zinc, cement, metallurgy, lead, quarry, jute, barley, potato.</t>
  </si>
  <si>
    <t>Agriculture, tea, coal, steel plants explorer, mine lead, ferruginous. control and ration office, reclamation of waste lands, Retrenchment office, mine engineer leather, skin, hides, postmortem, slaughter house, police, military, communication, press, foundry, rehabilitation of sufferers from floods, earthquake and war or riots and revolts, monuments, archaeology, building contractor, television, telegram, telephone, electricity, atomic energy, all research stations, silk.</t>
  </si>
  <si>
    <t>Scientist, occult subjects, gravitation, dynamics, electricity, atomic theory, air travel, astronomer, astrologer, amputator, stretcher-carrier, renovation of the ancient science, history, Ration office, census, censor, statistics, stock exchange. Technician, jail department, translation and transliterations of old manuscripts, laboratories, factories, Tanneries, counterfeit.</t>
  </si>
  <si>
    <t>Teacher-Dynamics, Statistics, Astronomy, Astrology, medicine, aeroplane, municipality, Corporation, public united concerns, stock exchange, share broker, air travel, research worker, Planning Commission, International trade, overseas bank, Foreign exchange, education, finance, revenue department, insurance, temple, trustee, executive officer, mint currency, mining, corruption department, intelligence department. (C.I.D.)</t>
  </si>
  <si>
    <t>Politician, Professor, Minister, Councilor, President, Legal Education, Religious and Finance department, Judge, Criminal Lawyer, arbitrator, Trustee, Visitor of jails, Hospitals, Famine and refugee camps, Planning Commission, decontrol, Tourist explorer, Physician and Surgeon, Bank, Foreign exchange, Prisoners of war, Risky investments, Associations, Public companies.</t>
  </si>
  <si>
    <t>Home department, Prisons, Asylum, Sanatorium, Isolated hospitals, Prisoner of war, civil jail, political jail, mines, excavator, Engineer, Export, Import, Harbour, Storekeeper, inheritance, traditional business, gains through societies, clubs companies, public appointment, hospitals, religious and charitable institutions, submarine, shipping, foundries, legal, Insurance, intelligence department, C.I.D., education, Tourist home, manufacturer of raincoats, umbrella, sponger boats, life boats etc., oils, fisheries, breweries, river and canal constructor, tunnel construction, trench excavators.</t>
  </si>
  <si>
    <t>Publisher, editor, religious, legal, civil engineering departments, share broker, advertisement, publicity, propaganda, communication, lawyer, judge, professor, politician, ambassador, representative, telephone, typewriter, radio, tape recorder, currency notes, International trade, messengers, embassy, accountant, auditor, trustee, Governor, University, employment exchange, newspapers, clerk, shipping, import, export, excise, customs, harbour, Port Trust, Religious Head-Purohits-Preachers, Industry, Fingerprint expert, successful diplomats, astrologer, mathematician, broker, agent, representative, bank, etc.</t>
  </si>
  <si>
    <t>Star-wise Professions List</t>
  </si>
  <si>
    <t>Accountant in Banks - Advertising - Agent - Auctioneer - Books - Calendars - Salesman - Stationery - Journalist - Correspondent - Good Astrologer - Administrative Department in Engineering - Treasury - Literature -Commerce - Software</t>
  </si>
  <si>
    <t>1) Sun is in Saturn Star or Sub</t>
  </si>
  <si>
    <t>2) Sun is in Moon Star or Sub</t>
  </si>
  <si>
    <t>Needs further Validation</t>
  </si>
  <si>
    <t>1) Saturn in Moon Star or Sub</t>
  </si>
  <si>
    <t>2) Moon in Saturn Star or Sub</t>
  </si>
  <si>
    <t>*Free Online KP Astrology Software*</t>
  </si>
  <si>
    <t>Tested by me once and Found ok. Not done thorough testing:</t>
  </si>
  <si>
    <t>KP Nox - One of our students recommend this. I tested it once with LOKPA and found the sublords to be matching. I haven't done detailed research on it. Free web version is limited 5 charts. Free windows edition is limited to birth charts.</t>
  </si>
  <si>
    <t>KP Astrology by RVA Astrology. FREE online, web-based.</t>
  </si>
  <si>
    <t>Jyotishya Deepika Pro 2022 Rel 2.0. Paid Version only. Trial for 7 uses.</t>
  </si>
  <si>
    <t>*Tested by me and Not found to be accurate:*</t>
  </si>
  <si>
    <t>Another KP Natal and Horary Software by AstroSage</t>
  </si>
  <si>
    <t>Works with Nokia, Windows Mobile, iPhone and any other GPRS/ 3G/ WAP2 mobile phone</t>
  </si>
  <si>
    <t>*Not Tested by me:*</t>
  </si>
  <si>
    <t>KP Natal and Horary Software by AstroSage</t>
  </si>
  <si>
    <t>For creating horary charts and time charts</t>
  </si>
  <si>
    <t>Comprehensive latitude/ longitude database (city database)</t>
  </si>
  <si>
    <t>Online KP astrology software</t>
  </si>
  <si>
    <t>Primay vedic astrology software for windows, but can be used with KP with some customization.</t>
  </si>
  <si>
    <t>Astrology Jyotish</t>
  </si>
  <si>
    <t>The KP Astrology Softwares I Use</t>
  </si>
  <si>
    <t>LOKPA. Found it to be easy and convenient to use.</t>
  </si>
  <si>
    <t>Recommended by Prof. KSK Hariharan, son of Prof. K.S. Krishnamurti, founder of KP Astrology. Accurate but not convenient for me to use. Needs a key disk to run it.</t>
  </si>
  <si>
    <t>Be Blessed by the Divine!</t>
  </si>
  <si>
    <t>Krish Murali Eswar.</t>
  </si>
  <si>
    <t xml:space="preserve">https://www.kpnox.com/index.html </t>
  </si>
  <si>
    <t xml:space="preserve">https://www.rahasyavedicastrology.com/kp-astrology-software/ </t>
  </si>
  <si>
    <t xml:space="preserve">https://www.jyotishyadeepika.com/  </t>
  </si>
  <si>
    <t xml:space="preserve">www.AstroSage.com </t>
  </si>
  <si>
    <t xml:space="preserve">http://astrosage.com/m </t>
  </si>
  <si>
    <t xml:space="preserve">https://www.MyKundali.com </t>
  </si>
  <si>
    <t xml:space="preserve">http://www.GPShorary.com </t>
  </si>
  <si>
    <t xml:space="preserve">http://www.astro.com </t>
  </si>
  <si>
    <t xml:space="preserve">http://www.astraura.org </t>
  </si>
  <si>
    <t xml:space="preserve">http://www.vedicastrologer.org/jh </t>
  </si>
  <si>
    <t xml:space="preserve">http://kpstarone.com/ </t>
  </si>
  <si>
    <t xml:space="preserve">https://play.google.com/store/apps/details?id=com.vishdroid.jyotisha&amp;hl=en_CA&amp;gl=US&amp;pli=1 JyotishApp </t>
  </si>
  <si>
    <t xml:space="preserve">https://bestkpastrologysoftware.com/  </t>
  </si>
  <si>
    <t xml:space="preserve">http://kpastrologys.net/services/ </t>
  </si>
  <si>
    <t>The world's most accurate KP astrology software is under development. We will announce a public beta test soon. No ETA yet.</t>
  </si>
  <si>
    <t>Software List KP Astrology</t>
  </si>
  <si>
    <t>Priority 1</t>
  </si>
  <si>
    <t>Priority 2</t>
  </si>
  <si>
    <t>Priority 3</t>
  </si>
  <si>
    <t>Priority 4</t>
  </si>
  <si>
    <t>Gains through the children</t>
  </si>
  <si>
    <t>Counted from Aries 0.0</t>
  </si>
  <si>
    <t>Run Schools and Institutes</t>
  </si>
  <si>
    <t>Rule</t>
  </si>
  <si>
    <t>2, 5, 8, 10, 12</t>
  </si>
  <si>
    <t>3, 6, 9, 11</t>
  </si>
  <si>
    <t>Failure in competitive exam</t>
  </si>
  <si>
    <t>Success in competitiveexam</t>
  </si>
  <si>
    <t>House Sub Lord (Cuspal Sub Lord)</t>
  </si>
  <si>
    <t>Connecting Houses through Star Lord of House Sub Lord</t>
  </si>
  <si>
    <t>Promise of event</t>
  </si>
  <si>
    <t>Good immunity and health promised</t>
  </si>
  <si>
    <t>Short Journey</t>
  </si>
  <si>
    <t>Attached to Younger Brothers</t>
  </si>
  <si>
    <t>Start repaying loan on any of the following days:
1) Moon in Aswini star + Lagna in Aries
2) Moon in Anuradha star + Lagna in Scorpio
3) (Chathurthi or Chathurdasi) + (Tuesday or Saturday or Sunday)</t>
  </si>
  <si>
    <t>Never borrow or lend money on Eclipse days as it poses danger to the borrower and the lender</t>
  </si>
  <si>
    <t>To avoid danger due to loans</t>
  </si>
  <si>
    <t>Banks</t>
  </si>
  <si>
    <t>Information Technology</t>
  </si>
  <si>
    <t>Miscellaneous</t>
  </si>
  <si>
    <t>Auto</t>
  </si>
  <si>
    <t>Pharmaceuticals and healthcare</t>
  </si>
  <si>
    <t>Personal Care</t>
  </si>
  <si>
    <t>Petroleum</t>
  </si>
  <si>
    <t>Power</t>
  </si>
  <si>
    <t>Engineering</t>
  </si>
  <si>
    <t>Tobacco</t>
  </si>
  <si>
    <t>Cement</t>
  </si>
  <si>
    <t>Mining</t>
  </si>
  <si>
    <t>Service</t>
  </si>
  <si>
    <t>Auto Ancillaries</t>
  </si>
  <si>
    <t>Chemicals</t>
  </si>
  <si>
    <t>Construction</t>
  </si>
  <si>
    <t>Iron and Steel</t>
  </si>
  <si>
    <t>Food Processing</t>
  </si>
  <si>
    <t>Telecommunications</t>
  </si>
  <si>
    <t>Paints and Pigments</t>
  </si>
  <si>
    <t>Metals - Non Ferrous</t>
  </si>
  <si>
    <t>Retail</t>
  </si>
  <si>
    <t>Consumer Durables</t>
  </si>
  <si>
    <t>Textiles</t>
  </si>
  <si>
    <t>Electric Equipment</t>
  </si>
  <si>
    <t>Petrochemicals</t>
  </si>
  <si>
    <t>Transport</t>
  </si>
  <si>
    <t>Beverages - Alcoholic</t>
  </si>
  <si>
    <t>Infrastructure</t>
  </si>
  <si>
    <t>Tyres</t>
  </si>
  <si>
    <t>Hospitality</t>
  </si>
  <si>
    <t>Plastics</t>
  </si>
  <si>
    <t>Fertilisers</t>
  </si>
  <si>
    <t>Paper</t>
  </si>
  <si>
    <t>Tea / Coffee</t>
  </si>
  <si>
    <t>Electronics</t>
  </si>
  <si>
    <t>Gems and Jewellery</t>
  </si>
  <si>
    <t>Cables</t>
  </si>
  <si>
    <t>Shipping</t>
  </si>
  <si>
    <t>Leather</t>
  </si>
  <si>
    <t>Beverages - Non-Alcoholic</t>
  </si>
  <si>
    <t>Packaging</t>
  </si>
  <si>
    <t>Sugar</t>
  </si>
  <si>
    <t>Glass</t>
  </si>
  <si>
    <t>Edible Fat</t>
  </si>
  <si>
    <t>Rubber</t>
  </si>
  <si>
    <t>Equipments</t>
  </si>
  <si>
    <t>Automobiles</t>
  </si>
  <si>
    <t>NIFTY Sectors</t>
  </si>
  <si>
    <t>Agriculture / Horticulture / Lives</t>
  </si>
  <si>
    <t>Makes money through pleasure, sports, music or musical instruments art advertisement, show display, exhibition, silver utensils, eversilver, silk, mobile, automobile, fertilizer, industry, railway, factory, wrestler, cinema theatre, studio, mansion for marriage, animal husbandry, veterinary doctor, slaughter house, tea or coffee estates, caterers, hotels, restaurants, criminal lawyer, judge, leather manufacturer, skins and hides, building contractors, engineer, those who assess and pass orders, revenue department, surgeon, maternity, venereal expert, optician, agriculturist.</t>
  </si>
  <si>
    <t>Planet Direction</t>
  </si>
  <si>
    <t>East</t>
  </si>
  <si>
    <t>North West</t>
  </si>
  <si>
    <t>South</t>
  </si>
  <si>
    <t>South East</t>
  </si>
  <si>
    <t>South West</t>
  </si>
  <si>
    <t>West</t>
  </si>
  <si>
    <t>North</t>
  </si>
  <si>
    <t>North East</t>
  </si>
  <si>
    <t>Relationships</t>
  </si>
  <si>
    <t>Self</t>
  </si>
  <si>
    <t>Family, Extended family, Distant Relatives</t>
  </si>
  <si>
    <t>Younger siblings</t>
  </si>
  <si>
    <t>Mother</t>
  </si>
  <si>
    <t>Servant, Employee</t>
  </si>
  <si>
    <t>Doctor</t>
  </si>
  <si>
    <t>Foreigner, Hidden Unknown Enemies</t>
  </si>
  <si>
    <t>Spouse, Partner, Open Known Enemies, Boss, Customer</t>
  </si>
  <si>
    <t>Steps</t>
  </si>
  <si>
    <t>Draw a horary chart. Take a horary number from a blood relative or from a person who is affected by the matter</t>
  </si>
  <si>
    <t>Rotate the horary chart to the missing person (Check Relationship Rule book tab for the correct house to rotate)</t>
  </si>
  <si>
    <t>Note down Lagna sublord</t>
  </si>
  <si>
    <t>Stars</t>
  </si>
  <si>
    <t>Total</t>
  </si>
  <si>
    <t>Sun Star</t>
  </si>
  <si>
    <t>Jupiter Star</t>
  </si>
  <si>
    <t>Missing Person &amp; Objects Astrology</t>
  </si>
  <si>
    <t>FIRE</t>
  </si>
  <si>
    <t>LAND</t>
  </si>
  <si>
    <t>AIR</t>
  </si>
  <si>
    <t>WATER</t>
  </si>
  <si>
    <t>Zodiacs</t>
  </si>
  <si>
    <t>Sagitarius</t>
  </si>
  <si>
    <t>Aquraius</t>
  </si>
  <si>
    <t>Missing Object/Person related house:
 Check its CSL in Sign as per FLAW mentioned above</t>
  </si>
  <si>
    <t>Results</t>
  </si>
  <si>
    <t>Fire sign</t>
  </si>
  <si>
    <t>Alive/ Injured/ Damaged</t>
  </si>
  <si>
    <t>Land Sign</t>
  </si>
  <si>
    <t>Safe</t>
  </si>
  <si>
    <t>Air Sign</t>
  </si>
  <si>
    <t>Safe and far away</t>
  </si>
  <si>
    <t xml:space="preserve">Water sign </t>
  </si>
  <si>
    <t>Dead</t>
  </si>
  <si>
    <t>List of Cusp for Missing Items</t>
  </si>
  <si>
    <t>House -CSL</t>
  </si>
  <si>
    <t>Items</t>
  </si>
  <si>
    <t>1st CSL</t>
  </si>
  <si>
    <t>2nd CSL</t>
  </si>
  <si>
    <t>3rd CSL</t>
  </si>
  <si>
    <t>4th CSL</t>
  </si>
  <si>
    <t>5th CSL</t>
  </si>
  <si>
    <t>6th CSL</t>
  </si>
  <si>
    <t>7th CSL</t>
  </si>
  <si>
    <t>8th CSL</t>
  </si>
  <si>
    <t>Underground objects, will and insurance document</t>
  </si>
  <si>
    <t>9th CSL</t>
  </si>
  <si>
    <t>10th CSL</t>
  </si>
  <si>
    <t>11th CSL</t>
  </si>
  <si>
    <t>12th CSL</t>
  </si>
  <si>
    <t>Government related items, Awards and Medals</t>
  </si>
  <si>
    <t xml:space="preserve">Cash, credit card, Bank passbook, ATM Card, weapons, pet animals, medicine, health records </t>
  </si>
  <si>
    <t>Sports goods, Perfume, Dress, Beauty products, Cosmetics</t>
  </si>
  <si>
    <t>Vehicles of all sorts, Furniture, Decorative items of home, Novels, books, House hold items, House related items, Land related items</t>
  </si>
  <si>
    <t>Favourite items</t>
  </si>
  <si>
    <t>Idols, all temples related items or puja items</t>
  </si>
  <si>
    <t>Chappels and shoes, dead body, hospital items</t>
  </si>
  <si>
    <t>All theft related</t>
  </si>
  <si>
    <t>Documents, Letters, Electronic Goods, Computers, Mobile, Pen, Gift items</t>
  </si>
  <si>
    <t>Nature of Zodiac Signs</t>
  </si>
  <si>
    <t>Law, Business, politics, Sports, Government, Social, Finance, Land, Automobile, HR, Hospitality</t>
  </si>
  <si>
    <t xml:space="preserve">Dancer - Artist - Bakery Worker </t>
  </si>
  <si>
    <t>Guru, Teacher, Father</t>
  </si>
  <si>
    <t>Note down the Zodiac sign in which Lagna sublord is deposited</t>
  </si>
  <si>
    <t>Fire sign (Aries, Leo, Sagittarius) = Injured, 
Land sign (Taurus, Virgo, Capricorn) = safe, 
Air sign (Gemini, Libra, Aquarius) = Safe but far away, 
Water sign (Cancer, Scorpio, Pisces) = Dead</t>
  </si>
  <si>
    <t>If Alive, check star lord of Lagna sublord and decide accordingly 
(1 = 2, 4, 11 safe return 1 = 3, 8, 9, 10, 12 never return)</t>
  </si>
  <si>
    <t>Materials of extrinsic Value, Jwellery, Gold biscuit, Gold coin, Crystals,  Precious stones, Material Goods, Spectacles, Dental set, Clothes, Grains, All type of keys, Documents of extrinsic value</t>
  </si>
  <si>
    <t>Helmet, Cap, Hair comb, Hair accessories, all head related items, Identity Card</t>
  </si>
  <si>
    <t xml:space="preserve">Astrologer - Religious Teacher - Scientist - Historian - Translation Department - Atomic Science </t>
  </si>
  <si>
    <t xml:space="preserve">Paediatrics, Women's Health, Music, Investment, Stock Trading, Resort Management, Recreation, Administration, Advisory </t>
  </si>
  <si>
    <t>3) Saturn and Moon are conjunct (within 3.20 degree orb) in the same house in the same Zodiac</t>
  </si>
  <si>
    <t>3) Sun is conjunct with Moon or Saturn (within 6.40 degrees orb) in the same house &amp; star &amp; Zodiac</t>
  </si>
  <si>
    <t>Criminal Lawyer - Racing - Betting - Industrial labour - Ayurveda Medicine</t>
  </si>
  <si>
    <t>2024 Fortuna Calendar</t>
  </si>
  <si>
    <t>Bengaluru, India</t>
  </si>
  <si>
    <t>2024-Jan-10 7:32 pm to 2024-Jan-11 5:30 pm Purvashada in Sagittarius</t>
  </si>
  <si>
    <t>2024-Feb-09 11:22 pm to 2024-Feb-10 8:25 pm Dhanishta in Capricorn/Aquarius</t>
  </si>
  <si>
    <t>2024-Mar-10 4:48 am to 2024-Mar-11 2:18 am Purvabadhrapada in Aquarius/Pisces</t>
  </si>
  <si>
    <t>2024-Apr-08 10:05 am to 2024-Apr-09 7:23 am Revathi in Pisces</t>
  </si>
  <si>
    <t>2024-May-07 3:25 pm to 2024-May-08 1:24 pm Bharani in Aries</t>
  </si>
  <si>
    <t>2024-Jun-05 9:08 pm to 2024-Jun-06 8:07 pm Rohini in Taurus</t>
  </si>
  <si>
    <t>2024-Jul-05 3:45 am to 2024-Jul-05 9:24 pm Ardra in Gemini</t>
  </si>
  <si>
    <t>2024-Aug-04 1:16 pm to 2024-Aug-05 3:10 pm Ashlesha in Cancer</t>
  </si>
  <si>
    <t>2024-Sep-03 00:10 am (midnight) to 2024-Sep-04 2:59 am Purvaphalguni in Leo</t>
  </si>
  <si>
    <t>2024-Oct-02 12:12 pm (noon) to 2024-Oct-03 3:21 pm Hastha in Virgo</t>
  </si>
  <si>
    <t>2024-Nov-01 00:35 am (midnight) to 2024-Nov-02 3:20 am in Swati in Libra</t>
  </si>
  <si>
    <t>2024-Nov-30 12:25 pm to 2024-Dec-01 2:13 pm Anuradha in Scorpio</t>
  </si>
  <si>
    <t>2024-Dec-30 11:48 pm to 2024-Dec-31 11:54 pm Purvashada in Sagittarius</t>
  </si>
  <si>
    <t>5-Star Fortuna Calendar Dates for 2024</t>
  </si>
  <si>
    <t>Benefic Planets forming good aspect with Fortuna will provide very good results are expected. If they form bad aspects, Unfavourable results will follow.</t>
  </si>
  <si>
    <t>Malefic Planets forming good aspect with the Fortuna will indicate unfavorable results. If malefic planets form bad aspects to Fortuna, good results are indicated.</t>
  </si>
  <si>
    <t>Lagna: 169°45' (Virgo 19°45')</t>
  </si>
  <si>
    <t>Moon: 148° 21' (Leo 28°21')</t>
  </si>
  <si>
    <t>Sun: 167° 38' (Virgo 17°38')</t>
  </si>
  <si>
    <t>318° 06' - 167° 38' = 150° 28' (Virgo 0°28')</t>
  </si>
  <si>
    <t>0° 28' Virgo is the point of Fortuna.
As the Lagna is Virgo at 19°45' the Fortuna falls in 12th Bhava.</t>
  </si>
  <si>
    <t>Well-built - Commanding appearance - Ambitious - Confident - Enthusiastic - gets disappointed - Earn by fair means - False prestige - donates much</t>
  </si>
  <si>
    <t xml:space="preserve">Eczema - Cancer in leg - High blood-pressure - Psoriasis </t>
  </si>
  <si>
    <t>Planet to Planet Natural Relationship</t>
  </si>
  <si>
    <t>Friendly</t>
  </si>
  <si>
    <t>Neutral</t>
  </si>
  <si>
    <t>Enemy</t>
  </si>
  <si>
    <t>Under research - Ignore</t>
  </si>
  <si>
    <t>Vimshottari Subdivision Calculation</t>
  </si>
  <si>
    <t>Mahadasa</t>
  </si>
  <si>
    <t>Stock Exchange - War materials - Military - Police - High command - Successful Surgeon - Stamps and Registration with Government</t>
  </si>
  <si>
    <t>*Planet to House Conjunction Rule*</t>
  </si>
  <si>
    <t>*Planet to Planet Conjunction Rule*</t>
  </si>
  <si>
    <t>*Planet to Planet Opposition Rule*</t>
  </si>
  <si>
    <t>1. A planet that comes within the Orb boundary of a nearby planet in the same Zodiac will modify the result of the nearby planet</t>
  </si>
  <si>
    <t>2. A planet in two different zodiacs will never be conjunct</t>
  </si>
  <si>
    <t>3. A conjunct planet will first give the result of its star lord and then it will give its own signification</t>
  </si>
  <si>
    <t>1. A planet opposes another planet if it is within the orb of 180°</t>
  </si>
  <si>
    <t>2. Rahu and Ketu will always oppose each other</t>
  </si>
  <si>
    <t>3. If a planet is conjunct with Rahu or Ketu it will automatically oppose Ketu or Rahu</t>
  </si>
  <si>
    <t>1. A planet that comes within the Orb boundary of the next house in the same Zodiac will give the result of the next house</t>
  </si>
  <si>
    <t>2. A planet that crosses the main door of the house will give the result of the house</t>
  </si>
  <si>
    <t>3. A planet in the vacant zodiac will give the result of the house in the previous zodiac</t>
  </si>
  <si>
    <t>4. A planet can never give the result of the house in the next zodiac even if it comes within the orb.</t>
  </si>
  <si>
    <t>*Orb Rule for Conjunction*</t>
  </si>
  <si>
    <t>Moo, Mar, Rah, Jup, Ven, Sat, Ket, Mer</t>
  </si>
  <si>
    <t>30°</t>
  </si>
  <si>
    <t>60°</t>
  </si>
  <si>
    <t>120°</t>
  </si>
  <si>
    <t>0°</t>
  </si>
  <si>
    <t>90°</t>
  </si>
  <si>
    <t>180°</t>
  </si>
  <si>
    <t>3° 20'</t>
  </si>
  <si>
    <t>6° 40'</t>
  </si>
  <si>
    <t>MEENA - PISCES - Jupiter</t>
  </si>
  <si>
    <t>MESHAM - ARIES - Mars</t>
  </si>
  <si>
    <t>VRISHABAM - TAURUS - Venus</t>
  </si>
  <si>
    <t>MITHUNA - GEMINI - Mercury</t>
  </si>
  <si>
    <t xml:space="preserve">Feminine </t>
  </si>
  <si>
    <t>Semi Fruitful</t>
  </si>
  <si>
    <t>Water</t>
  </si>
  <si>
    <t>Fire</t>
  </si>
  <si>
    <t>Land</t>
  </si>
  <si>
    <t>Air</t>
  </si>
  <si>
    <t>REVATHI</t>
  </si>
  <si>
    <t>16°40 - 30°00</t>
  </si>
  <si>
    <t xml:space="preserve">ASHWINI </t>
  </si>
  <si>
    <t>00°00 - 13°20</t>
  </si>
  <si>
    <t>KETU</t>
  </si>
  <si>
    <t>KRITIKA</t>
  </si>
  <si>
    <t>00°00 - 10°00</t>
  </si>
  <si>
    <t>MARIGASHIRA</t>
  </si>
  <si>
    <t>00°00-06°40</t>
  </si>
  <si>
    <t>UTHARABADRAPADHA</t>
  </si>
  <si>
    <t>03°20 - 16°40</t>
  </si>
  <si>
    <t>BHARANI</t>
  </si>
  <si>
    <t>13°20 - 26°40</t>
  </si>
  <si>
    <t>ROHINI</t>
  </si>
  <si>
    <t>10°00 - 23°20</t>
  </si>
  <si>
    <t>ARDRA</t>
  </si>
  <si>
    <t>06°40-20°00</t>
  </si>
  <si>
    <t>RAHU</t>
  </si>
  <si>
    <t>PURVABADRAPADHA</t>
  </si>
  <si>
    <t>00°00 - 03°20</t>
  </si>
  <si>
    <t>26°40 - 30°00</t>
  </si>
  <si>
    <t>23°20 - 30°00</t>
  </si>
  <si>
    <t>PUNARVASU</t>
  </si>
  <si>
    <t>20°00-30°00</t>
  </si>
  <si>
    <t>KUMBHA - AQUARIUS - Saturn</t>
  </si>
  <si>
    <t>20°00 - 30°00</t>
  </si>
  <si>
    <t>SHATHABISHA</t>
  </si>
  <si>
    <t>06°40 - 20°00</t>
  </si>
  <si>
    <t>PUSHYA</t>
  </si>
  <si>
    <t>DHANISHTA</t>
  </si>
  <si>
    <t>00°00 - 06°40</t>
  </si>
  <si>
    <t>ASHLESHA</t>
  </si>
  <si>
    <t>MAKARA - CAPRICORN - Saturn</t>
  </si>
  <si>
    <t>SIHMHA - LEO - Sun</t>
  </si>
  <si>
    <t>Knees</t>
  </si>
  <si>
    <t>Heart &amp; Spine</t>
  </si>
  <si>
    <t>23°20-30°00</t>
  </si>
  <si>
    <t>MAGHA</t>
  </si>
  <si>
    <t>SHRAVANA</t>
  </si>
  <si>
    <t>10°00-23°20</t>
  </si>
  <si>
    <t>PURVAPHALGUNI</t>
  </si>
  <si>
    <t>13°20-26°40</t>
  </si>
  <si>
    <t>UTHARASHADA</t>
  </si>
  <si>
    <t>UTHARAPHALGUNI</t>
  </si>
  <si>
    <t>26°40-30°00</t>
  </si>
  <si>
    <t>DHANUS - SAGITTARIUS - Jupiter</t>
  </si>
  <si>
    <t>VRISCHIKAM - SCORPIO - Mars</t>
  </si>
  <si>
    <t>THULA - LIBRA - Venus</t>
  </si>
  <si>
    <t>KANYA - VIRGO - Mercury</t>
  </si>
  <si>
    <t>Hips &amp; Thighs</t>
  </si>
  <si>
    <t>Sex Organs</t>
  </si>
  <si>
    <t>Kidney &amp; Loin</t>
  </si>
  <si>
    <t>Bowel &amp; Abdomen</t>
  </si>
  <si>
    <t>Earth</t>
  </si>
  <si>
    <t>JYESHTA</t>
  </si>
  <si>
    <t>VISHAKHA</t>
  </si>
  <si>
    <t>PURVASHADA</t>
  </si>
  <si>
    <t>ANURADHA</t>
  </si>
  <si>
    <t>SWATHI</t>
  </si>
  <si>
    <t>HASTHA</t>
  </si>
  <si>
    <t>MULA</t>
  </si>
  <si>
    <t>VISHAKA</t>
  </si>
  <si>
    <t>CHITRA</t>
  </si>
  <si>
    <t>Zodiac Signs &amp; Stars in Zodiacs</t>
  </si>
  <si>
    <t>4. Sun will conjunct a planet if it is within 6° 40'. But, the nearby planet will only conjunct Sun if it is within 3° 20'.</t>
  </si>
  <si>
    <t>KARKATAKA - CANCER - Moon</t>
  </si>
  <si>
    <t xml:space="preserve">Deals with oil, mine products - Wells - Trenches - Tunnels - Fisherman - Night watchman - Coarse varieties of cloth - Accountant in agriculture Department - Sanitary Engineer - Writer of Secret Novels </t>
  </si>
  <si>
    <t>Direction</t>
  </si>
  <si>
    <t>Child, Lover, Boy friend, Girl Friend</t>
  </si>
  <si>
    <t>Public Leader, Joint Venture Partner</t>
  </si>
  <si>
    <t>Moon Transits in 2024 in Bengaluru, India</t>
  </si>
  <si>
    <t>Sun Transits in 2024 in Bengaluru, India</t>
  </si>
  <si>
    <t>Starting Times</t>
  </si>
  <si>
    <t xml:space="preserve">Loss to the native - Partner -Gains - Repaying the loans - Sick partner - Frequent tour - Change of house - Loss of prestige - Thin - Lean - Bony structure Secretive and depressed mind - Timid - Partner depressed </t>
  </si>
  <si>
    <t>Emotionally complex and introspective, brooding tendencies, unable to express feelings, deep thining, disciplined and reserved, self-control, prefers solitude, avoids large crowds, intuitive and insightful</t>
  </si>
  <si>
    <t>APRIL 13, 2024</t>
  </si>
  <si>
    <t>Positive Traits</t>
  </si>
  <si>
    <r>
      <rPr>
        <sz val="16"/>
        <rFont val="Calibri"/>
        <family val="2"/>
        <scheme val="minor"/>
      </rPr>
      <t>From (Deg/Min/Sec)</t>
    </r>
  </si>
  <si>
    <r>
      <rPr>
        <sz val="16"/>
        <rFont val="Calibri"/>
        <family val="2"/>
        <scheme val="minor"/>
      </rPr>
      <t>To (Deg/Min/Sec)</t>
    </r>
  </si>
  <si>
    <r>
      <rPr>
        <sz val="16"/>
        <rFont val="Calibri"/>
        <family val="2"/>
        <scheme val="minor"/>
      </rPr>
      <t>00°00′00″</t>
    </r>
  </si>
  <si>
    <r>
      <rPr>
        <sz val="16"/>
        <rFont val="Calibri"/>
        <family val="2"/>
        <scheme val="minor"/>
      </rPr>
      <t>00°46′40″</t>
    </r>
  </si>
  <si>
    <r>
      <rPr>
        <sz val="16"/>
        <rFont val="Calibri"/>
        <family val="2"/>
        <scheme val="minor"/>
      </rPr>
      <t>03°00′00”</t>
    </r>
  </si>
  <si>
    <r>
      <rPr>
        <sz val="16"/>
        <rFont val="Calibri"/>
        <family val="2"/>
        <scheme val="minor"/>
      </rPr>
      <t>03°00′00″</t>
    </r>
  </si>
  <si>
    <r>
      <rPr>
        <sz val="16"/>
        <rFont val="Calibri"/>
        <family val="2"/>
        <scheme val="minor"/>
      </rPr>
      <t>03°40′00”</t>
    </r>
  </si>
  <si>
    <r>
      <rPr>
        <sz val="16"/>
        <rFont val="Calibri"/>
        <family val="2"/>
        <scheme val="minor"/>
      </rPr>
      <t>03°40′00″</t>
    </r>
  </si>
  <si>
    <r>
      <rPr>
        <sz val="16"/>
        <rFont val="Calibri"/>
        <family val="2"/>
        <scheme val="minor"/>
      </rPr>
      <t>04°46’40”</t>
    </r>
  </si>
  <si>
    <r>
      <rPr>
        <sz val="16"/>
        <rFont val="Calibri"/>
        <family val="2"/>
        <scheme val="minor"/>
      </rPr>
      <t>04°46′40″</t>
    </r>
  </si>
  <si>
    <r>
      <rPr>
        <sz val="16"/>
        <rFont val="Calibri"/>
        <family val="2"/>
        <scheme val="minor"/>
      </rPr>
      <t>05°33’20”</t>
    </r>
  </si>
  <si>
    <r>
      <rPr>
        <sz val="16"/>
        <rFont val="Calibri"/>
        <family val="2"/>
        <scheme val="minor"/>
      </rPr>
      <t>05°33′20″</t>
    </r>
  </si>
  <si>
    <r>
      <rPr>
        <sz val="16"/>
        <rFont val="Calibri"/>
        <family val="2"/>
        <scheme val="minor"/>
      </rPr>
      <t>07°33’20”</t>
    </r>
  </si>
  <si>
    <r>
      <rPr>
        <sz val="16"/>
        <rFont val="Calibri"/>
        <family val="2"/>
        <scheme val="minor"/>
      </rPr>
      <t>07°33′20″</t>
    </r>
  </si>
  <si>
    <r>
      <rPr>
        <sz val="16"/>
        <rFont val="Calibri"/>
        <family val="2"/>
        <scheme val="minor"/>
      </rPr>
      <t>09°20’00”</t>
    </r>
  </si>
  <si>
    <r>
      <rPr>
        <sz val="16"/>
        <rFont val="Calibri"/>
        <family val="2"/>
        <scheme val="minor"/>
      </rPr>
      <t>09°20′00″</t>
    </r>
  </si>
  <si>
    <r>
      <rPr>
        <sz val="16"/>
        <rFont val="Calibri"/>
        <family val="2"/>
        <scheme val="minor"/>
      </rPr>
      <t>11°26’40”</t>
    </r>
  </si>
  <si>
    <r>
      <rPr>
        <sz val="16"/>
        <rFont val="Calibri"/>
        <family val="2"/>
        <scheme val="minor"/>
      </rPr>
      <t>11°26′40″</t>
    </r>
  </si>
  <si>
    <r>
      <rPr>
        <sz val="16"/>
        <rFont val="Calibri"/>
        <family val="2"/>
        <scheme val="minor"/>
      </rPr>
      <t>13°20’00”</t>
    </r>
  </si>
  <si>
    <t>Service in factory, police, military, medical, surgery, criminal courts, jail, railways, machinery, iron, steel, copper, commandants, Physicians, Attendants, horses, horse- riders, horse-dealers, horse-groom, handsome, persons as traders, Physiotherapist</t>
  </si>
  <si>
    <t>Veterinary Surgeon - Criminal Courts - Jail Departments - Physiotherapist</t>
  </si>
  <si>
    <t>Contracts big factories, chemical drug manufacturer, criminal lawyers, defense department, surgeons, medical department, Government service or security in service, manufacturer of imitation jewelry, cheap ornaments, electroplating, manufacturers of nickel and chromium plated surgical instruments, weapons (depending on the planet in this position or the sub in Government service includes from menial to minister, peon to president). (People rich in money and corn, men who are devoted to their elders and manes, granaries mountaineers, heroes, women haters, carnivorous beings), Physiotherapist</t>
  </si>
  <si>
    <t>Defence - Police - Foundry - Physiotherapist</t>
  </si>
  <si>
    <t>Intelligent - Sentimental</t>
  </si>
  <si>
    <t>5. If a house wall separates the planets, then they are not conjunct with each other.</t>
  </si>
  <si>
    <t>4. If a house wall separates the planets, then they are not opposing each other.</t>
  </si>
  <si>
    <t>Marriage Partner Looks</t>
  </si>
  <si>
    <t>Gems Remedies</t>
  </si>
  <si>
    <t>Short and well set.  Not very fair, broad mouth, broad face, strong sportsman or athletic, over-confident, not proud, good debater, argues well and wins.</t>
  </si>
  <si>
    <t>Above average in height, well-proportioned body, moderate complexion, long nose, piercing eye, most courteous, tactful, accommodative, can be influenced by others, pleasing manners.</t>
  </si>
  <si>
    <t>Middle stature, strong and well-made, complexion good, full eyes; bold, noble, will assert his right, comes out victorious, proud, social success.</t>
  </si>
  <si>
    <t>Short Stature, repulsive face, not beautiful. Good temperament, harmless, cheerful, fond of others, enjoys sexual pleasure, admires music, dance, sports, lazy, does not like to work.</t>
  </si>
  <si>
    <t xml:space="preserve">Do not approach any astrologer to know about your would-be wife's or husband's features when the Sun is transiting in Cancer.  If it happened to be the sub-lord of the 7th cusp, he had to predict the distasteful ones.  So avoid between 15th July and 17th August.  </t>
  </si>
  <si>
    <t>Strong, well-built, moderate complexion, big eyes, round and big face, most faithful and reliable, very punctual always, fair and just in his actions, ambitious and successful.</t>
  </si>
  <si>
    <t>Tall person with slender stature and good complexion very dark hair, fond of music and ever singing, always smiling and never provoking, cheerful, pleasant, spends much time on recreations.</t>
  </si>
  <si>
    <t>Tall, straight, upright body. Big eyes, thin hair, beautiful, never bold but ever talking about war, riot, etc. Unreliable, weak in his attachments, and will find it difficult to speak the truth.</t>
  </si>
  <si>
    <t>Square built, fleshy, full growth, broad face, moderate complexion, ingenious, very clever, discoverer, very brisk, ambitious, never accepts defeat or consider anybody as his or her equal. Fortunate.</t>
  </si>
  <si>
    <t>Tall, beautiful, body well proportioned, face oval, ever-estimate one's ability, austere, intense, plans for big things.</t>
  </si>
  <si>
    <t>Thin built, lean, wiry, tall long nose, soft hair, sickly appearance, pleasing manners, nasty occasionally, makes many friends, commands others, goodwill.</t>
  </si>
  <si>
    <t>Tall, well made, round face, good complexion, tolerably good disposition, never deceitful, proud, ostentatious.</t>
  </si>
  <si>
    <t>Short, stout, protruded eyes, plumpy body, round face, unjust, partial, fond of pleasures, extravagant, hence spoils himself, unfit to be a referee in the sports and games.</t>
  </si>
  <si>
    <t>Fleshy and plumpy, round face, fair complexion, adamant, aggressive, argumentative, avaricious, atrocious, aspiring, ambitious, authoritative.</t>
  </si>
  <si>
    <t>Strong well-built body, just below average in height, good looking, fair complexion, polite, modest, moderate fair, honest, helpful, pleasing.</t>
  </si>
  <si>
    <t>Tall, well built, upright, good complexion, ingenious, unsteady, lacks decision, not fortunate in the profession.</t>
  </si>
  <si>
    <t>Average height, well built, little fleshy person, rounded face, moderate complexion, can be easily influenced, changeable, pleasant manners, harmless, cares more for peace, fond of company, fortunate, fond of traveling.</t>
  </si>
  <si>
    <t>Well built, average height, moderate complexion, big eyes, proud, ambitious, never desire to be submissive and serve as a subordinate, independent and unfortunate.</t>
  </si>
  <si>
    <t>Tall, face oval, good complexion, very clever, reserved, gloomy, unlucky, depressed, dejection.</t>
  </si>
  <si>
    <t>Tall, pleasing personality, beautiful, good complexion, humorous, witty, pleasant, ever-smiling, fond of amusements, cares more for the appreciation from the other sex and is happy over it, not always fortunate.</t>
  </si>
  <si>
    <t>Below average in height, stout, complexion not good, most impulsive and irregular, not a desirable partner always.</t>
  </si>
  <si>
    <t>Beautiful, honest, true, person with well-built body and oval face, generous hasty and passionate, lucky.</t>
  </si>
  <si>
    <t>Thin, weak body, complexion not good, health poor, tall-busby hair growth, most dull, inactive, pessimistic, selfish, idiot, even friends and youngsters ignore him or her.</t>
  </si>
  <si>
    <t>Moderate in height, well made, good complexion. very intelligent, fit to carry on research, most courteous and never offensive, studious, never guilty of any crime.</t>
  </si>
  <si>
    <t>Below average, fleshy, fat, bloated face, like a pumpkin potbellied, mostly eyes closed by the flesh and appearing like a sleeping person, most inactive, active only for pleasure. Unsteady, inconstant, and unfortunate.</t>
  </si>
  <si>
    <t>Colors and metals suitable for Planets:</t>
  </si>
  <si>
    <t>White, Silvery, Silver</t>
  </si>
  <si>
    <t>Slate color, Green, Quick-Silver</t>
  </si>
  <si>
    <t>Purple, Violet, blue, white, Tin</t>
  </si>
  <si>
    <t>Brown, indigo, black, Lead</t>
  </si>
  <si>
    <t>Metals to set Gemstones:</t>
  </si>
  <si>
    <t>Gold and Copper</t>
  </si>
  <si>
    <t>Silver</t>
  </si>
  <si>
    <t>Copper</t>
  </si>
  <si>
    <t>Quick Silver</t>
  </si>
  <si>
    <t>Silver and Copper</t>
  </si>
  <si>
    <t>Tin</t>
  </si>
  <si>
    <t>Lead</t>
  </si>
  <si>
    <t>Rahu and Ketu</t>
  </si>
  <si>
    <t>Alloy</t>
  </si>
  <si>
    <t>Deep Red, Iron, Copper</t>
  </si>
  <si>
    <t>Orange or dark red metal, Gold, Copper</t>
  </si>
  <si>
    <t>Yellow, Pale blue, neither white nor black metal, Copper, Silver</t>
  </si>
  <si>
    <t>Rahu and Kethu</t>
  </si>
  <si>
    <t>Mixed colors</t>
  </si>
  <si>
    <t>Ruby (Māṇikyaṃ)</t>
  </si>
  <si>
    <t>Pearl (Muktāphalaṃ)</t>
  </si>
  <si>
    <t>Red Coral (Vidrumaṃ)</t>
  </si>
  <si>
    <t>Emerald (Maratakaṃ)</t>
  </si>
  <si>
    <t>Yellow Sapphire (Puṣparājaṃ)</t>
  </si>
  <si>
    <t>Diamond (Vajraṃ)</t>
  </si>
  <si>
    <t>Blue Sapphire (Nīlaṃ)</t>
  </si>
  <si>
    <t>Hessonite (Gomeda)</t>
  </si>
  <si>
    <t>Cat’s Eye (Vaidūryaṃ)</t>
  </si>
  <si>
    <t>Right middle finger</t>
  </si>
  <si>
    <t>Right ring finger</t>
  </si>
  <si>
    <t>Right little finger</t>
  </si>
  <si>
    <t>Right index Finger</t>
  </si>
  <si>
    <t>Moderate height, well built, large bones, curling hair, dark complexion, very bold, rash, undaunted, over-confident, very proud, quarrelsome, ever gains</t>
  </si>
  <si>
    <t>Very tall, complexion not good, well-proportioned body always active, mischievous, restless, clever, cunning, changes residence often, never repays loan</t>
  </si>
  <si>
    <t>Short, dusky complexion, less of hair, crooked body unreliable unfortunate, unhealthy practices, henchman, menial, incapable of doing honourable work.</t>
  </si>
  <si>
    <t>Moderate height, well-built body, thick nose, dark complexion, hasty, impulsive, proud, passionate, vindictive retaliates, ruthless, malevolent.</t>
  </si>
  <si>
    <t>Tall, well-proportioned body, red complexion, oval face, piercing eyes, hopeful, jovial, jublicant, cheerful, quick, speedy, bold talkative.</t>
  </si>
  <si>
    <t>Short, lean, thin face, dark complexion, witty, humourous, intelligent, lucky, pushy and successful.</t>
  </si>
  <si>
    <t>Well built body, good complexion, fair and buoyant, good debater, argues, fortune average only.</t>
  </si>
  <si>
    <t>Below average height, dark complexion, not beautiful, dirty look, dull, idiot, self-indulgent, idle, careless, unfortunate.</t>
  </si>
  <si>
    <t>Moderate in height and stature, thin body, face not round but oval, hair not black but brown, complexion not fair but dull, very quick in thinking
and also while speaking, expressive, liberal, inventive, impulsive, clever, studious, writer, not methodical, nor orderly.</t>
  </si>
  <si>
    <t>Stout body, strong, good health, black complexation.  Short and thick hair, alittle lazy, happy disposition, fond of opposite sex, recreation, artist, determined, perservance, diplomatic, likes and dislikes, efforts to accumulate wealth.</t>
  </si>
  <si>
    <t>Tall, well built, brown hair, complexation good, intelligent, orator, clever, lawyer or agent, inventive, resourceful, generous, good humored, changeful, speculative, studious, versatile.</t>
  </si>
  <si>
    <t>Robust health, weak body, good stature, dark complexion, brown hair, round face, broad eyes, persistent quick tempered, kind hearted, ambitious, intuition, organising capacity, music, drama, arts, do not take such drugs whcih would affect the heart.</t>
  </si>
  <si>
    <t xml:space="preserve">Tall, lean, brown hair, compelxion not attractive, very intelligent, cautious, practical, prudent, intuitive, scholar good writer, well informed and wide awake worker, investigation in occult. </t>
  </si>
  <si>
    <t>Tall, strong but thin brown hair, moderate complexion, broad outlook, dispassionate.  For any matter computers and contrasts, good judge, artist, invention, good in mathematics, social life.</t>
  </si>
  <si>
    <t>Short, not good to look at, broad shoulder, dark complexion, brown hair, stubborn, obsinate, positive, reckless, friends are troublesome, so also relatives, fond of opposite sex, ever for pleasure, disappointments, critical, suspicious, develops mesmerism.</t>
  </si>
  <si>
    <t>Thin, not well built, face also thin, dark complexion, hair browm and thin, irritable, dissatified, disappointed, discontented, unfortunate, suspicious nature, painstaking, studious, perseverance, science, occult, contemplative.</t>
  </si>
  <si>
    <t>Not plumpy but stature is middle, expressive eyes, high nose, pimples in the face, progressive, generous, ardent philosophical, good, relationship, social, noble, polite, studious, fond of traveling-sports-races and fortunate</t>
  </si>
  <si>
    <t>Moderate height, stout, good health, affectionate reserved, steady, cannot be influenced, rarely travels, religious, gains through opposite sex, receives gift, legacy, gains by investment, speculation, early marriage, dutiful partner.</t>
  </si>
  <si>
    <t>Well-built, little stout, good complexion, dark hair, penetrating eyes, sympathetic benevolent, friendly, trust-worthy, travels, broad-outlook, restless, studious, some difficulty in wedding, can discover, follow novel methods.</t>
  </si>
  <si>
    <t>Stout, short, pale and anaemic, complexion not good face not round, hair not black, plumpy, disproportionate, charitable, enterprising, sympathetic, popular, intuitive, imaginative, artist, patriot, interest in the occult sciences, loves home and also travels.</t>
  </si>
  <si>
    <t>Strong, well-built, tall, round face, curling dark hair, big eyes, beautiful, broad-outlook, noble, prudent, loyal, generous, prestige, intuitive, diplomatic, permanency, fixed deposit, sports.</t>
  </si>
  <si>
    <t>Good height, well-built, beautiful, black hair, above average in height, fair complexion, intelligent, cautious, prudent, philosophy, scientific, analytical, wise honest, chooses friends, popular, deals in speculation.</t>
  </si>
  <si>
    <t>Good growth, robust health, handsome, tall, good complexion, oval face, dark hair, pimples or rash in the face, moderate, earnest, obliging, imaginative, peaceful, charitable fond of travel, artist, gains through the opposite sex, happy marriage, good children.</t>
  </si>
  <si>
    <t>Good health, well-built, beautiful, strong will, deep emotions, ambitious, perseverance, self confidence, analytical, psychic, research minded, permanency, professional secret, litigation, arbitration.</t>
  </si>
  <si>
    <t>Tall and upright, stout, good stature, oval face brown hair, grows beard, becomes bald, courteous, generous, tolerant, loyal, merciful, humanitarian,
successful, sports, horse-race, gains.</t>
  </si>
  <si>
    <t xml:space="preserve"> Thin, below average, head also littlesmall, little beard, dark brown thin hair, constructive, capable, creative, ambitious, powerful, economical, frugal, successful, public life, deals in foreign affairs, long journeys, orthodox.</t>
  </si>
  <si>
    <t>Below average height, plumpy, stout, brown hair, pleasure in good company, strong will, emotional, imaginative, intuitive, dreams and vision, studious, simple, unassuming, fond of nature, animals, aquatics, takes interest in sanatorium, asylum etc.</t>
  </si>
  <si>
    <t>Average height, thin body, thin hair, good apperance, scar in face, may be poxed face, artist, fond of music, sculpture, internal recreation, travels, affectinate, fond of love, attracted to opposite sex, popular.</t>
  </si>
  <si>
    <t>Very good health, attractive face, proportionate body, little stout, emotional, affectionate, faithful, careful, precise determined, saves money, enjoys life.</t>
  </si>
  <si>
    <t>Middle stature, good in appearance, fair complexion, dark hair, good humored, traverse, plurality of interests, several occupations, good writer, speaker,
musician, intuitive, original inventive, sociable, more than one love affair, unsteady.</t>
  </si>
  <si>
    <t>Short person, stout, round face at the same time sickly, thin hair, idle, love homes attracted by family, fond of mother, kind heart, imaginative, several love affairs, secret activities marriage not very fortunate, psychic powers, can mesmerise, gains by permanent positions.</t>
  </si>
  <si>
    <t>Tall, well built, oval face, dark hair, intelligent, sympathetic, not fully satisfied in love affairs, secret attachment even with employees or employers, gains through medicine, gardening, nursery and speculation.</t>
  </si>
  <si>
    <t>Erect, Straight, tall, beautiful person, well built, oval face pleasing manners, ever smiling, brown hair, very long hair, kind sympathetic, affectionate, good companion inseparable temperament, pleasant partner, artist, social broad outlook.</t>
  </si>
  <si>
    <t>Short, stout, robust, broad face, black complexion, black hair, extravagant, lavish, impulsive, gains by gift or partnership or dowry, very passionate, emotional, troubles through opposite sex, disappointment, survives partner.</t>
  </si>
  <si>
    <t>Tall, well built, good complexation, fair long face, brown hair, refined nature, light hearted, impressionable, imaginative, intuitive, fond of journey, beauty, nature's romance, outdoor games, gains through many source, horse-racing, shipping, boating, takes friends of opposite sex etc.</t>
  </si>
  <si>
    <t>Not well built, moderate height, pale figure, thin, looks sickly, dark hair, trust worthy, responsible, authoritative, business like, banking, invests, deals in speculative shares, social life, ambitious, delayed marriage, loss due to treachery in business.</t>
  </si>
  <si>
    <t>Beautiful, robust health, well built fair complexion, big body, sympathetic, humanitarian, social, always fond of romance, sudden expenses in love, gains through friends, most of the hopes fulfilled.</t>
  </si>
  <si>
    <t>Moderate height, stout, muscular, round face, very fair, charitable, can be influenced, sympathetic, compassionate, emotional, inspirational, fond of painting, music, society.</t>
  </si>
  <si>
    <t>Black complexion, bondy person, thin build, dull face, less of hair, self boasting, determined very ambitious, good analytical brain, obstacles and troubles.</t>
  </si>
  <si>
    <t>Ugly apperance, stout, dark hair, profuse growth, fat, steady in mind, loses temper quickly, resentful, cannot be satisfied, very economical, reserved, fond of horticulture, poultry, enjoys nature, loss through close relative, domestic life not very fortunate.</t>
  </si>
  <si>
    <t>Thin, not tall, weak health, sickly apperance, hair dark, deep set eyes, dissatisfaction, ever changes house, always changeable, depressed, no contentment at all, psychic powers, economical at home, most industrious.</t>
  </si>
  <si>
    <t xml:space="preserve"> Tall, good health, broad face, big shoulders, dark hair, sunken eyes, generous, short beard, stubborn, God-fearing, spiritual uplift, trouble through servants, meets with accidents, pains-taking, over-works, feels exhausted in love affairs, not happy.</t>
  </si>
  <si>
    <t>Tall, thin-build, black hair, long forehead, cautious, frugal intuitive, reserved, much worried, not faithful, depressed good for spiritual life, unfortunate in doestic afairs, disharmony obstacles, labour problems.</t>
  </si>
  <si>
    <t>Tall, long face, dark hair, long nose, broad forehead, commands respect, scientific minded, inimical with opposite sex, disappointment in love affairs, seperation, heavy hearted, disgrace, delayed marriage, dejected.</t>
  </si>
  <si>
    <t>Moderate height, stout, big shoulder, dark hair, violent type, very passionate, self determined, jealous, dis-appointment in love affairs or secret activities, not happy with domestic life, drunkard, bad habits.</t>
  </si>
  <si>
    <t>Huge body, moderate complexion, obliging, helpful,fearless, humanitarian, occult science, philosophy, intuitive, detached nature, many obstacles, more than one occupation, should take care of nervous weakness, do not mix with fraud and cheats.</t>
  </si>
  <si>
    <t>Lean, bony, black hair, average height, sunken cheek and eyes, hunch-back, always thinking, serious, cautious, reasonable reserved, peevish, attachment
with inferior friends, not reliable, unhappy marriage, dissatisfied, needs recreation.</t>
  </si>
  <si>
    <t>Moderate height, average complexion neither fair not dirty, big head, proturding eyes, teeth not well arranged, unfaithful, friends, loss, deception, being black mailed, danger to reputation, many disappointments, secret activities, unfortunate, calamities, worry due to romance, feels tired, exhausted easily, cannot concentrate, psychic conditions affect the native persistent effort, deep intuition.</t>
  </si>
  <si>
    <t xml:space="preserve">The results should be referred to the planet with which Rahu or Kethu is conjoined.
If no planet is conjoined with Rahu or Kethu, then read the result of the planet which aspects Rahu or Kethu.
If no planet is conjoined with and no planet aspects then take the lord of the star in which Rahu or Kethu was. </t>
  </si>
  <si>
    <t>Moderate stature, good health, attractive apperance, dark hair, fair, original thoughts, penetrative, comprehensive, humanitarian, can concentrate, fond of occult subjects and research, capable for discovery, ever reading, expounders of theories.</t>
  </si>
  <si>
    <t>Below average, tall, good health, brown hair,  deep set eyes, good for astrology, spiritual life, independent views, gains through profession, psychic experiences, friends in foreign.</t>
  </si>
  <si>
    <t>Short, stout, complexation not good, eyes small, nose sharp, hair dark, ever variable, never steady, little lazy, tactful, faithful, much of retentive power, reasonable, opinion, sociable, disposition, cares for pleasure, parties, picnics.</t>
  </si>
  <si>
    <t>Tall, well built, clear eyes, round face, fair skin, sympathetic, kind hearted, charitable, sincere, attractive, social good, in music or acting or any art, gains by speculation, shares stock exchange, etc.</t>
  </si>
  <si>
    <t>Tall, big head and sunken eyes, brown hair, thoughtful, reserved, serious, intellectual, deep thinker, sociable, gains, determined, faithful, romantic life.</t>
  </si>
  <si>
    <t>7th CSL in the star of Kritika, Uttara Phalguni, Uttara Ashada. Sun deposited in =</t>
  </si>
  <si>
    <t>7th CSL is deposited in Rohini, Hastha, Shravana. Moon Deposited in =</t>
  </si>
  <si>
    <t>7th CSL deposited in Mrigashira, Chitra, Dhanishta. Mars Deposited in =</t>
  </si>
  <si>
    <t>7th CSL in the star of Ashlesha, Jyeshta, Revati. Mercury Deposited in =</t>
  </si>
  <si>
    <t xml:space="preserve">7th CSL deposited in Bharani, Purvaphalguni, Purvashada. Venus Deposited in = </t>
  </si>
  <si>
    <t>7th CSL in Pushya, Anuradha, Uttarabadhrapada. Saturn Deposited in</t>
  </si>
  <si>
    <t>7th CSL in the star of Punarvasu, Vishaka, Poorvabadhrapada. Jupiter Deposited in =</t>
  </si>
  <si>
    <t>7th CSL deposited in Rahu or Ketu star</t>
  </si>
  <si>
    <t>Gem Stone</t>
  </si>
  <si>
    <t>Which Finger to Use?</t>
  </si>
  <si>
    <t>Gemstone</t>
  </si>
  <si>
    <t>Enhanced Leadership: Associated with leadership, power, and authority, the ruby might amplify these qualities in individuals, particularly Leos (ruled by the Sun) and Aries (influenced by the Sun).
Increased Confidence: Ruled by the Sun, the ruby symbolizes self-esteem and courage. Some believe it promotes inner strength and helps wearers overcome shyness or self-doubt.
Improved Creativity and Passion: As the Sun represents life force and vitality, the ruby might enhance creativity, passion, and zest for life, especially for individuals with weak Sun placements in their birth charts.
Boosted Prosperity: The Sun is associated with wealth and material success. Some traditions believe the ruby attracts prosperity and good fortune, particularly for individuals seeking career advancement or financial stability.
Better Health and Vitality: The Sun signifies good health and energy. Believers suggest the ruby strengthens the immune system and improves overall well-being, especially for individuals facing physical ailments linked to a weak Sun.</t>
  </si>
  <si>
    <t>Emotional balance and well-being: Pearls are said to promote emotional stability and calmness, helping to manage stress, anxiety, and anger. They are believed to soothe the mind and bring about a sense of peace and tranquility. They are associated with intuition and introspection, potentially aiding in self-reflection and emotional understanding.
Enhanced relationships and love: Pearls are linked to love, compassion, and empathy, possibly improving communication and fostering deeper connections with others. They are said to attract positive relationships and promote harmonious interactions.
Creativity and imagination: Pearls are believed to stimulate the right brain, enhancing creativity, imagination, and artistic expression. They may encourage daydreaming and a connection to the subconscious mind.
Other potential benefits: Pearls are associated with femininity and motherhood, and are sometimes believed to support fertility and nurturing qualities.
They are also said to promote wealth and good fortune.</t>
  </si>
  <si>
    <t>Mars is the planet of war, passion, and aggression. It is also associated with courage, leadership, and determination. Red coral is believed to have a number of beneficial characteristics, including:
Increasing courage and willpower
Boosting energy and vitality
Promoting leadership qualities
Reducing anger and aggression
Improving self-confidence</t>
  </si>
  <si>
    <t>Enhanced communication and intelligence: Emerald is believed to be associated with Mercury, the planet of communication, intelligence, and wit. Wearing an emerald is thought to sharpen the mind, improve memory, and enhance communication skills.
Increased creativity and artistic expression: Mercury is also associated with creativity and artistic expression. Wearing an emerald is believed to boost creativity, inspire artistic endeavors, and help individuals tap into their inner voice.
Improved business and financial prospects: Mercury is said to rule over business and trade. Wearing an emerald is believed to bring good luck in business ventures, improve financial stability, and attract wealth and prosperity.
Stronger relationships and love: Mercury is associated with communication and relationships. Wearing an emerald is believed to improve communication within relationships, foster trust and understanding, and strengthen bonds of love.
Reduced stress and anxiety: Mercury is also associated with the nervous system. Wearing an emerald is believed to have a calming effect, reduce stress and anxiety, and promote mental well-being.
Improved memory and focus: Emerald is thought to improve memory and focus, making it beneficial for students and professionals who require sharp mental agility.
Balance and emotional stability: Emerald is believed to promote emotional balance and stability, helping individuals manage their emotions and navigate challenging situations with grace.</t>
  </si>
  <si>
    <t>Prosperity and Wealth: Yellow Sapphire is often associated with attracting wealth, material abundance, and financial success. It's believed to be connected to Jupiter's influence on good fortune and expansion.
Wisdom and Knowledge: Jupiter is also linked to knowledge, learning, and wisdom. Wearing a Yellow Sapphire is said to enhance focus, improve memory, and promote intellectual growth.
Relationships and Happiness: The gemstone is associated with strengthening relationships, attracting good luck in love, and promoting overall happiness and fulfillment. This ties into Jupiter's influence on harmony and positive connections.
Protection and Luck: Some believe wearing a Yellow Sapphire wards off negativity, protects from evil influences, and brings good luck in general. This relates to Jupiter's association with optimism and divine protection.</t>
  </si>
  <si>
    <t>Love and relationships: Diamonds are associated with the enhancement of love and relationships. Those who wear diamonds are often believed to find that their personal relationships are fortified, and they become more open to love, affection, and commitment. Diamond rings, in particular, are a tangible representation of love's strength and eternity.
Beauty and attractiveness: Venus is also the planet of beauty, and diamonds are believed to enhance the wearer's physical attractiveness and charm. They are thought to radiate positive energy that makes the wearer more appealing to others.
Creativity and artistic expression: Venus is associated with creativity and artistic expression, and diamonds are believed to boost these qualities in the wearer. They are thought to inspire new ideas, enhance artistic skills, and help the wearer express themselves more creatively.
Wealth and prosperity: Venus is also associated with wealth and prosperity, and diamonds are believed to attract these qualities into the wearer's life. They are thought to bring good luck, success, and financial abundance.
Peace and harmony: Venus is also associated with peace and harmony, and diamonds are believed to promote these qualities in the wearer's life. They are thought to reduce stress, anxiety, and negativity, and bring about a sense of calm and well-being.</t>
  </si>
  <si>
    <t>Discipline and responsibility: Blue sapphire is believed to strengthen the positive influences of Saturn, which is associated with discipline, hard work, and perseverance. Wearing it is thought to help individuals become more focused, responsible, and dedicated to their goals.
Mental clarity and focus: Saturn is also associated with mental clarity and focus. Wearing a blue sapphire is believed to improve concentration, memory, and analytical skills.
Emotional stability and maturity: The calming influence of Saturn is believed to be reflected in the blue sapphire. Wearing it is thought to promote emotional stability, reduce anxiety and stress, and foster maturity.
Financial prosperity: Saturn is traditionally associated with wealth and material success. Wearing a blue sapphire is believed to attract good luck and fortune, especially for individuals working hard and diligently towards their financial goals.
Protection from negativity: Blue sapphire is believed to shield the wearer from negative energies and influences, promoting overall well-being and spiritual growth.</t>
  </si>
  <si>
    <t>Mitigating negative traits: Rahu is associated with desires, illusions, and attachments, which can sometimes manifest as negativity, impulsivity, or deceit. Wearing a Hessonite is believed to help manage these negative tendencies and channel Rahu's energy towards positive pursuits like ambition, innovation, and unconventional thinking.
Spiritual development: Hessonite is linked to the higher chakras and is thought to facilitate spiritual growth, intuition, and self-examination. It's believed to aid in meditation and access to inner knowledge.
Protection: The stone is seen as a shield against evil spirits, psychic attacks, and negative energies, fostering a sense of security and well-being.
Wealth and prosperity: Hessonite is said to attract wealth, abundance, and career success. It's believed to enhance social standing and improve financial situations.
Relationships: The stone is thought to promote love, harmony, and peace in relationships, particularly for couples seeking a more fulfilling connection.</t>
  </si>
  <si>
    <t>Protection from negative influences: The Cat's Eye is believed to be a protective stone, warding off evil eye and negative energies. It is associated with Ketu, which is considered to be a shadowy and mysterious planet in Vedic astrology. Ketu is also known as the "south node" of the moon, and it is believed to represent hidden knowledge and past life karma. Wearing a Cat's Eye is thought to help mitigate the negative effects of Ketu, such as fear, anxiety, and negativity. 
Improved intuition and insight: The Cat's Eye is also believed to enhance intuition and insight. It is said to help wearers see through illusions and deceptions, and to make better decisions. This is thought to be due to the Cat's Eye's connection to Ketu, which is associated with hidden knowledge and the subconscious mind.
Spiritual growth: The Cat's Eye is considered to be a stone of spiritual growth and enlightenment. It is believed to help wearers connect with their higher selves and to achieve greater self-awareness. This is thought to be due to the Cat's Eye's connection to Ketu, which is associated with moksha, or liberation from the cycle of rebirth.
Improved health: The Cat's Eye is also believed to have some health benefits. It is said to improve digestion, skin health, and reproductive health. This is thought to be due to the Cat's Eye's association with Venus, which is the planet of love and beauty.
Financial success: In some cultures, the Cat's Eye is believed to bring financial success. This is thought to be due to the Cat's Eye's association with Jupiter, which is the planet of luck and abundance.</t>
  </si>
  <si>
    <t>Study your birth chart. Even if the birth time is slighty wrong, the planets usually don't change the sub lords within 5 to 10 minutes. Check once.</t>
  </si>
  <si>
    <t>List benefic planets according to sublord signification of 1, 2, 3, 10, 11</t>
  </si>
  <si>
    <t>Draw a horary chart for the question, "Which Gemstone is Beneficial for me?"</t>
  </si>
  <si>
    <t>Note down 1st CSL and 11th CSL</t>
  </si>
  <si>
    <t>Ensure that they are benefic as per their sub lord signification of 1, 2, 3, 10, 11</t>
  </si>
  <si>
    <t>Ensure that they are not connecting to 6, 8, 12 as per ABCD signification in the horary chart</t>
  </si>
  <si>
    <t>Eliminate planets that signify 6, 8, 12 as per ABCD signification table. Write down the NATAL BENEFIC PLANETS as per birth chart</t>
  </si>
  <si>
    <t>Write down the HORARY BENEFIC PLANETS as per horary chart</t>
  </si>
  <si>
    <t>If the HORARY BENEFIC PLANETS and NATAL BENEFIC PLANETS, then wear the gemstone as per the benefic planet</t>
  </si>
  <si>
    <t>Which Gemstones to Wear?</t>
  </si>
  <si>
    <t>If one knows which planet is favorable to them, then according to the nature of the planet, one can use that Gem as mentioned below:</t>
  </si>
  <si>
    <t>SubLord Signf.</t>
  </si>
  <si>
    <t>*Good Aspect Rule*</t>
  </si>
  <si>
    <t>Is the Star Lord opposed by any planet?</t>
  </si>
  <si>
    <t>Is the CSL opposed by any planet?</t>
  </si>
  <si>
    <t>Ashlesha</t>
  </si>
  <si>
    <t>Purva Phalguni</t>
  </si>
  <si>
    <t>Mrigashirsha</t>
  </si>
  <si>
    <t>Magha</t>
  </si>
  <si>
    <t>Uttara Phalguni</t>
  </si>
  <si>
    <t>Purvashada</t>
  </si>
  <si>
    <t>Uttarashada</t>
  </si>
  <si>
    <t>Shathabisha</t>
  </si>
  <si>
    <t>Uttarabadhrapada</t>
  </si>
  <si>
    <t>Poorvabadhrapada</t>
  </si>
  <si>
    <t>From</t>
  </si>
  <si>
    <t>To</t>
  </si>
  <si>
    <t>Aspect</t>
  </si>
  <si>
    <t>Benefic Planet</t>
  </si>
  <si>
    <t>Benefic</t>
  </si>
  <si>
    <t>Malefic</t>
  </si>
  <si>
    <t>Malefic Planet</t>
  </si>
  <si>
    <t xml:space="preserve">Added New Fortuna Rules.
Reformated the toolkit to show proper index order.
</t>
  </si>
  <si>
    <t>Short, stout, pale, hair brownish, hair throughout the body, intuitive, understands matters quickly, versatile, good memory, psychic qualities, recreation, boating, analytical mind, dexterous, find pleasure in nursing.</t>
  </si>
  <si>
    <t>Tall, well built, large thick bones, face oval, dark complexion, long nose, sincere, just independent, rebellious, prophetic mind, active mentally, changeable, enjoying nature, authoritative.</t>
  </si>
  <si>
    <t>Tall, beautiful, oval face, red complexion, active, alert, hopeful and cheerful, self-boasting, lofty, haughty, vain, glorious, dresses well, attached to other sex.</t>
  </si>
  <si>
    <t>Tall, wel-built, oval face, dark complexion, stout hands and legs, yet very brisk and active, fond of firing, shooting sports, riding, quarrelsome, likes to be in police or military, dresses nicely.</t>
  </si>
  <si>
    <t>Stout, bulky, dark complexion, curling hair, broad face, rash, not sociable, vindictive, revengeful, fond of disputes and quarrel, proud, haughty, very intelligent.</t>
  </si>
  <si>
    <t>Date</t>
  </si>
  <si>
    <t>Changes</t>
  </si>
  <si>
    <t>Till 23 Feb 2024</t>
  </si>
  <si>
    <t>Original version. Changes not tracked.</t>
  </si>
  <si>
    <t>No</t>
  </si>
  <si>
    <t>2024 Moon Transit Calendar</t>
  </si>
  <si>
    <t xml:space="preserve">Added a separate sheet for 2024 Moon Transit Calendar
</t>
  </si>
  <si>
    <t>Money, fortune, Profit, Gain, Resources, Worldly attainments, Possession of extrinsic value, Jewellery, Precious stones, Precious Metals, Documents and Bonds, Securities, Stocks and Shares, Promissory Notes, Mortgages, Negotiable Assets, Speech, Second marriage after death of first spouse, Power of observations, Memory, Miserliness, Liberality, Oratorical ability, Close family, Imagination, Nails, Tongue, Nose, Teeth, Cheeks and Chin, Protection of family members, Extravagant, Economical, Banking activities, Truth or falsehood, Garments, Gem trade, Wealth, Finances, Family, Speech, Voice, Taste, Eyes, Face, Throat, Bank Balance, Possessions, Savings, Earnings, Investments, Assets, Luxuries</t>
  </si>
  <si>
    <t>00-Log Version Control</t>
  </si>
  <si>
    <t>NOTE: For sale Rs.4,000/- per copy</t>
  </si>
  <si>
    <t>We will tell you how to commit</t>
  </si>
  <si>
    <t>You will get this for free.</t>
  </si>
  <si>
    <t>You must commit to becoming a KP Astrologer today</t>
  </si>
  <si>
    <t>Yes</t>
  </si>
  <si>
    <t>Star wise</t>
  </si>
  <si>
    <t>Sub wise</t>
  </si>
  <si>
    <t>A planet that signifies Bhadakasthana deposition + conjunction + opposition + star wise + sub wise will be the strongest</t>
  </si>
  <si>
    <t>Conjunction</t>
  </si>
  <si>
    <t>Opposition</t>
  </si>
  <si>
    <t>Order of Priority</t>
  </si>
  <si>
    <t>1. Star</t>
  </si>
  <si>
    <t>2. Sub</t>
  </si>
  <si>
    <t>3. Conjunction</t>
  </si>
  <si>
    <t>4. Opposition</t>
  </si>
  <si>
    <t>5. Deposition</t>
  </si>
  <si>
    <t xml:space="preserve">, </t>
  </si>
  <si>
    <t xml:space="preserve">Dry, Masculine, positive, hot planet. Takes one year to orbit all zodiacs. Controls all planets due to magnetic pull. Represents father. Rules the heart, right eye of man, left eye of woman, mouth, throat, and brain. Governs BP, Haemorrhage, Cardiac troubles, Bilious complaints in the head, loss of speech, sharp fevers, typhoid, epilepsy, sun-stroke, ailments in the head. Blesses us with boldness, loyalty, truth and commanding personality, vigour and vitality. Rules over Forests, Mountains, Shiva Temples, Forts and Government Buildings, etc. Sun controls articles of Red or Orange, Gold, Copper, Wheat, Medicine and Chemicals, Rice, Ground-nut, Coconut, Asafoetida, Cardamom, Almonds, Omam, Pepper, Nutmeg, Aromatic Herbs, Thorny trees and grass, medicinal herbs, and Ruby. Sun rules over lion, horse, bear, serpents, cattle and all four legged animals of the forests. He rules over singing birds also. The colour associated with Sun is dark red. </t>
  </si>
  <si>
    <t>Moon is the Satellite of the EARTH and is very close to us than any other Planet. She takes about 27 days and 8 hours to complete her circle around the Earth. She is a wet, cold and feminine Planet. She represents the mother of the native. She governs the left eye of the man and the right eye of the woman. She controls the liquid system of the man, as it has got affinity for liquids. She is the immediate transmitter of light and power from the Stars and Planets and hence, she plays the vital role in deciding the dasa period of a birth. She rules the mind and controls the thought waves of man. She is fastest among the Planets. Her Gem stone is pearl. Her diseases are cold, fever, monthly periods of ladies, breast and stomach disorders, complaints of uterus, spleen, ovaries, bladder, thyroid glands. She is connected with the timidness and changeable characters of a person.  She is connected to the growth of plantations. She governs Milk and Milky products, Tea, Petrol, Liquids, Aquatic fruits, Coffee, Cabbage, Roots, Bulbs, Mush-room, Sugar-cane and Cucumber. She rules over canals, streams, oceans, trenches, washing guts, fisheries, dairy farms, sea-shores. She controls worms, reptiles and other creatures of swiftness in their move. She governs hospitals, pumping stations, sewages, toilets and other watery places. The colour associated with Moon is white.</t>
  </si>
  <si>
    <t>Planets Characteristics</t>
  </si>
  <si>
    <t xml:space="preserve">Mars is a dry masculine Planet and represents brothers and sisters of the native. His Gem is Coral. He rules over the muscular system of the body, sex functions, blood system, stomach, face, shoulder, bladder, uterus, nose, pelvis, kidney, rectum, testicles and bone marrow. His diseases are boils, short-sight, fever, plague, rupture of capillaries, fistula, brain fever, haemmorrhage, typhoid, ulcer, hernia, malaria, abortion, bleeding, carbuncles, appendicitis, tumours and tetanus. He is connected to boldness, courage and war-like nature of a person and exceeds Sun in this respect. He is also a Planet of vitality and vigour. He rules over thorny plants, garlic, mustard, coriander, tobacco. He governs Tiger, Wolf, hunting dogs. Vultures, Hawks etc. The colour associated with Mars is light red. </t>
  </si>
  <si>
    <t>Mercury is the first member of the Solar family and she is very closer to Sun. She takes up 88 days to make a circle around SUN. Mercury is a dry feminine Planet. She rules over the nervous system, sense organs, brain &amp; skin. Her diseases are mental trouble, brain fever, nervous break-down, stammering, skin diseases, naval and neck troubles, epilepsey, and colic. She rules over medicines, musical Instruments, precision tools, currency notes, textiles. green prism. She controls walls, plastering, chests, trunks, suit cases, hills, play-ground, dining rooms, dolls, nurseries, gardens, hotels, medicine-box, book shelves, libraries. diaries, and store-rooms.  She rules over cameleon, fox, animals and birds of cunningness and intelligence. The colour associated with Moon is dark green.</t>
  </si>
  <si>
    <t xml:space="preserve">Jupiter is the fifth member of the solar family. He takes about 12 years to circle around the Zodiac. He is called the Puthra karaka and governs the children. He is a fruitful, masculine Planet. He controls over liver, fat, marrow, arteries. Diseases are liver complaints, jaundice, dropsy, flatulence, dyspepsia, abcess, hernia, skin troubles, cerebral congestion, catarah and carbuncles. His metals are Gold and Tin. He rules over temples, courthouses, schools, colleges, palaces, assembly Halls, places of relegious activities. He rules over elephant, horses, cow, owls, and peacock. </t>
  </si>
  <si>
    <t>Venus is the second member of the Solar family. She takes about 225 days to circle the Sun. She is Karaka for marriage and indicates life partner. She is feminine. She rules over genital parts and kidney, ovaries and female organs, throat, and chins. Her diseases are anaemic, venereal diseases, diseases of the eye and the skin, pains of joints, ovaries trouble, mucus diseases, cysts, troubles of over-eating, nervous disorders, and Hysteria. She rules over silk, textiles, silver, copper, mica, toilets, perfumery, fancy goods, photo-film, hosiery, confectionery, sandal-wood oil, fruits, flowers, sugar, automobiles, musical instruments, chemicals, rubber, embroidery and tailoring machines, paints, petrol, cotton, jasmine, punugu, nutmeg, condiments, cherry, apple, tobacco, juicy &amp; tasty fruits. She rules over bedroom, dancing hall, cinema theatre, gardens, nurseries, auto factories, chemical and industrial areas, silk and rayon Factories, glass and mica factories. She rules over panther, bulls, cows, buffaloes, goats, dove, peacock and sparrow.</t>
  </si>
  <si>
    <t xml:space="preserve">Saturn is the sixth member of the solar family and takes about 29-1/2 years to circle around the Sun. It is a barren, wet and cold Planet. It is eunuch. It plays a vital role in the longevity of a person. It controls bones, hair, ear, teeth and pneumogastric nerve. Its diseases are lymphatic troubles, trouble in excretory system, hardening of membranes, toothache, small-pox, deafness, diphtheria, asthma, TB, stammering, paralysis, vomiting, impotency, cancer, cardiac trouble, gout, baldness, and leprosy. It rules over lead, kerosene, petrol, coal, ores, cement, leather, wood, hair, wool, blackstone, jute, gingelly oil, banana, potato, black-grains, and barley. It's gems are Blue Sapphire and Prism Violet.  It rules over valleys, hills, forests, caves, deserts, dense old buildings, churches, temples, wells, trenches, slums, stinking Places, saloon, tannery, bone and metal factory. It control buffaloes, elephants, mules, horses, dogs, goats, cows and birds. </t>
  </si>
  <si>
    <t>Rahu Ketu</t>
  </si>
  <si>
    <t>Rahu and Ketu are the nodes (Shadow planets) and have got an anti clockwise motion in the heavens. They are invisible planets and are caused by the intersection of the pathways of the Sun and the Moon. The intersection occurring North of Equator is called Rahu (asceding node or Dragon's head) and that of the South is called Ketu, (descending node or Dragon's tail). They adopt themselves the characters of the conjunct planets, opposing planets, star lords, and the sign lords where they transit, mainly. Rahu indicates the paternal grand-father and Ketu indicates maternal grand-father. They are 180° exactly opposite to each other. Both of them have control over the spleen and cause severe pain and gas trouble. Rahu controls black-gram and Ketu controls Horse-gram. Rahu's gem is Gomedh and Ketu's gem is Vaidooryam. They rule over dark places, caves and tunnels. They rule ove snakes, monkey, wolf, camel, poisonous insects, mosquito, bugs, virus, and bacteria.</t>
  </si>
  <si>
    <t>Mental inclination and ability, Memory, Intelligence, Inclination to study, Courage, Valour, Heroism, Younger brother, sister and cousins, Neighbours, Short travel, Vehicles, correspondence, Letters, Papers, writings, Accounting, Mathematics, communications, Post Office, Letter Box, Telephones, telegraphs, Teleprints, Arms, Nervous systems, Neighbouring countries, Treaties, Female Servant, Fruits, Television, Telecommunication, Radio news, Signals, Airmail Messengers, Mediators, Publicity Officer, Reporter, Editor, Information Officer, Journalist, Change of residence, Restlessness, Library, Book-Store, Bargain, Signature, Signing of contracts or Agreements, Rumours, Carrying tales, Hands, Throat, Shoulder blade, Collar bones, Confused mind, Eating good food, Partition of properties, Edible roots, Blindness, Eyesight.</t>
  </si>
  <si>
    <t>Mother, One's house or residence, Domestic environment, Grave, Private affairs and secret life, Vehicles, Fields, Pastures and farms, Orchards, Mines, Real estates, Gardens, Public buildings, Ancient dwellings, Monuments and antiques, Agriculture, Learning, Boats, Small wells, Water, Milk, Trusts, False allegations, Tent, Pavilion, Pond, Mansion, Art, Entrance of a house, Place where stolen property is kept, Vedic and secret texts, Herbs, Hereditary properties and treasures, Schools and colleges</t>
  </si>
  <si>
    <t>Progeny, Inclination, Pleasure, Society with taster and fancies, Artistic talents, Gains to Partner and his luck, Recreation, Entertainment, Amusements, Sports and Games, Romance and similar interests, Cinema, Drama, Opera, Dance &amp; Music, Banquet, Merriments, Playing Cards, Crossword puzzles, Dice, Horse racing, Liaison with courtesan, Chanting of mantras and spiritual practice, Lottery, Gambling or betting, Stock Exchange, Love affairs, Courtships, Licentiousness, Rape and kidnap, Envoys, Ambassadors, Morale, Mechanical art, Discretion, Discrimination between Good and Bad, Chanting of Vedic hymns, Religious mind, Good learning and wisdom, Enormous riches, Festive occasion, Full satisfaction.</t>
  </si>
  <si>
    <t>House of sickness, Disease, Nourishing food, Dietary habits, Service of exhaustion, Employees, Subordinates or Servants, Debt or borrowings, Pet animals, small cattle, tenants, enmity, dress and Hygiene, Sanitation, Herbs, Food and Clothing, Success in competition, Obstacle in undertakings, Maternal Uncle, Insanity, Miserliness, Anxieties, Frequent eye troubles, Untimely meals, theft, calamity, Prisons, Industries, Purchase or sale of vehicles by younger brother or sister, Mother's short journey, Bank position and profession of the first child, Loss to Partner, investment or Purchases made by Partner, secret enemies of Partner, Father's occupation or business, danger to elder brother.</t>
  </si>
  <si>
    <t>Legal spouse, Legal Bondage, Mix-up freely in society, Break of journey, Danger to life, Description of the thief, Foreign affairs and war, Public Meetings, Servants' money, Business Partner, Contact with Public, Fines, Contracts, Influence in foreign country, Honour and reputations there, Recovery of lost property, Internal relations, International Trade, Open warfare, Mother's property and vehicle, Danger by secret enemy, Father's friends and partnership with them.</t>
  </si>
  <si>
    <t>Longevity, Span of life, House of death, Inheritance, Legacies, Wills and Insurance, Gratuity, Natural death, drowning fire accident or suicide, Mystery, Misfortune, Misery, Sorrow, Worries and privations, Delay and dejection, Defeat and disappointment, Loss and obstruction, Blame and ill repute, Accident, Danger from animal, National Export &amp; import, travel, territory of another country, Interest Rates, Estate Duty, Insured money of the deceased, sufferings caused by enemies, Lottery, Gains to mother, Wrong actions-Theft and Robbery, Seize of a Fort and fighting, Dowry, unearned wealth, Share of profit, Surgeons, Medical Officers, Health Inspectors, slaughter Houses, Butchers, Public Morality, Death rate, Flood and Fire, Famines, Epidemics, Diseases, Earthquakes, National Calamity or grief, Financial relations with foreign countries, Surrender or loss, Public Loan and Debts, Deficit Budget, Public-sales, difficulties in journeys, Corruption, Prize Bond or speculations.</t>
  </si>
  <si>
    <t>Faith and Wisdom, Divine worship, Philosophy and Religion, Devoted and Religious, Orthodox, Meditation, Intuition and fore-thought, Research and Invention, Father &amp; Guruji, teaching of Dharma, Communications with Spirits, Publishing books of intrinsic value, Devotion to God, Universities, National Trade Import and Export, Radio, Vedic sacrifice, Penance, Mythology, Coronation Hall, Wells, Lakes, Taas, short journeys, Speculative gains, Pleasure of Children, Younger brother's wife, Temples, Churches, Mosques, Places of worship, Spiritual welfare, Pilgrimage, circular Reservoir, Sacrifice and Charity, Discovery and exploration, Legal arbitration, Dreams and Visions, Long journeys by Air, Land and Sea, Internal affairs, Legal Departments, Emigration and immigration Department, Communication, Cables, wireless, Clarity of mind, Good conduct, Horses, Elephants, buffaloes, Circulation of money, Water Sheds, Monetary vows, Servants vehicle, Prosperity, Mother's illness, Elder brother's friends.</t>
  </si>
  <si>
    <t>Profession and Status, Honour and dignity, Public name and fame, Power and Prestige, Credit and Conduct, Rank and Success, Respect and Reputation, Ambition and Authority, Worldly activities, responsibilities, Permanency, Promotion, Progress, appointments, Business and occupation, Karmasthana and last rites to parents, Religious functions, Employer &amp; Master, Judge and Government, Pilgrimage to Holy places, Owners and Trainers of Horses, Head of State, Father's property, Permanent possessions or Vehicle of Partner, Sickness to children, Enemies of mother, Government Honours, Seal of authority, Horse riding, Athletics, Service and Sacrifice, Agriculture, Doctor, Talisman, Morality, Medicines, Prosperity, Adopted child, Teaching mantras, Rain, Retirement, Power of learning, Articles stolen by thieves, Judges and Stewards, President in Race clubs, National Leaders, National Trade, Maraka of Parents, Pleasurable pursuit of servants, Debts, Litigations and Danger to younger brothers, Elder brother loss and obstacles.</t>
  </si>
  <si>
    <t>Friends, Society and Community, Favourites, Flatterers, Admirers, Advisors, Associates, Supporters, Well-wishers, Close acquaintances, Hopes and wishes, Aspirations and ambitious, Fulfilments of desires, Success in all attempts, Foreign collaboration, Election, Litigation, Speculations, Writings, Wealth and Profit, Incoming wealth, Principal &amp; Interest, Pleasure and Prosperity, Profits and Progress, Peace of mind, Ornaments, Decoration, Sovereign, Money, Son-in-law or Daughter-in-law, Parliament, Legislative Assembly, Corporation, Municipal Bodies, District Boards and Panchayats, Government Policies and Plannings, International relations, Gains through correspondence, Pleasurable pursuits of Partner, Recovery from illness, Opposition to children, Danger to younger brother, Long journey, Freedom from misery and relief from pain, Discharge from Hospital, Partnership, Permanent tie of friendship, Unconventional activities, Elder brother, Trust, Cure from diseases, Left ear and hands, Right foot, Influence, Paternal uncle, Devotion to God, Luck, Easy gains, Brother-in-law, Mother's longevity, Knee cap, happy news, Dawn of fortune, Ministership, Badhakasthana for Chara Lagna borns, Knowledge, Income, Houses, Elephants, Vehicles, Chariots, Furniture, Exchange amenities, Co-operative Stores and Societies, Stewards and Committee under them in Horse racing, Number of the Winner in Horse racing, Government Loans, Electric Companies, Gas, Museum, Agriculture, Estates, Irrigation, Silk, Father's short journey, Birth of children, Speculation, Victory over enemies.</t>
  </si>
  <si>
    <t>Loss and Impediments, Restraint and Limitation, Wastes and extravagance, Expenses, Drudgery and Deception, Purchases and Investments, Donations and Charity, Philanthropic, Institution, Separation from family, Far off places, Sorrow and sin, Sedition and segregation, Obstacles and Impediments, Misery and Misfortune, Poverty and Persecution, Intrigue and Imprisonment, Secret toil of mind, Fear and Inferiority complex, Success in Occult affairs, Danger from animals, Success in a foreign land, Aid from charitable Institutions, Banished persons, Malfactors, Lost goods never recovered, Disobedient people, Hidden side of life, Sound sleep, Mental pain and agitation, Feet and left eye, Fear from enemies, Amputation, Bodily injury and harm, Wretchedness,imprisonment, Anger, Termination of job, Comfort of bed, Unexpected demands, Spies, Secret and Occult Societies, Vehicles, Sickness to wife, Mother's long journey, Solitude and Secrecy, Silent suffering and self undoing, Greatest self-sacrifice, Jealous and social barriers, Unexpected troubles, Secret Plots and Schemes, Conspiracy and cunningness, envy and Malice, Fraud and Treachery, suicide, Murder, Exile and Extradition, Mystery and Psychic research, investigation, Detective work, Confinement in Hospital, Nefarious activities, scandals, disgrace and secret pain, Invention of chemical process, Laborious work, Pressure of money, Uncommon expenses, gift, Charity, Donation, Jails and Asylums, Invalid and Prisoner, Sanatorium, Nursing Home, Mental Hospitals, Life in a foreign country, Trials and Tribulations, Arson, Loot, Rape, Sorrow and self undoing poisoning, Boot-legging, smuggling and Black-mailing, Restrictions to Horse owner, Restrictions and fines on Jockeys, Treason and Assassination, Crime in general, Underground activities, Father, Permanent possession, Danger to children, Younger brother's job and prosperity.</t>
  </si>
  <si>
    <t>Added Basic Characteristics of Planets, Minor spelling errors and punctuation errors removed in Houses Meaning sheet</t>
  </si>
  <si>
    <t>Added Prediction Algorithm Sheet</t>
  </si>
  <si>
    <t>Is Sublord of the main house direct?</t>
  </si>
  <si>
    <t>Is Star lord of the main house sub lord direct?</t>
  </si>
  <si>
    <t>Is the conjunction lord to the sub lord favoring results?</t>
  </si>
  <si>
    <t>Is the conjunction lord to the star lord favoring results?</t>
  </si>
  <si>
    <t>Is the opposition lord to the sub lord favoring results?</t>
  </si>
  <si>
    <t>Is the conjunction lord to the sub lord direct?</t>
  </si>
  <si>
    <t>Is the conjunction lord to the star lord direct?</t>
  </si>
  <si>
    <t>Is the opposition lord to the sub lord direct?</t>
  </si>
  <si>
    <t>Is the opposition lord to the star lord direct?</t>
  </si>
  <si>
    <t>Is the opposition lord to the star lord favoring results?</t>
  </si>
  <si>
    <t>Is Sub Lord of the main house sub lord favorable?</t>
  </si>
  <si>
    <t>Is Sub Lord of the main house sub lord direct?</t>
  </si>
  <si>
    <t>Is Star Lord favorable?</t>
  </si>
  <si>
    <t>Is Sub lord of the main house sub lord not connecting to 6, 8, 12</t>
  </si>
  <si>
    <t>Is star lord of the main house sub lord not connecting to 6, 8, 12?</t>
  </si>
  <si>
    <t>Is the Mahadasa lord direct in horary?</t>
  </si>
  <si>
    <t>Is the Mahadasa lord's star lord direct in horary?</t>
  </si>
  <si>
    <t>Is the Mahadasa lord's sub lord direct in horary?</t>
  </si>
  <si>
    <t>Is the Mahadasa lord's sub lord connecting to 1, 2, 3, 6, 10, 11?</t>
  </si>
  <si>
    <t>Is the Mahadasa lord favoring results?</t>
  </si>
  <si>
    <t>Is the Bukthi lord direct in horary?</t>
  </si>
  <si>
    <t>Is the Bukthi lord's star lord direct in horary?</t>
  </si>
  <si>
    <t>Is the Bukthi lord's sub lord direct in horary?</t>
  </si>
  <si>
    <t>Is the Bukthi lord's sub lord connecting to 1, 2, 3, 6, 10, 11?</t>
  </si>
  <si>
    <t>Is the Bukthi lord favoring results?</t>
  </si>
  <si>
    <t>Is the Antara lord direct in horary?</t>
  </si>
  <si>
    <t>Is the Antara lord's star lord direct in horary?</t>
  </si>
  <si>
    <t>Is the Antara lord's sub lord direct in horary?</t>
  </si>
  <si>
    <t>Is the Antara lord's sub lord connecting to 1, 2, 3, 6, 10, 11?</t>
  </si>
  <si>
    <t>Is the Antara lord favoring results?</t>
  </si>
  <si>
    <t>Is the Sukshuma lord direct in horary?</t>
  </si>
  <si>
    <t>Is the Sukshuma lord's star lord direct in horary?</t>
  </si>
  <si>
    <t>Is the Sukshuma lord's sub lord direct in horary?</t>
  </si>
  <si>
    <t>Is the Sukshuma lord's sub lord connecting to 1, 2, 3, 6, 10, 11?</t>
  </si>
  <si>
    <t>Is the Sukshuma lord favoring results?</t>
  </si>
  <si>
    <t>Are Ruling Planets showing any fruitful star in favorable houses?</t>
  </si>
  <si>
    <t>Prediction Algorithm</t>
  </si>
  <si>
    <t>Promised</t>
  </si>
  <si>
    <t>Is the Event Promised or Denied or Delayed or Difficulty?</t>
  </si>
  <si>
    <t>Criteria</t>
  </si>
  <si>
    <t>Scenario-01</t>
  </si>
  <si>
    <t>Scenario-02</t>
  </si>
  <si>
    <t>Scenario-03</t>
  </si>
  <si>
    <t>Scenario-04</t>
  </si>
  <si>
    <t>Scenario-05</t>
  </si>
  <si>
    <t>Scenario-06</t>
  </si>
  <si>
    <t>Scenario-07</t>
  </si>
  <si>
    <t>Scenario-08</t>
  </si>
  <si>
    <t>Scenario-09</t>
  </si>
  <si>
    <t>Scenario-10</t>
  </si>
  <si>
    <t>Scenario-11</t>
  </si>
  <si>
    <t>Scenario-12</t>
  </si>
  <si>
    <t>Scenario-13</t>
  </si>
  <si>
    <t>Scenario-14</t>
  </si>
  <si>
    <t>Scenario-15</t>
  </si>
  <si>
    <t>Scenario-16</t>
  </si>
  <si>
    <t>Scenario-17</t>
  </si>
  <si>
    <t>Scenario-18</t>
  </si>
  <si>
    <t>Scenario-19</t>
  </si>
  <si>
    <t>Scenario-20</t>
  </si>
  <si>
    <t>Scenario-21</t>
  </si>
  <si>
    <t>Scenario-22</t>
  </si>
  <si>
    <t>Scenario-23</t>
  </si>
  <si>
    <t>Scenario-24</t>
  </si>
  <si>
    <t>Scenario-25</t>
  </si>
  <si>
    <t>Moderate height, strong and well-built rough and coarse hair, moderate complexion, broad mouth and face, self-indulgence, arrogant, speculative, unfortunate</t>
  </si>
  <si>
    <t>Birth Time Rectification Method</t>
  </si>
  <si>
    <t>BTR using Ruling Planets</t>
  </si>
  <si>
    <t>Note down the Ruling Planets at the time of birth</t>
  </si>
  <si>
    <t>Note down the Ruling Planets at the current time in your location</t>
  </si>
  <si>
    <t>Match both. At least 4 RPs must match both ways.</t>
  </si>
  <si>
    <t>If not, correct the birth time to match at least 4 RPs</t>
  </si>
  <si>
    <t>BTR using Life Events</t>
  </si>
  <si>
    <t>Note down its signification by the star lords and conjunction and opposition</t>
  </si>
  <si>
    <t>Note down Sub Lords of all cusps in the birth chart</t>
  </si>
  <si>
    <t>Match every house according to the rule book</t>
  </si>
  <si>
    <t>Correct birth time accordingly</t>
  </si>
  <si>
    <t>Note down dates of important events in life like marriage</t>
  </si>
  <si>
    <t>Match with DBAS date</t>
  </si>
  <si>
    <t>Vitamin `B' deficiency, gas formation, flatulence, loose bowels, pain and disorder in the bowels, obstructions, arms and shoulders weak, short breath, worms, mucus, cholera, diarrhea, typhoid, amoebic, and bacillary dysentery, neuralgia (imagination), fear complex, hysteria.</t>
  </si>
  <si>
    <t>BTR process is a dicey one and error prone.</t>
  </si>
  <si>
    <t>You may not always succeed with either of the above methods.</t>
  </si>
  <si>
    <t>Note</t>
  </si>
  <si>
    <t>Strongest Planet Calculation Template</t>
  </si>
  <si>
    <t>Relationship for chart rotation</t>
  </si>
  <si>
    <t>Cusp</t>
  </si>
  <si>
    <t>10 profession, name, fame, politics</t>
  </si>
  <si>
    <t>Due to disappointment in love, heart affected. Loss of children, affecting hearts, all due to shocks and irreparable loss. Curvature of the spine, anaemia, hydraemia, pain in legs, swelling of ankle, blood pressure, aneurysm, swelling of heart, valves affected.</t>
  </si>
  <si>
    <t>Added BTR, Medical Astrology and Untenented / Tenented Planets</t>
  </si>
  <si>
    <t>Direct</t>
  </si>
  <si>
    <t>Planets Friendship as per Vedic Astrology</t>
  </si>
  <si>
    <t>Quantum Astrology</t>
  </si>
  <si>
    <t>Stock Market Astrology</t>
  </si>
  <si>
    <t>Numerology</t>
  </si>
  <si>
    <t>To Calculate quantum such as marks, sale price, buy price, etc.</t>
  </si>
  <si>
    <t>Find out the exact quantum expected by the querist</t>
  </si>
  <si>
    <t>Draw the time chart (using the time and location of the astrologer)</t>
  </si>
  <si>
    <t>Note down Moon degree position within the zodiac it is posited in (max of 30 degrees)</t>
  </si>
  <si>
    <t>Find out the nakshatra lord of the Moon</t>
  </si>
  <si>
    <t>Note down Moon's Nakshatra lord degree position within the zodiac it is posited in (max of 30 degrees)</t>
  </si>
  <si>
    <t>Add degree position of both planets (max of 60 degrees)</t>
  </si>
  <si>
    <t>Divide the total by 60. Multiply it by 100 to find the percentage</t>
  </si>
  <si>
    <t>Multiply the percentage with expected quantum. (max of 100%)</t>
  </si>
  <si>
    <t>Stock Market Astrology Rules</t>
  </si>
  <si>
    <t>Losses in speculation</t>
  </si>
  <si>
    <t>Stock Broker or Share brokerage business success</t>
  </si>
  <si>
    <t>Fortune from Stock Exchanges, Share trading</t>
  </si>
  <si>
    <t>Loss in speculation and share market investments</t>
  </si>
  <si>
    <t>Luck in speculation</t>
  </si>
  <si>
    <t>Enjoying speculative markets</t>
  </si>
  <si>
    <t>Wealth from speculation</t>
  </si>
  <si>
    <t>2, 3, 5, 6, 8, 11</t>
  </si>
  <si>
    <t>Huge income from share market</t>
  </si>
  <si>
    <t>1, 4, 7, 9, 10, 12</t>
  </si>
  <si>
    <t>Losses in share market trading</t>
  </si>
  <si>
    <t>Chaldean Numerology System</t>
  </si>
  <si>
    <t>Birth Date</t>
  </si>
  <si>
    <t>Characteristics</t>
  </si>
  <si>
    <t>Monday</t>
  </si>
  <si>
    <t>Supportive Numbers</t>
  </si>
  <si>
    <t>Primary Gems</t>
  </si>
  <si>
    <t>Sunday</t>
  </si>
  <si>
    <t>Thursday</t>
  </si>
  <si>
    <t>6, 9</t>
  </si>
  <si>
    <t>1, 2, 7, 8</t>
  </si>
  <si>
    <t>Wednesday</t>
  </si>
  <si>
    <t>Lucky Day</t>
  </si>
  <si>
    <t>Primary Number</t>
  </si>
  <si>
    <t>Friday</t>
  </si>
  <si>
    <t>Saturday</t>
  </si>
  <si>
    <t>Tuesday</t>
  </si>
  <si>
    <t>21 June to 20 July</t>
  </si>
  <si>
    <t>21 July to 20 August</t>
  </si>
  <si>
    <t>Positive Period</t>
  </si>
  <si>
    <t>4, 2, 7</t>
  </si>
  <si>
    <t>7, 1, 4</t>
  </si>
  <si>
    <t>Shades of green, pale shades, white, yellow</t>
  </si>
  <si>
    <t>Colors to avoid</t>
  </si>
  <si>
    <t>Avoid heavy dark colors</t>
  </si>
  <si>
    <t>2, 1, 4</t>
  </si>
  <si>
    <t>Lucky dates</t>
  </si>
  <si>
    <t>1, 10, 19, 28</t>
  </si>
  <si>
    <t>Supportive Dates</t>
  </si>
  <si>
    <t>2, 11, 20, 29, 4, 13, 22, 31, 7, 16, 25</t>
  </si>
  <si>
    <t>4, 13, 22, 31</t>
  </si>
  <si>
    <t>Strong, individuality, creator, born leader, ambitious, active, dominant, aggressive, innovator, winner, tyrant, self-centered, ruthless, stubborn, career oriented, dislikes restraint, rise in profession, desire to be CxOs, likes to keep authority, looked up by subordinates, make themselves respected</t>
  </si>
  <si>
    <t>Supportive Day</t>
  </si>
  <si>
    <t>Gold, yellow, bronze, golden brown</t>
  </si>
  <si>
    <t>2, 11, 20, 29</t>
  </si>
  <si>
    <t>Sunday, Friday</t>
  </si>
  <si>
    <t>7, 16, 25, 1, 10, 19, 28, 4, 13, 22, 31</t>
  </si>
  <si>
    <t>Gentle, passive, imaginative, romantic, artistic than number 1 people, thoughtful rather than action oriented, inventive but not forceful in action, never carries out their plans, restless, unsettled, lacks continuity, easily becomes despondent, charmer, intuitive powers, lacks self confidence, changeable, deceitful at times, over-sensitive, depressive at times, gets along well with opposite number people (like no.1 people).</t>
  </si>
  <si>
    <t>Green, cream, white</t>
  </si>
  <si>
    <t>Avoid dark colors, black, purple, red</t>
  </si>
  <si>
    <t>3, 12, 21, 30</t>
  </si>
  <si>
    <t>6, 15, 24, 9, 18, 27</t>
  </si>
  <si>
    <t>Energetic, disciplined, talented, successful in their fields, not satisfied with less, extremely conscientious, proud, exceptionally independent, loves to be in control, many good qualities, fond of telling others about what they do, highly spiritual, ambitious, loves order and discipline, readily obeys orders, excels in position of authority such as army, navy, government, private enterprises in CxO, and leadership positions, dictatorial, succeeds in making enemies, dislikes being under an obligation to others.</t>
  </si>
  <si>
    <t>Tuesday, Friday</t>
  </si>
  <si>
    <t>Shades of mauve, violet, purple, all shades of blue, crimson, rose</t>
  </si>
  <si>
    <t>1, 10, 19, 28, 2, 11, 20, 29, 7, 16, 25, 8, 17, 26</t>
  </si>
  <si>
    <t>Practical, steady, great endurance, rebellious views, unconventional, uninterested in material things, difficulty in making friends, feels isolated, rebels against rules and regulations, always takes opposite views in an argument, reverse order of communities and governments, rebels against constitutional authority, sets up new rules and regulations in dometic and public life, attracted to social reforms and questions, very positve, surprises others with their material possessions if any, highly strung, sensitive, easily gets hurt, likely to become despondent unless they achieve success, few devoted friends and loyal, 'the under-dog' in any cause.</t>
  </si>
  <si>
    <t>Half-shades, half-tones, electric colors, electric blue, electric grey</t>
  </si>
  <si>
    <t>5, 14, 23</t>
  </si>
  <si>
    <t>Mercurial, lively, sensual, pleasure-seeking, impulsive, quick-thinking, quick-tempered, highly-strung, lives on nerves, craves excitement, detests plodding kind of work, keen sense of making money with new inventions and new ideas, most wonderful elasticity of character, nothing affects for long, blow of fate leaves no indentations on the character, if by nature good they always remain positive, if by nature bad, no amount of preaching will make them feel positive, nervous trouble, easily irritable, good at making money, born speculators, speculative income, share market, gambling, risk taking to earn money, bounces back easily from failures, makes friends easily with people of all other numbers, close friends only with fellow number 5.</t>
  </si>
  <si>
    <t>All shades of light grey, white, glistening materials, all light shades of any color</t>
  </si>
  <si>
    <t>Avoid dark colors</t>
  </si>
  <si>
    <t>6, 15, 24</t>
  </si>
  <si>
    <t>3, 12, 21, 30, 9, 18, 27</t>
  </si>
  <si>
    <t>All shades of blue, all shades of rose or pink</t>
  </si>
  <si>
    <t>Avoid black or dark purple</t>
  </si>
  <si>
    <t>Lucky Colors</t>
  </si>
  <si>
    <t>21 November to 20 December
19 February to 20 March</t>
  </si>
  <si>
    <t>21 May to 20 June
21 August to 20 September</t>
  </si>
  <si>
    <t>20 April to 20 May
21 September to 20 October</t>
  </si>
  <si>
    <t>21 December to 20 January
21 January to 18 February</t>
  </si>
  <si>
    <t>21 March to 19 April
21 October to 20 November</t>
  </si>
  <si>
    <t>Tuesday, Thursday</t>
  </si>
  <si>
    <t>7, 16, 25</t>
  </si>
  <si>
    <t>Resonating people born period</t>
  </si>
  <si>
    <t>21 June to 20 July
21 July to 20 August</t>
  </si>
  <si>
    <t>2, 11, 20, 29, 1, 10, 19, 28, 4, 13, 22, 31</t>
  </si>
  <si>
    <t>8, 17, 26</t>
  </si>
  <si>
    <t>Sunday, Monday</t>
  </si>
  <si>
    <t>Blue, Dark grey, black, purple</t>
  </si>
  <si>
    <t>Light colors</t>
  </si>
  <si>
    <t>Strange, difficult number, twice rebellious than number 4 people, contradictions galore, sorrow, worldly success, great willpower, individuality, may appear cold, deep and intense feelings, often misunderstood by others, may feel intensely lonely at heart, great inner strength, fatalistic tendency, fatalistic influence on others, extremely religious and fanatical or an extreme athiest, will persist in accomplishing their cause, makes bitter and relentless enemies, undemonstrative externally but has intense warmth inside, warm hearts towards the oppressed of all classes, will hide their feelings and let people think just what they please, either great success or great failure, no happiness in being medium or mediocre, may be ambitious and aim for public life or government responsibility, often holds very high position involving great sacrifice on their part, highly dependable as a friend to call on to face great sorrows - death - losses - and humiliations. revolutionary, may be wayward and eccentric, high concentration of purpose and unwavering zeal on fatalistic causes, seldom reaps the rewards for the good they do while living, often extolled and praised and given lasting tributes after death, may come into conflict with human justic, may have a tragic end to their lives, 1 - 3 - 6 people will be able to offer balance the sequel of events in their lives.</t>
  </si>
  <si>
    <t>Ultimate number, special, sacred significance, fighters, active, determined, succeeds after a struggle, prone to accident and injury, quarrelsome, has highest qualities of courage, brotherly love, usually have difficult early years, generally are successful with their grit and determination in the end, hasty in temper, impulsive, independent, be their own masters, will usually make great enemies, causes strife and opposition wherever they are, often wounded physically or mentally, likes to die in a warfare than of old age, excellent soldiers or leaders, danger from foolhardiness and impulsiveness in words and actions, peculiarly prone to fire accidents and explosions, rarely gets through life withut injury, in general undergoes many surgeries, argues with life partner - siblings - parents - children, strongly resents criticism, carries a good opinion of themselves, likes to be looked up to as a leader or the head of the house, resourceful and excellent in organization but must have full control, if lack of control they lose heart and stand aside and let things go to pieces, will do anything for affection and sympathy, can be made the greatest fools of, easy for a clever lover to fool them.</t>
  </si>
  <si>
    <t>3, 6</t>
  </si>
  <si>
    <t>9, 18, 27</t>
  </si>
  <si>
    <t>3, 12, 21, 30, 6, 15, 24</t>
  </si>
  <si>
    <t>All shades of crimson or red, all rose tones and pink</t>
  </si>
  <si>
    <t>Thursday, Friday</t>
  </si>
  <si>
    <t>Sun, Jup, Sat</t>
  </si>
  <si>
    <t>Dasa Dates</t>
  </si>
  <si>
    <t>till 11/1995</t>
  </si>
  <si>
    <t>Bhadakasthana after 10 June 2057</t>
  </si>
  <si>
    <t>till 11/2046</t>
  </si>
  <si>
    <t>till 11/2065</t>
  </si>
  <si>
    <t>Saturn Mahadasa 2057 to 2065</t>
  </si>
  <si>
    <t>Mer, Sat</t>
  </si>
  <si>
    <t>Ven, Mar, Jup</t>
  </si>
  <si>
    <t>Ket+, Sun, Jup, Sat, Mar</t>
  </si>
  <si>
    <t>Ketu/Rahu</t>
  </si>
  <si>
    <t>Rahu 11/Jul/2060 to 18/May/2063</t>
  </si>
  <si>
    <t>Most beneficial</t>
  </si>
  <si>
    <t>Most malefic</t>
  </si>
  <si>
    <t>45°</t>
  </si>
  <si>
    <t>135°</t>
  </si>
  <si>
    <t>Aspects Template</t>
  </si>
  <si>
    <t>Perfect number, balanced, harmonious, family love, domesticity, highly reliable, trustworthy, may be obstinate, devotion to love, romantic, may not be sensual, great love of beauty, extremely magnetic, loved and even worshipped by subordinates and servants, determined in carrying out their plans, may be unyielding except when deeply attached - in such a case they become devoted slaves to those they love, 'mother lover', ideal in all matters of affections, makes most artistc homes, fond of rich colors - paintings - statues - and music, generous to art and artists, loves to entertain friends, makes everyone happy, attractive, great ability to make friends than any other number, hates discord, cannot stand jealousy, in anger willing to fight to death for their loved ones or out of sense of duty.</t>
  </si>
  <si>
    <t>Occult significance, strongly philosophical, spiritual outlook, uninterested in material things, highly intuitive, psychic, exerts mysterious influence over others, introverted tendency, original thinkers, lucky, affinity towards water, restless, love of travel and water, House of the Moon, the first house of water, very independent, strongly marked individuality, loves changes, keenly interested in foreign lands and their culture, devours books on travel, have a wide universal knowledge of the world, extremely good writers, painters or poets, shows a peculiar philosophical outlook in their work, often becomes rich by original ideas or methods of business, makes large donations to charities, women of this number generally marry well as they are anxious the future and need a rock to rest, has good ideas about business, may not carry out their plans, interested in seas and trade, may become merchants or exporters or importers, loves to deal with foreign countries, owners and captains of ships, has peculiar ideas about religion, dislikes to follow a beaten track, creates a religion of their own that appeals to the imagination and is based on mysterious, remarkable dreams, great leaning to occultism, gift of intuition, clairvoyance, peculiar magnetism of their own that has influence over others.</t>
  </si>
  <si>
    <t>Happiness</t>
  </si>
  <si>
    <t>1. Participating in a theater production or attending live performances to indulge in drama and opera.
2. Learning a new dance style or attending dance classes to explore artistic talents and entertainment.
3. Hosting or attending banquets to enjoy good food and merriments with friends and family.
4. Engaging in sports and games such as tennis, golf, or bowling for recreation and amusement.
5. Going to the cinema to watch the latest movies and immerse in the world of entertainment.
6. Playing card games like poker or bridge for a fun and social activity with friends.
7. Solving crossword puzzles to challenge the mind and enjoy a mental workout.
8. Attending horse races to experience the thrill of the sport and maybe even place a bet.
9. Exploring different genres of music through concerts or music festivals for pleasure and relaxation.
10. Engaging in romantic activities such as date nights, picnics, or couples' massages to nurture relationships.
11. Trying luck in lotteries or friendly gambling games for a touch of excitement and the chance to win big.
12. Exploring the stock market for potential gains and to test out luck in investments.
13. Attending festive occasions and celebrations to enjoy the vibrant atmosphere and full satisfaction.
14. Engaging in spiritual practices like chanting mantras or meditation for inner peace and balance.
15. Hosting game nights with friends for a mix of entertainment, socializing, and friendly competition.
16. Taking cooking classes to explore the culinary arts and bond with others over food.
17. Engaging in art and craft activities to tap into creative talents and enjoy the process of making something beautiful.
18. Going on a romantic getaway or planning surprise dates to keep the spark alive in relationships.
19. Participating in community events or volunteering to connect with society and give back to the community.
20. Traveling to exotic locations or attending cultural events to broaden horizons and experience new delights.</t>
  </si>
  <si>
    <t>1. Organizing and hosting art exhibitions or gallery shows to showcase artistic talents and attract wealthy patrons.
2. Investing in entertainment businesses such as theaters, cinemas, or concert venues.
3. Creating and selling artwork or handmade crafts to generate income from artistic talents.
4. Partnering with a skilled gambler to profit from activities like horse racing or stock market betting.
5. Hosting extravagant banquets or events to bring in wealth through social gatherings and entertainment.
6. Collaborating with performers in dance, music, or opera to stage profitable shows.
7. Starting a unique and upscale recreation center or amusement park to attract affluent customers.
8. Participating in high-stakes card games or crossword puzzle tournaments for financial gains.
9. Developing a luxury line of sports equipment or games for the affluent market.
10. Investing in romantic-themed businesses such as dating agencies or high-end gift shops.
11. Producing and selling merchandise related to cinema, drama, or popular entertainment.
12. Partnering with a renowned chef to create a high-end dining experience for wealthy clients.
13. Engaging in liaison work with luxury courtesans to gain access to elite social circles.
14. Organizing exclusive lottery events or private gambling parties for wealth accumulation.
15. Establishing a high-end horse racing stable or betting consultancy for financial success.
16. Engaging in discreet matchmaking services or high-end dating consultancy for wealthy clients.
17. Developing a luxury line of dice games or puzzles for upscale clientele.
18. Collaborating with luxury hotels or resorts for high-end entertainment and leisure activities.
19. Investing in high-profile love affairs or courtships to enhance social status and wealth.
20. Hosting elite diplomatic events or exclusive ambassadorial gatherings for networking and financial opportunities.</t>
  </si>
  <si>
    <t>1. Engage in meditation or mindfulness practices to find inner peace and alleviate mental pain and agitation.
2. Seek counseling or therapy to address any underlying fears and inferiority complexes.
3. Practice acts of self-sacrifice and charity to bring happiness and philanthropic blessings.
4. Donate to charitable institutions to attract aid and support in times of loss and limitation.
5. Explore occult studies or spiritual practices for success in occult affairs and hidden knowledge.
6. Travel to far-off places to experience new perspectives and opportunities for growth.
7. Embrace solitude and secrecy to reflect on self-undoing and seek inner peace.
8. Invest in sound sleep and relaxation techniques to combat wretchedness.
9. Learn about the mysteries of psychic research and investigate hidden aspects of life.
10. Volunteer in jails or asylums to bring comfort and support to prisoners and invalids.
11. Engage in laborious work to overcome obstacles and financial limitations.
12. Support loved ones going through trials and tribulations with acts of kindness and charity.
13. Strengthen your bond with your mother through communication and understanding during her long journeys.
14. Embrace self-care practices to alleviate mental pain and promote comfort and healing.
15. Protect your family from danger and disruption by being vigilant and cautious.
16. Show generosity and compassion towards banished persons or malfactors for spiritual growth.
17. Stay vigilant against envy and malice by nurturing positive relationships and avoiding treacherous situations.
18. Explore the secrets of the mind through detective work or conspiracy investigation for personal growth.
19. Practice gratitude and humility to overcome jealousy and social barriers in your life.
20. Create a safe and secure environment at home to protect your loved ones from unexpected troubles and dangers.</t>
  </si>
  <si>
    <t>*Short term trading*</t>
  </si>
  <si>
    <t>Moon = Intraday</t>
  </si>
  <si>
    <t>Mercury = 1 week</t>
  </si>
  <si>
    <t>Venus = 2 to 3 weeks</t>
  </si>
  <si>
    <t>Sun = 1 month</t>
  </si>
  <si>
    <t>*Long-term*</t>
  </si>
  <si>
    <t>Jupiter = 1 year</t>
  </si>
  <si>
    <t>Saturn = 2-1/2 years</t>
  </si>
  <si>
    <t>20 April to 20 May
21 September to 20 October
21 December to 20 January
21 January to 18 February</t>
  </si>
  <si>
    <t>21 June to 20 July
21 December to 20 January
21 January to 18 February</t>
  </si>
  <si>
    <t>21 November to 20 December
19 February to 20 March
20 April to 20 May
21 September to 20 October</t>
  </si>
  <si>
    <t>21 November to 20 December
19 February to 20 March
21 March to 19 April
21 October to 20 November</t>
  </si>
  <si>
    <t>Benefic Ketu</t>
  </si>
  <si>
    <t>Benefic Rahu</t>
  </si>
  <si>
    <t>Rahu + Ketu</t>
  </si>
  <si>
    <t>Benefic Mercury</t>
  </si>
  <si>
    <t>Malefic Moon</t>
  </si>
  <si>
    <t>Moon + Mercury</t>
  </si>
  <si>
    <t>Benefic Sun</t>
  </si>
  <si>
    <t>Sun + Mercury</t>
  </si>
  <si>
    <t>Sun + Moon</t>
  </si>
  <si>
    <t>Benefic Mars</t>
  </si>
  <si>
    <t>Mars + Mercury</t>
  </si>
  <si>
    <t>Malefic Venus</t>
  </si>
  <si>
    <t>Moon + Venus</t>
  </si>
  <si>
    <t>Malefic Saturn</t>
  </si>
  <si>
    <t>Sun + Saturn</t>
  </si>
  <si>
    <t>Benefic Sun + Malefic Venus</t>
  </si>
  <si>
    <t>Netural</t>
  </si>
  <si>
    <t>Ruby, Sunstone, Red spinel, Rhodolite garnet</t>
  </si>
  <si>
    <t>Pearl, Moonstone, Selenite, Clear Quartz, Aquamarine</t>
  </si>
  <si>
    <t>Hessonite</t>
  </si>
  <si>
    <t>Emerald, Peridot, Green Calcite, Green Aventurine</t>
  </si>
  <si>
    <t>Diamond, White Sapphire and Opal</t>
  </si>
  <si>
    <t>Blue Sapphire, Blue Agate, Amethyst, Black diamond</t>
  </si>
  <si>
    <t>Cat’s Eye</t>
  </si>
  <si>
    <t>Red Coral, Red Jasper, Carnelian, Bloodstone</t>
  </si>
  <si>
    <t>E</t>
  </si>
  <si>
    <t>F</t>
  </si>
  <si>
    <t>G</t>
  </si>
  <si>
    <t>H</t>
  </si>
  <si>
    <t>I</t>
  </si>
  <si>
    <t>J</t>
  </si>
  <si>
    <t>K</t>
  </si>
  <si>
    <t>L</t>
  </si>
  <si>
    <t>M</t>
  </si>
  <si>
    <t>N</t>
  </si>
  <si>
    <t>O</t>
  </si>
  <si>
    <t>P</t>
  </si>
  <si>
    <t>Q</t>
  </si>
  <si>
    <t>R</t>
  </si>
  <si>
    <t>S</t>
  </si>
  <si>
    <t>T</t>
  </si>
  <si>
    <t>U</t>
  </si>
  <si>
    <t>V</t>
  </si>
  <si>
    <t>W</t>
  </si>
  <si>
    <t>X</t>
  </si>
  <si>
    <t>Y</t>
  </si>
  <si>
    <t>Z</t>
  </si>
  <si>
    <t>Alphabet</t>
  </si>
  <si>
    <t>Number</t>
  </si>
  <si>
    <t>Compound Numbers</t>
  </si>
  <si>
    <t>Symbolized as the "Wheel of Fortune". It is a number of honor, faith, and self-confidence, of rise and fall; one's name will be known for good or evil, according to one's desires; it is a fortunate number in the sense that one's plans are likely to be carried out.</t>
  </si>
  <si>
    <t>This is an omnious number to occultists. It gives warning of hidden dangers, trial, and treachery from others. It has a symbol of 'a Clenched Hand' and 'Lion Muzzled' and of person will have great difficulties to contend against.</t>
  </si>
  <si>
    <t>The symbolism of this number is suffering and anxiety of mind. It is also indicated as 'the Sacrifice' or the 'the Victim' and generally foreshadows one being sacrificed for the plans or intriques of others.</t>
  </si>
  <si>
    <t>This is a number indicating change of plans, place, and such like, and is not unfortunate, as is generally supposed. In some of the ancient writings it is said, 'He who understands the number 13 will be given power and dominion.' It is symbolized by the picture of 'a Skeleton' or 'Death,' with a scythe reaping down men in a field of new-grown grass where young faces and heads appear cropping up on every side. It is a number of upheavel and destruction. It is a symbol of 'Power' which if wrongly used will wreak destruction upon itself. It is a number of warning of the unknown or unexpected if it becomes a 'compound' number in one's calculations.</t>
  </si>
  <si>
    <t>Hidden Influences and Destiny</t>
  </si>
  <si>
    <t>This is a number of movement, combination of people and things and danger from natural forces, such as tempests, water, air or fire. This number is fortunate for dealings with money, speculation, and changes in business, but there is always a strong element of risk and danger attached to it, but generally owing to the actions and foolhardiness of others. If this number comes out in calculations of future events, the person should be warned to act with caution and prudence.</t>
  </si>
  <si>
    <t>This is a number of occult significance of magic and mystery; but as a rule it does not represent the higher side of occultism; its meaning being that the persons represented by it will use every art of magic they can, to carry out their purpose. If associated with a good or fortunate single number, it can be very lucky and powerful, but if associated with one of the peculiar numbers, such as 4 or 8, the person it represents will not have any scruples to use any sort of art or even 'black magic' to gain what he or she desires. It is peculiarly associated with 'good talkers', often with eloquence, gifts of Music and Art and a dramatic personality combined with a certain voluptuous temperament and strong personal magnetism. For obtaining money, gifts and favours from others, it is a fortunate number.</t>
  </si>
  <si>
    <t>This number has the most peculiar symbolism. It is pictured by 'a tower struck by lightening from which a man is falling with a crown on his head.' It is called 'the Shattered Citadel.' It gives warning of some strange fatality awaiting one, also danger of accidents and defeat of one's plans. If it appears as a 'compound' number relating to the future, it is a warning sign that should be carefully noted and plans made in advance in the endeavour to avert its fatalistic tendency.</t>
  </si>
  <si>
    <t>This is highly spiritual number and is expressed in symbolism by the 8-pointed star of Venus: a symbol of 'Peace and Love.' It is also called 'the Star of the Magi' and expresses that the person it represents has rises superior to the trials and difficulties of his life or his career. It is considered a 'number of immortality' and that the person's name 'lives after him.' It is a fortunate number if it works out in relation to future events provided it is not associated with the single numbers of 4 and 8.</t>
  </si>
  <si>
    <t>This number has a difficult symbolsim to translate. It is pictured as 'a rayed moon from which drops of blood are falling; a wolf and a hungry dog are seen below catching the falling drops of blood in their open mouths, while still lower a crab is seen hastening to join them.' It is a symbolic of materialism striving to destroy the spiritual side of the nature. It generally associates a person with bitter quarrels, even family ones, also with war, social upheavals, revolutions and in some cases it indicates making money and position through wars or by wars. It is, however, a warning of treachery, deception by others, also danger from the elements, such as storms, danger from water, fire, and explosion. When this 'compound number' appears in working out dates in advance, such a date should be taken with a great amount of care, caution and circumspection.</t>
  </si>
  <si>
    <t>This number is regarded as fortunate and extremely favourable. It is symbolised as 'the Sun' and is called 'the Prince of Heaven.' It is a number promising happiness, success, esteem, honour, and success in one's plans for the future.</t>
  </si>
  <si>
    <t>This number is called 'the Awakening'; also 'the Judgement.' It is symbolised by the figure of a winged angel sounding a trumpet, while from below a man, a woman and a child are seen rising from a tomb with their hands clasped in prayer. This number has a peculiar interpretation: the awakening of new purposes, new plans, new ambitions, the call to action but for some great purpose, cause, or duty. It is not material number and consequently is a doubtful as far as worldly success is concerned. If used in relation to a future event, it denotes delays, hindrances to one's plans, which can only be conquered through the development of the spiritual side of one's nature.</t>
  </si>
  <si>
    <t>This number is symbolized by the picture of 'the Universe' and it is also called 'the Crown of the Magi.' It is a number of advancement, honors, elevation in life, and general success. It means victory after a long fight for 'the Crown of the Magi' is only gained after long initiation and tests of determination. It is a fortunate number of promise if it appears in any connection with future events.</t>
  </si>
  <si>
    <t>This number is symbolized by 'a Good Man blinded by the folly of others, with a knapsack on his back full of Errors.' In this picture he appears to offer no defence against a ferocious tiger which is attacking him. It is a warning number of illusion and delusion, a good person who lives in a fool's paradise; a dreamer of dreams who awakens only when surrounded by danger. It is also a number of false judgement owing to the influence of others. As a number in connection with future events its warning and meaning should be carefully noted.</t>
  </si>
  <si>
    <t>This number is full of the gravest warning for the future. It foreshadows disasters brought about by association with others; ruin by bad speculations, by partnerships, unions and bad advice. If it comes out in connection with future events one should carefully consider the path one is treading.</t>
  </si>
  <si>
    <t>This number is also fortunate. It promises the assistance and association of those of rank and position with one's plans. It also denotes gain through love and the opposite sex. It is a favourable number when it comes out in relation to future events.</t>
  </si>
  <si>
    <t>This is a number denoting strength gained through experience and benefits obtained through observation of people and things. It is not deemed exactly 'lucky,' as its success is given through strife and trials in the earlier life. It is favourable when it appears in regard to the future.</t>
  </si>
  <si>
    <t>This is a good number and is symbolized as 'the Sceptre.' It is a promise of authority, power, and command. It indicates that reward will come from the productive intellect; that the creative faculties have sown good seeds that will reap a harvest. Persons with this 'compound' number should carry out their own ideas and plans. It is a fortunate number if it appears in any connection with future events.</t>
  </si>
  <si>
    <t>This number is full of contradictions. It indicates a person of great promise and possibilities who is likely to see all taken away from him unless he carefully provides for the future. It indicates loss through trust in others, opposition, and competition in trade, danger of loss through law and the likelihood of having to begin one's life's over and over again.</t>
  </si>
  <si>
    <t>Unsettled wedded life, partner more intelligent, shrewd, partner younger, may be employed, marriage by advertisement, litigation and legal dispute if afflicted. Loss of vitality, showy, happy mother, many vehicles, adulterous.</t>
  </si>
  <si>
    <t>Sympathetic, obliging, higher education, successful, good in music, arts, happy long journey, success in foreign land, may marry out of caste or a foreigner, reputation, good fortune, head of infantry, may fall in love with teachers or Purohits daughter, high position, honour.</t>
  </si>
  <si>
    <t>This number indicates uncertainties, treachery, and deception by others; it foreshadows trials, tribulation and unexpected dangers, unreliable friend, grief, and deception caused by members of the opposite sex. It gives warnings if it comes out in anything concerning future events.</t>
  </si>
  <si>
    <t>This is a number of thoughtful deduction, introspections and mental superiority over one's fellowmen, but, as it seems to belong completely to the mental plane, the persons it represents are likely to put all material things on one side - not because they have to, but because they wish to do so. For this reason, it is neither fortunate nor unfortunate, for either depends on the mental outlook of the person it represents. It can be all powerful, but it is just as often indifferent according to the will or desire of the person.</t>
  </si>
  <si>
    <t>This number is very similar to the preceding one, except that the person it represents is even more self-contained, lonely and isolated from his fellowmen. It is not a fortunate number from a wordly or material standpoint.</t>
  </si>
  <si>
    <t>This number has a magical power like the single 5 or the 'compound' numbers 14 and 23. It is usually associated with combinations of people or nations. It is a fortunate number if the person it represents hold to his own judgement and opinions; if not, his plans are likely to become wrecked by the stubbornness and stupidity of others. It is a favourable number if it appears in connection with future events.</t>
  </si>
  <si>
    <t>This number has a distinct potency of its own. It is a number of good and fortunate friendship in love and in combinations connected with the opposite sex. It is also good for partnerships of all kinds. It is a fortunate indication if it appears in connection with future events.</t>
  </si>
  <si>
    <t>This is an unfortunate nnumber. It is symbolized by the signs of revolution, upheavel, strife, failure and prevention and is not a fortunate number if it comes out in calculations relating to future events.</t>
  </si>
  <si>
    <t>This number has very powerful potency of its own. It represents the nature of the warrior. It promises sudden advancement in whatever one undertakes. It is especially favourable for those in military or naval life and for leaders in any cause. At the same time it threatens enemies, danger and the likelihood of assassination.</t>
  </si>
  <si>
    <t>GivenName without space</t>
  </si>
  <si>
    <t>Destiny</t>
  </si>
  <si>
    <t>This number is called 'the Royal Star of the Lion.' It is a promise of success, help from superiors and protection from those in high places. In dealing with future events, it is a most fortunate number and a promise of success for one's plans.</t>
  </si>
  <si>
    <t>1. Engaging in physical exercise to boost vitality and improve overall physical stature.
2. Wearing clothes in colors that uplift and enhance your personal appearance.
3. Taking up a new hobby or activity that challenges your physical constitution and endurance.
4. Practicing yoga or meditation to cultivate inner strength and vitality.
5. Experimenting with different forms of creative expression to boost self-confidence.
6. Participating in activities that allow you to showcase your unique personality and individuality.
7. Setting personal goals and taking active steps towards achieving them to boost motivation and drive.
8. Embracing your physical shape and form through activities like dance or movement therapy.
9. Engaging in activities that enhance your self-awareness and self-image.
10. Creating a vision board to visualize and manifest your ambitions and goals.
11. Trying new hairstyles or makeup looks to enhance your physical appearance and boost self-confidence.
12. Taking on leadership roles to exercise your sense of autonomy and determination.
13. Engaging in activities that align with your life purpose and direction.
14. Practicing positive affirmations to boost self-esteem and self-awareness.
15. Volunteering for a cause that resonates with your values and virtues.
16. Participating in team sports to cultivate a sense of camaraderie and teamwork.
17. Setting boundaries and asserting your individuality in social interactions.
18. Trying out new activities that push you out of your comfort zone and foster personal growth.
19. Seeking out mentorship or guidance to help clarify your life path and goals.
20. Reflecting on past achievements to boost self-confidence and celebrate your strengths.</t>
  </si>
  <si>
    <t>1. Invest in building personal branding to attract wealth.
2. Invest in personality building to attract beneficiaries to you.
3. Start a personal initiative to acquire wealth.
4. Work on personal finance.
5. Prepare a personal life path towards financial freedom.
6. Start a budgeting and savings plan to increase wealth.
7. Start a new business venture in your own name to increase wealth.
8. Set specific financial goals and work towards achieving them.
9. Network with successful individuals to gain motivation and drive.
10. Start a side hustle to increase your income streams.</t>
  </si>
  <si>
    <t>Fortune, Money, Wealth</t>
  </si>
  <si>
    <t>1. Budget planning session to optimize your finances.
2. Investing in stocks and shares for potential gains.
3. Reviewing and updating your financial portfolio.
4. Visiting a financial advisor for wealth management advice.
5. Organizing your important documents and bonds.
6. Shopping for precious metals or jewelry as an investment.
7. Researching opportunities for real estate investments.
8. Negotiating better terms on existing mortgages or loans.
9. Assessing your savings and setting new financial goals.
10. Decluttering and selling unused possessions for extra cash.
11. Revisiting your spending habits and identifying areas for improvement.
12. Setting up a trust fund or financial safety net for family members.
13. Purchasing insurance policies for added protection.
14. Updating your will and estate planning documents.
15. Exploring new sources of income or side hustles.
16. Researching the gem trade for potential investment opportunities.</t>
  </si>
  <si>
    <t>1. Organize a financial planning workshop for close family members.
2. Invest in precious metals like gold or silver for long-term financial gain.
3. Practice gratitude journaling to cultivate happiness and attract wealth.
4. Start a savings challenge to boost your bank balance.
5. Take a public speaking course to improve oratorical abilities.
6. Update your will and other important documents for financial security.
7. Treat yourself to a luxurious spa day to pamper yourself and boost happiness.
8. Attend a gem trade show to expand your knowledge and potential investments.
9. Volunteer at a local charity to experience the joy of giving back.
10. Treat yourself to a special piece of jewelry as a symbol of your financial success.
11. Plan a family gathering to strengthen bonds and create lasting memories.
12. Practice mindful spending to balance being economical and enjoying luxuries.
13. Attend a workshop on truthfulness and integrity in financial dealings.
14. Upgrade your wardrobe with quality garments to enhance your image and confidence.
15. Create a vision board with your financial goals and aspirations to stay motivated.
16. Learn a new language to improve your communication skills and broaden your opportunities.
17. Start a daily affirmation practice to attract abundance and positivity into your life.</t>
  </si>
  <si>
    <t>1. Starting a small business related to communication devices or telecommunication services
2. Writing a blog or creating content and monetising it
3. Investing in vehicles or transportation businesses to increase your wealth
4. Participating in negotiations or bargaining to secure better financial deals
5. Launching a radio show or podcast on favorite topics and monetising it
6. Signing contracts or agreements to secure lucrative business opportunities
7. Collaborating with a public relations officer to enhance your financial image
8. Keeping a journal to track your financial progress and set goals
9. Seeking out information officers or journalists for financial advice and insights
10. Visiting libraries or bookstores to expand your financial knowledge through reading</t>
  </si>
  <si>
    <t>1. Engaging in mental exercises like puzzles or brain teasers to improve memory and intelligence.
2. Taking up a new course of study or learning a new skill to enhance mental abilities.
3. Writing letters to friends and family members to strengthen connections with neighbors and cousins.
4. Going on a short trip to a neighboring country to experience new cultures and expand horizons.
5. Sending postcards or gifts to loved ones to show appreciation and strengthen relationships.
6. Engaging in mathematics or accounting tasks to improve analytical skills.
7. Participating in a public speaking event or giving a presentation to boost courage and confidence.
8. Going for a walk or drive to clear the mind and alleviate restlessness.
9. Watching educational television programs to stimulate the mind and learn new information.
10. Visiting a library or book store to immerse oneself in knowledge and expand intellectual horizons.
11. Starting a journal or writing down thoughts and reflections to enhance communication skills.
12. Trying out a new form of communication technology, such as video calls or teleconferencing.
13. Engaging in physical exercises that strengthen the shoulders and collar bones for better posture.
14. Having meaningful conversations with siblings or cousins to deepen familial bonds.
15. Organizing a gathering with neighbors to foster a sense of community and friendship.
16. Writing a news article or report to practice journalism skills and share information with others.
17. Mediating a conflict between friends or family members to demonstrate diplomacy and negotiation skills.
18. Learning how to cook a new recipe with edible roots to enjoy good food and nourish the body.
19. Reading a book on a topic that interests you to stimulate the mind and enhance knowledge.
20. Taking a moment to appreciate the beauty of nature and the world around you to promote happiness and well-being.</t>
  </si>
  <si>
    <t>1. Spend quality time with your mother, reminiscing about happy memories.
2. Redecorate or rearrange your home to create a more uplifting environment.
3. Visit a grave or memorial site to honor and remember loved ones.
4. Engage in a private meditation or self-reflection practice.
5. Take a scenic drive through fields or pastures to appreciate the beauty of nature.
6. Plant flowers or tend to a garden to bring joy and happiness.
7. Explore ancient dwellings or visit monuments to connect with history and culture.
8. Invest in real estate or explore opportunities in property management.
9. Attend an agriculture or gardening workshop to learn new skills.
10. Take a leisurely boat ride on a peaceful body of water.
11. Visit a small well or pond for a moment of tranquility.
12. Create art or engage in a creative hobby to express yourself.
13. Study Vedic or secret texts to expand your knowledge and wisdom.
14. Explore the benefits of herbal remedies for health and well-being.
15. Plan a treasure hunt or visit a museum to appreciate antiques.
16. Enroll in a course or workshop at a school or college to broaden your skills.
17. Host a gathering in a tent or pavilion to celebrate with loved ones.
18. Donate to a trust or charity to spread happiness and goodwill.
19. Clear out any false allegations or negative energies from your home.
20. Practice gratitude for the hereditary properties and treasures in your life.</t>
  </si>
  <si>
    <t>1. Investing in real estate or property could lead to increased wealth and financial prosperity.
2. Investing in agriculture that could attract fortune and money.
3. Teach or run a library using ancient texts or Vedic knowledge that could bring financial opportunities related to learning.
4. Researching hereditary properties or treasures could uncover financial opportunities.
5. Engaging in activities related to schools or colleges may bring financial benefits through education.
6. Hosting a trust-related event at your home could attract financial opportunities.
7. Investing in mining that could lead to financial opportunities related to mines.
8. Investing in orchards and fruit trees to attract financial prosperity.
9. Taking care of vehicles or investing in vehicle-related businesses might bring financial benefits.
10. Investing in the art of milk production to lead to financial opportunities.</t>
  </si>
  <si>
    <t>1. Hiring and managing efficient employees to improve financial success.
2. Establishing a debt repayment plan to secure financial stability and prosperity.
3. Investing in pet care services to bring good fortune and happiness.
4. Cultivating herbs for health benefits and potential financial gain.
5. Participating in competitions to attract wealth and overcome obstacles.
6. Seeking advice from maternal uncles for financial wisdom and prosperity.
7. Implementing strict security measures to prevent theft and protect assets.
8. Starting a small-scale industry to generate wealth and prosperity.
9. Securing investments made by a partner to protect joint wealth.
10. Supporting the first child's career development to enhance family wealth.
11. Enhancing the father's business operations to ensure financial security.
12. Collaborating with partners to make wise investments and boost collective wealth.
13. Joining a new job.
14. Taking an initiative to perform better in a job.</t>
  </si>
  <si>
    <t>1. Creating a daily gratitude journal to promote happiness and well-being.
2. Implementing a healthy meal plan to improve dietary habits and nourish the body.
3. Organizing a team-building activity with colleagues to strengthen job relationships.
4. Volunteering at a local shelter to help those in need and promote happiness.
5. Hiring a personal trainer to improve physical health and well-being.
6. Adopting a pet to bring joy and companionship into your life.
7. Hosting a clothing drive to help those in need and promote a sense of community.
8. Participating in a cooking class to improve culinary skills and nourish the body.
9. Organizing a charity event to give back to the community and promote happiness.
10. Setting up a weekly cleaning schedule to improve hygiene and sanitation in your home.
11. Planting an herb garden to promote health and well-being through natural remedies.
12. Starting a meditation practice to reduce anxiety and promote inner peace.
13. Hosting a competition at work to boost morale and foster a sense of teamwork.
14. Building an obstacle course to challenge yourself and improve problem-solving skills.
15. Planning a family gathering to strengthen familial bonds and promote happiness.
16. Organizing a fundraiser to support a cause you are passionate about.
17. Starting a new hobby to bring joy and fulfillment into your life.
18. Monitoring eye health to avoid frequent troubles.
19. Setting aside time for self-care activities like a spa day or relaxation retreat.
20. Joining a community sports team to improve physical health and build new relationships.</t>
  </si>
  <si>
    <t>1. Get married or spend time with your married partner
2. Participate in an international trade
3. Invest in a business partner
4. Attend public events
5. Put effort to recover lost property, if any
6. Sign contracts in your relationships
7. Meet with your father's friends
8. Focus on your legal bondage to strengthen the happiness in your relationships
9. Mingle freely in society to uplift your spirits
10. Protect and secure yourself and your family from danger by secret enemies and thieves
11. Working with your business partner to create a harmonious and happy environment
12. Taking care of your mother's property and vehicle to ensure her happiness
13. Managing your servants' money and affairs to maintain a sense of happiness and security
14. Breaking the journey to focus on self-care and bring happiness into your life</t>
  </si>
  <si>
    <t>1. Forming a business partnership that leads to increased wealth and fortune.
2. Attending public meetings or events that bring financial opportunities.
3. Negotiating contracts that result in financial gains.
4. Seeking legal advice to protect finances and assets.
5. Engaging in international trade to increase wealth.
6. Investing in foreign affairs that lead to financial growth.
7. Recovering lost property that holds significant value.
8. Collaborating with a business partner to enhance financial success.
9. Participating in activities that boost reputation and honor in society.
10. Meeting with father's friends for potential partnership opportunities.
11. Taking risks in business that result in financial rewards.
12. Traveling abroad for business purposes to expand wealth.
13. Dealing with legal matters that protect financial interests.
14. Engaging in public relations activities that increase financial opportunities.
15. Making strategic decisions that improve financial stability.
16. Protecting assets from potential danger by secret enemies.
17. Investing in mother's property or vehicle for financial growth.
18. Consulting with legal experts to handle fines or legal issues related to finances.</t>
  </si>
  <si>
    <t>1. Review your estate planning documents to ensure your inheritance is properly organized.
2. Seek financial advice to maximize your wealth and investments.
3. Consider purchasing life insurance for added security.
4. Participate in a financial literacy workshop to improve your money management skills.
5. Update your will to reflect your current wishes and ensure smooth inheritance distribution.
6. Analyze your current insurance policies to make sure you are adequately covered.
7. Research potential investment opportunities to grow your wealth.
8. Explore opportunities for passive income streams to increase your wealth.
9. Reflect on your relationship with money and consider any limiting beliefs that may be hindering financial growth.
10. Review your current debt situation and create a plan to pay off any outstanding loans.
11. Consider setting up a trust fund to secure your assets for future generations.</t>
  </si>
  <si>
    <t>1. Participating in activities that promote longevity and good health, such as yoga or meditation.
2. Planning for the future by reviewing inheritance and legacy arrangements.
3. Exploring mystery and spiritual practices to find inner peace and happiness.
4. Reflecting on past misfortunes and finding ways to move forward with positivity.
5. Taking precautions to prevent accidents and ensure safety in all aspects of life.
6. Starting a new medical treatment.
7. Being mindful of public morality and ethical considerations in all your actions.
8. Donating to causes that support those affected by national calamities or epidemics.
9. Volunteering for calamities, accidents, or epidemics or medical emergencies.
10. Taking steps to address any deficits or debts to improve financial stability.
11. Planning for contingencies and unexpected events by considering insurance options.
12. Attend therapy or counseling sessions for emotional healing and support.
13. Join a support group to connect with others facing similar challenges and share experiences.
14. Seek out therapy or counseling to work through past traumas and find healing.
15. Seek out professional help if struggling with mental health issues to receive proper support and treatment.</t>
  </si>
  <si>
    <t>1. Meditating for inner peace and happiness
2. Attending religious ceremonies or services
3. Exploring different philosophies and belief systems
4. Studying ancient texts or scriptures
5. Taking up a course on spirituality or religion
6. Participating in charity work or donations to support spiritual causes
7. Going on a pilgrimage to a sacred place
8. Engaging in discussions about faith and wisdom
9. Conducting research on spiritual topics
10. Teaching others about the importance of faith and wisdom
11. Writing a book on religious or philosophical themes
12. Visiting temples, churches, or mosques for spiritual guidance
13. Organizing a radio show on spirituality and religion
14. Donating to national trade import and export organizations
15. Volunteering at universities to promote spiritual education
16. Going on a journey to explore mythological sites
17. Seeking legal arbitration for spiritual matters
18. Keeping a dream journal to reflect on visions and messages
19. Donating to wells or reservoir projects for communities
20. Practicing clarity of mind through meditation and introspection</t>
  </si>
  <si>
    <t>1. Start or progress in spiritual consultancy or occult science teaching.
2. Invest in higher education especially related to occult science.
3. Seek guidance from a wise mentor or guru for financial advice.
4. Write and publish a book to increase passive income.
5. Share your financial knowledge with others through teaching or writing. Monetize it.
6. Plan long journeys for business or financial gain.
7. Attend financial workshops or seminars for valuable insights.
8. Conduct research on financial trends and opportunities.
9. Seek legal advice to protect your financial interests.
10. Initiate projects related to import-export trade for monetary benefits.</t>
  </si>
  <si>
    <t>1. Taking on a leadership role in a professional organization to enhance your reputation and status.
2. Engaging in public speaking engagements to boost your public name and fame.
3. Seeking a promotion or advancement in your career to increase your power and prestige.
4. Establishing a solid credit history to improve your financial standing and conduct.
5. Participating in networking events to elevate your rank and success in your field.
6. Investing in your education or professional development to enhance your respect and reputation.
7. Pursuing ambitious career goals to increase your authority and influence.
8. Launching a new business venture to expand your worldly activities and responsibilities.
9. Taking on a leadership position in a community organization to solidify your permanency and reputation.
10. Working towards securing a government appointment to boost your prestige and authority.
11. Engaging in activities related to your profession or occupation to enhance your reputation.
12. Seeking recognition from your employer or master to elevate your standing in your workplace.
13. Taking steps to ensure the well-being of your children to protect your permanent possessions.
14. Building a strong relationship with your business partners to enhance your prosperity and wealth.
15. Starting or strengthening a joint venture partnership</t>
  </si>
  <si>
    <t>1. Engaging in activities that enhance your professional skills and expertise
2. Taking steps to improve your public image and reputation
3. Seeking opportunities for career advancement and promotion
4. Building a strong network of influential contacts
5. Participating in public speaking engagements or leadership roles
6. Engaging in activities that boost your confidence and sense of authority
7. Pursuing opportunities to showcase your talents and achievements
8. Getting involved in community service or charitable work to enhance your standing
9. Investing time and effort in your long-term career goals
10. Taking on responsibilities that demonstrate your commitment and dedication
11. Attending networking events or industry conferences to expand your influence
12. Seeking mentorship or guidance from respected professionals in your field
13. Working on projects that showcase your leadership abilities
14. Building a strong online presence to enhance your professional reputation
15. Volunteering for leadership roles in professional organizations
16. Taking steps to improve your professional image and branding
17. Seeking out opportunities for career growth and development
18. Engaging in activities that demonstrate your expertise and knowledge</t>
  </si>
  <si>
    <t>1. Organize a gathering with close friends and well-wishers to celebrate your achievements and success.
2. Join a community service project to bring happiness to those in need and strengthen your bond with your friends and society.
3. Seek advice and guidance from your advisors and associates on how to fulfill your aspirations and ambitious goals.
4. Write about your experiences and share them with your supporters and admirers to inspire others.
5. Participate in a legislative assembly or municipal body to contribute to government policies and planning.
6. Engage in pleasurable pursuits with your partner to enhance your peace of mind and prosperity.
7. Seek recovery from illness by relying on the support of your friends and well-wishers.
8. Plan a long journey with your close associates to experience freedom from misery and relief from pain.
9. Establish a partnership or permanent tie of friendship with someone who brings luck and easy gains.
10. Support your elder sibling in their endeavors to strengthen your influence and paternal uncle's trust.
11. Visit a museum or cultural institution with your friends and associates to gain knowledge and income insights.
12. Engage in unconventional activities or pleasure pursuits with your partner to bring happiness and prosperity.
13. Participate in cooperative stores or societies to exchange amenities and foster community relationships.
14. Seek advice from your ministers or advisors to overcome enemies and achieve victory in your endeavors.
15. Plan a short journey with your father to seek good fortune and prosperity in your endeavors.
16. Stay devoted to your spiritual practices and seek blessings for the happiness and longevity of your mother.</t>
  </si>
  <si>
    <t>1. Organize a fundraising event for a your charity or your community project to attract wealth and fortune.
2. Host a networking event to connect with influential individuals who can help bring financial success.
3. Start a savings or investment club with friends to increase wealth collectively.
4. Seek advice from financial advisors or mentors to guide you towards prosperity.
5. Join a professional association or group that aligns with your career aspirations for financial gains.
6. Engage in activities that promote international relations to open up opportunities for wealth from abroad.
7. Collaborate with friends on a business venture or project to increase profits and progress.
8. Participate in speculative investments with the support of knowledgeable associates.
9. Write a business plan or proposal to attract financial support from investors or partners.
10. Attend a workshop or seminar on wealth-building strategies to enhance your financial situation.
11. Explore new ways to generate income through unconventional activities or side hustles.
12. Seek partnership opportunities in business or personal endeavors to increase wealth.
13. Strengthen ties with your elder brother or brother-in-law for financial support and luck.
14. Stay informed about government policies and economic trends to make informed decisions for financial gains.</t>
  </si>
  <si>
    <t>1. Engage in meditation practices to find inner peace and happiness despite external limitations.
2. Join a charitable organization or volunteer to help those in need, bringing joy to yourself and others.
3. Invest time and effort in understanding the mysteries of life and the occult, expanding your knowledge and finding fulfillment.
4. Explore foreign lands and cultures to broaden your horizons and experience personal growth.
5. Donate to causes that resonate with you, fostering a sense of purpose and satisfaction.
6. Practice acts of self-sacrifice and generosity to cultivate a sense of fulfillment and contentment.
7. Embrace solitude and engage in introspection to find peace and clarity amidst life's challenges.
8. Seek aid from charitable institutions or support groups to navigate difficult times and find solace.
9. Pursue activities related to psychic research or investigation to uncover hidden truths and gain a deeper understanding of the world.
10. Take up detective work or engage in problem-solving activities to stimulate your mind and overcome obstacles.
11. Participate in secret societies or groups focused on uncovering mysteries to satisfy your curiosity and sense of adventure.
12. Find comfort in the support of loved ones and family members, even if physically separated, to experience happiness despite distance.
13. Invest in activities that promote mental well-being and sound sleep, such as relaxation techniques or creating a soothing bedtime routine.
14. Explore the depths of your mind through creative endeavors or journaling to process emotions and alleviate mental pain.
15. Engage in physical activities that promote bodily health and well-being, such as yoga or exercise, to combat feelings of wretchedness.
16. Seek solace in nature or animals to find peace and joy in simple pleasures despite external challenges.
17. Practice gratitude and positive thinking to shift your focus towards happiness and away from fear and inferiority complex.
18. Embrace opportunities for personal growth and self-improvement, even in the face of obstacles and restrictions.
19. Connect with your spiritual beliefs and practices to find strength and comfort during difficult times.
20. Engage in acts of kindness and compassion towards others to foster a sense of happiness and fulfillment.</t>
  </si>
  <si>
    <t>Fortuna in</t>
  </si>
  <si>
    <t>First House:</t>
  </si>
  <si>
    <t>12:18 pm (noon) tomorrow 20 May 2024</t>
  </si>
  <si>
    <t>Yellow Sapphire, Topaz, Amber</t>
  </si>
  <si>
    <t>Method 2: LSRD Method</t>
  </si>
  <si>
    <t>Moon's Star Lord</t>
  </si>
  <si>
    <t>Moon's Rasi Lord</t>
  </si>
  <si>
    <t>Key</t>
  </si>
  <si>
    <t xml:space="preserve">Key: Mars = 1+8 = 9, Venus = 2+7=9, Mercury = 3+6=9, Moon=4, Sun=5, Jupiter = 9+12=21, Saturn = 10+11=21.
Example: Mercury owns Gemini and Virgo. Counting  from Aries, Gemini = 3, Virgo = 6. Total = 9.
</t>
  </si>
  <si>
    <t>Disclaimer: I have personally not checked the validity of the LSRD method.</t>
  </si>
  <si>
    <t>It is mentioned by one of my students that whenever we calculate % of marks in an examination, if Jupiter comes, then take 60 as the Key number for Jupiter. Unsure of the logic.</t>
  </si>
  <si>
    <t>Health Chart</t>
  </si>
  <si>
    <t>Relationship Vastu Zones</t>
  </si>
  <si>
    <t>Tall, black, face not round, hair also black, intelligent, concentrates, can meditate, fond of science, mathematics, Statistics, Literature, trouble through cousins, litigations, false complaints, being black-mailed, danger for reputation.</t>
  </si>
  <si>
    <t>Ambitious. aspiring, assertive, bold, rash, cruel, wicked, burn or scar in the head, pilfering habits, commands respect, danger to elders, wandering, both constructive and destructive. Bold, generous, angry, haughty, selfish, careful, fond of other sex, quarrelsome, fond of travels, change-seaman, Chemist, Doctor, daring, independent, rash, strong stubborn, aspiring ambitious, face with scars and cuts.</t>
  </si>
  <si>
    <t>6, 8, 12 are afflicted houses</t>
  </si>
  <si>
    <t>7 = 2, 6, 7, 10, 11 Favor
7 = 5, 8, 12 Loss</t>
  </si>
  <si>
    <t>7 = 4</t>
  </si>
  <si>
    <t>Status quo for now. No losses also. No major growth also.</t>
  </si>
  <si>
    <t>Ajit</t>
  </si>
  <si>
    <t>Wear 1 carat for up to 10 kg of your body weight</t>
  </si>
  <si>
    <t>9, 6</t>
  </si>
  <si>
    <t>9, 12, 1</t>
  </si>
  <si>
    <t>5, 7</t>
  </si>
  <si>
    <t>6, 4, 9</t>
  </si>
  <si>
    <t>Friend, Fan, Follower, Admirer, Elder Sibling, Father's all kids</t>
  </si>
  <si>
    <t>Physical stature, Colour, Form, Shape, Constitution, Vitality, Vigour, Tendencies, Personality, Personal attempts, Head, Upper Face, Virtues, Longevity, Self, Physical body, Personality, Character, Initiative, Life path, Motivation, Ego, Individuality, Identity, Strength, Drive, Action, Purpose, Direction, Self-awareness, Willpower, Self-image, Self-confidence, Autonomy, Ambition, Determination.</t>
  </si>
  <si>
    <t xml:space="preserve">Added Stock market astrology, Numerology, Updated Quantum Astrology, Aspects template,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</si>
</sst>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24"/>
      <color theme="1"/>
      <name val="Calibri"/>
      <family val="2"/>
      <scheme val="minor"/>
    </font>
    <font>
      <sz val="18"/>
      <color theme="1"/>
      <name val="Calibri"/>
      <family val="2"/>
      <scheme val="minor"/>
    </font>
    <font>
      <sz val="14"/>
      <color theme="1"/>
      <name val="Calibri"/>
      <family val="2"/>
      <scheme val="minor"/>
    </font>
    <font>
      <sz val="20"/>
      <color theme="1"/>
      <name val="Calibri"/>
      <family val="2"/>
      <scheme val="minor"/>
    </font>
    <font>
      <sz val="16"/>
      <color theme="1"/>
      <name val="Calibri"/>
      <family val="2"/>
      <scheme val="minor"/>
    </font>
    <font>
      <sz val="10"/>
      <color rgb="FF000000"/>
      <name val="Arial"/>
      <family val="2"/>
    </font>
    <font>
      <sz val="11"/>
      <color rgb="FF000000"/>
      <name val="Calibri"/>
      <family val="2"/>
    </font>
    <font>
      <sz val="11"/>
      <name val="Calibri"/>
      <family val="2"/>
    </font>
    <font>
      <sz val="11"/>
      <color rgb="FF000000"/>
      <name val="Calibri"/>
      <family val="2"/>
      <scheme val="minor"/>
    </font>
    <font>
      <sz val="11"/>
      <name val="Calibri"/>
      <family val="2"/>
      <scheme val="minor"/>
    </font>
    <font>
      <sz val="12"/>
      <color theme="1"/>
      <name val="Calibri"/>
      <family val="2"/>
      <scheme val="minor"/>
    </font>
    <font>
      <u/>
      <sz val="11"/>
      <color theme="10"/>
      <name val="Calibri"/>
      <family val="2"/>
      <scheme val="minor"/>
    </font>
    <font>
      <sz val="10"/>
      <color theme="1"/>
      <name val="Arial"/>
      <family val="2"/>
    </font>
    <font>
      <i/>
      <sz val="10"/>
      <color rgb="FF000000"/>
      <name val="Arial"/>
      <family val="2"/>
    </font>
    <font>
      <b/>
      <sz val="10"/>
      <color theme="0"/>
      <name val="Arial"/>
      <family val="2"/>
    </font>
    <font>
      <sz val="16"/>
      <color rgb="FF000000"/>
      <name val="Calibri"/>
      <family val="2"/>
      <scheme val="minor"/>
    </font>
    <font>
      <b/>
      <sz val="16"/>
      <name val="Calibri"/>
      <family val="2"/>
      <scheme val="minor"/>
    </font>
    <font>
      <sz val="16"/>
      <name val="Calibri"/>
      <family val="2"/>
      <scheme val="minor"/>
    </font>
    <font>
      <b/>
      <sz val="12"/>
      <color rgb="FF000000"/>
      <name val="Arial"/>
      <family val="2"/>
    </font>
    <font>
      <b/>
      <sz val="12"/>
      <name val="Arial"/>
      <family val="2"/>
    </font>
    <font>
      <sz val="12"/>
      <color rgb="FF000000"/>
      <name val="Arial"/>
      <family val="2"/>
    </font>
    <font>
      <sz val="12"/>
      <name val="Arial"/>
      <family val="2"/>
    </font>
    <font>
      <b/>
      <sz val="13.5"/>
      <name val="Times New Roman"/>
      <family val="1"/>
    </font>
    <font>
      <sz val="12"/>
      <name val="Times New Roman"/>
      <family val="1"/>
    </font>
    <font>
      <sz val="12"/>
      <color rgb="FF000000"/>
      <name val="Times New Roman"/>
      <family val="2"/>
    </font>
    <font>
      <b/>
      <sz val="20"/>
      <color theme="1"/>
      <name val="Calibri"/>
      <family val="2"/>
      <scheme val="minor"/>
    </font>
    <font>
      <u/>
      <sz val="16"/>
      <color theme="10"/>
      <name val="Calibri"/>
      <family val="2"/>
      <scheme val="minor"/>
    </font>
    <font>
      <sz val="16"/>
      <color theme="10"/>
      <name val="Calibri"/>
      <family val="2"/>
      <scheme val="minor"/>
    </font>
    <font>
      <sz val="16"/>
      <name val="Times New Roman"/>
      <family val="1"/>
    </font>
    <font>
      <sz val="10"/>
      <color theme="1"/>
      <name val="Calibri"/>
      <family val="2"/>
      <scheme val="minor"/>
    </font>
    <font>
      <sz val="10"/>
      <name val="Arial"/>
      <family val="2"/>
    </font>
    <font>
      <sz val="10"/>
      <name val="Calibri"/>
      <family val="2"/>
      <scheme val="minor"/>
    </font>
    <font>
      <sz val="10"/>
      <color rgb="FF000000"/>
      <name val="Calibri"/>
      <family val="2"/>
      <scheme val="minor"/>
    </font>
    <font>
      <sz val="10"/>
      <color rgb="FFFFFF00"/>
      <name val="Calibri"/>
      <family val="2"/>
      <scheme val="minor"/>
    </font>
    <font>
      <sz val="10"/>
      <color rgb="FFFFFFFF"/>
      <name val="Calibri"/>
      <family val="2"/>
      <scheme val="minor"/>
    </font>
    <font>
      <sz val="18"/>
      <color theme="1"/>
      <name val="Arial"/>
      <family val="2"/>
    </font>
    <font>
      <b/>
      <sz val="16"/>
      <color theme="1"/>
      <name val="Calibri"/>
      <family val="2"/>
      <scheme val="minor"/>
    </font>
    <font>
      <b/>
      <sz val="14"/>
      <color theme="1"/>
      <name val="Calibri"/>
      <family val="2"/>
      <scheme val="minor"/>
    </font>
    <font>
      <sz val="8"/>
      <name val="Calibri"/>
      <family val="2"/>
      <scheme val="minor"/>
    </font>
    <font>
      <sz val="13"/>
      <color theme="1"/>
      <name val="Calibri"/>
      <family val="2"/>
      <scheme val="minor"/>
    </font>
    <font>
      <b/>
      <sz val="13"/>
      <color theme="1"/>
      <name val="Calibri"/>
      <family val="2"/>
      <scheme val="minor"/>
    </font>
    <font>
      <sz val="10"/>
      <color rgb="FF000000"/>
      <name val="Arial"/>
      <family val="2"/>
    </font>
  </fonts>
  <fills count="78">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5" tint="-0.249977111117893"/>
        <bgColor indexed="64"/>
      </patternFill>
    </fill>
    <fill>
      <patternFill patternType="solid">
        <fgColor theme="9"/>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
      <patternFill patternType="solid">
        <fgColor rgb="FFFCE5CD"/>
        <bgColor indexed="64"/>
      </patternFill>
    </fill>
    <fill>
      <patternFill patternType="solid">
        <fgColor rgb="FFFF9900"/>
        <bgColor rgb="FFFF9900"/>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9"/>
        <bgColor rgb="FFD9EAD3"/>
      </patternFill>
    </fill>
    <fill>
      <patternFill patternType="solid">
        <fgColor theme="7"/>
        <bgColor indexed="64"/>
      </patternFill>
    </fill>
    <fill>
      <patternFill patternType="solid">
        <fgColor theme="9"/>
        <bgColor rgb="FFFF0000"/>
      </patternFill>
    </fill>
    <fill>
      <patternFill patternType="solid">
        <fgColor theme="7"/>
        <bgColor rgb="FF00FF00"/>
      </patternFill>
    </fill>
    <fill>
      <patternFill patternType="solid">
        <fgColor theme="9"/>
        <bgColor rgb="FFB45F06"/>
      </patternFill>
    </fill>
    <fill>
      <patternFill patternType="solid">
        <fgColor theme="7"/>
        <bgColor rgb="FFFF0000"/>
      </patternFill>
    </fill>
    <fill>
      <patternFill patternType="solid">
        <fgColor theme="7"/>
        <bgColor rgb="FFFFFF00"/>
      </patternFill>
    </fill>
    <fill>
      <patternFill patternType="solid">
        <fgColor rgb="FF00B0F0"/>
        <bgColor rgb="FFF1C232"/>
      </patternFill>
    </fill>
    <fill>
      <patternFill patternType="solid">
        <fgColor theme="0"/>
        <bgColor rgb="FF93C47D"/>
      </patternFill>
    </fill>
    <fill>
      <patternFill patternType="solid">
        <fgColor rgb="FF00B0F0"/>
        <bgColor rgb="FF00FF00"/>
      </patternFill>
    </fill>
    <fill>
      <patternFill patternType="solid">
        <fgColor rgb="FF00B0F0"/>
        <bgColor rgb="FF000000"/>
      </patternFill>
    </fill>
    <fill>
      <patternFill patternType="solid">
        <fgColor theme="0"/>
        <bgColor rgb="FFFF0000"/>
      </patternFill>
    </fill>
    <fill>
      <patternFill patternType="solid">
        <fgColor theme="0"/>
        <bgColor rgb="FFD9EAD3"/>
      </patternFill>
    </fill>
    <fill>
      <patternFill patternType="solid">
        <fgColor rgb="FF00B0F0"/>
        <bgColor rgb="FF00FFFF"/>
      </patternFill>
    </fill>
    <fill>
      <patternFill patternType="solid">
        <fgColor theme="0"/>
        <bgColor rgb="FF6FA8DC"/>
      </patternFill>
    </fill>
    <fill>
      <patternFill patternType="solid">
        <fgColor rgb="FF00B0F0"/>
        <bgColor rgb="FFFFFF00"/>
      </patternFill>
    </fill>
    <fill>
      <patternFill patternType="solid">
        <fgColor theme="0"/>
        <bgColor rgb="FFFFFF00"/>
      </patternFill>
    </fill>
    <fill>
      <patternFill patternType="solid">
        <fgColor rgb="FF00B0F0"/>
        <bgColor rgb="FF0000FF"/>
      </patternFill>
    </fill>
    <fill>
      <patternFill patternType="solid">
        <fgColor theme="0"/>
        <bgColor rgb="FF000000"/>
      </patternFill>
    </fill>
    <fill>
      <patternFill patternType="solid">
        <fgColor rgb="FF00B0F0"/>
        <bgColor rgb="FFFF0000"/>
      </patternFill>
    </fill>
    <fill>
      <patternFill patternType="solid">
        <fgColor theme="0"/>
        <bgColor rgb="FF00FF00"/>
      </patternFill>
    </fill>
    <fill>
      <patternFill patternType="solid">
        <fgColor theme="9"/>
        <bgColor rgb="FF00FF00"/>
      </patternFill>
    </fill>
    <fill>
      <patternFill patternType="solid">
        <fgColor theme="9"/>
        <bgColor rgb="FF00FFFF"/>
      </patternFill>
    </fill>
    <fill>
      <patternFill patternType="solid">
        <fgColor theme="9"/>
        <bgColor rgb="FFFFFF00"/>
      </patternFill>
    </fill>
    <fill>
      <patternFill patternType="solid">
        <fgColor theme="9"/>
        <bgColor rgb="FF0000FF"/>
      </patternFill>
    </fill>
    <fill>
      <patternFill patternType="solid">
        <fgColor theme="8" tint="0.39997558519241921"/>
        <bgColor rgb="FFFFE599"/>
      </patternFill>
    </fill>
    <fill>
      <patternFill patternType="solid">
        <fgColor theme="8" tint="0.39997558519241921"/>
        <bgColor indexed="64"/>
      </patternFill>
    </fill>
    <fill>
      <patternFill patternType="solid">
        <fgColor theme="8" tint="0.39997558519241921"/>
        <bgColor rgb="FFFF0000"/>
      </patternFill>
    </fill>
    <fill>
      <patternFill patternType="solid">
        <fgColor theme="8" tint="0.39997558519241921"/>
        <bgColor rgb="FF000000"/>
      </patternFill>
    </fill>
    <fill>
      <patternFill patternType="solid">
        <fgColor theme="8" tint="0.39997558519241921"/>
        <bgColor rgb="FFB45F06"/>
      </patternFill>
    </fill>
    <fill>
      <patternFill patternType="solid">
        <fgColor theme="8" tint="0.39997558519241921"/>
        <bgColor rgb="FFD9EAD3"/>
      </patternFill>
    </fill>
    <fill>
      <patternFill patternType="solid">
        <fgColor theme="7"/>
        <bgColor rgb="FFFFF2CC"/>
      </patternFill>
    </fill>
    <fill>
      <patternFill patternType="solid">
        <fgColor theme="7"/>
        <bgColor rgb="FF45818E"/>
      </patternFill>
    </fill>
    <fill>
      <patternFill patternType="solid">
        <fgColor theme="7"/>
        <bgColor rgb="FFF9CB9C"/>
      </patternFill>
    </fill>
    <fill>
      <patternFill patternType="solid">
        <fgColor theme="7"/>
        <bgColor rgb="FF6FA8DC"/>
      </patternFill>
    </fill>
    <fill>
      <patternFill patternType="solid">
        <fgColor theme="7"/>
        <bgColor rgb="FF000000"/>
      </patternFill>
    </fill>
    <fill>
      <patternFill patternType="solid">
        <fgColor theme="9"/>
        <bgColor rgb="FFB6D7A8"/>
      </patternFill>
    </fill>
    <fill>
      <patternFill patternType="solid">
        <fgColor theme="9"/>
        <bgColor rgb="FF38761D"/>
      </patternFill>
    </fill>
    <fill>
      <patternFill patternType="solid">
        <fgColor rgb="FFFFA3E7"/>
        <bgColor rgb="FFD9EAD3"/>
      </patternFill>
    </fill>
    <fill>
      <patternFill patternType="solid">
        <fgColor rgb="FFFFA3E7"/>
        <bgColor indexed="64"/>
      </patternFill>
    </fill>
    <fill>
      <patternFill patternType="solid">
        <fgColor rgb="FFFFA3E7"/>
        <bgColor rgb="FFFF0000"/>
      </patternFill>
    </fill>
    <fill>
      <patternFill patternType="solid">
        <fgColor rgb="FFFFA3E7"/>
        <bgColor rgb="FFB45F06"/>
      </patternFill>
    </fill>
    <fill>
      <patternFill patternType="solid">
        <fgColor rgb="FFFFA3E7"/>
        <bgColor rgb="FFA2C4C9"/>
      </patternFill>
    </fill>
    <fill>
      <patternFill patternType="solid">
        <fgColor rgb="FFFFA3E7"/>
        <bgColor rgb="FF00FF00"/>
      </patternFill>
    </fill>
    <fill>
      <patternFill patternType="solid">
        <fgColor rgb="FFFFA3E7"/>
        <bgColor rgb="FF00FFFF"/>
      </patternFill>
    </fill>
    <fill>
      <patternFill patternType="solid">
        <fgColor rgb="FFFFA3E7"/>
        <bgColor rgb="FFFFFF00"/>
      </patternFill>
    </fill>
    <fill>
      <patternFill patternType="solid">
        <fgColor rgb="FFFFA3E7"/>
        <bgColor rgb="FF0000FF"/>
      </patternFill>
    </fill>
    <fill>
      <patternFill patternType="solid">
        <fgColor rgb="FFFF4B4B"/>
        <bgColor rgb="FF00FF00"/>
      </patternFill>
    </fill>
    <fill>
      <patternFill patternType="solid">
        <fgColor rgb="FFFF4B4B"/>
        <bgColor indexed="64"/>
      </patternFill>
    </fill>
    <fill>
      <patternFill patternType="solid">
        <fgColor rgb="FFFF4B4B"/>
        <bgColor rgb="FFFF0000"/>
      </patternFill>
    </fill>
    <fill>
      <patternFill patternType="solid">
        <fgColor rgb="FFFF4B4B"/>
        <bgColor rgb="FF45818E"/>
      </patternFill>
    </fill>
    <fill>
      <patternFill patternType="solid">
        <fgColor rgb="FFFF4B4B"/>
        <bgColor rgb="FF76A5AF"/>
      </patternFill>
    </fill>
    <fill>
      <patternFill patternType="solid">
        <fgColor rgb="FFFF4B4B"/>
        <bgColor rgb="FF6FA8DC"/>
      </patternFill>
    </fill>
    <fill>
      <patternFill patternType="solid">
        <fgColor rgb="FFFF4B4B"/>
        <bgColor rgb="FF000000"/>
      </patternFill>
    </fill>
    <fill>
      <patternFill patternType="solid">
        <fgColor rgb="FFFF4B4B"/>
        <bgColor rgb="FFFFFF00"/>
      </patternFill>
    </fill>
    <fill>
      <patternFill patternType="solid">
        <fgColor rgb="FFF9662B"/>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8"/>
        <bgColor indexed="64"/>
      </patternFill>
    </fill>
    <fill>
      <patternFill patternType="solid">
        <fgColor theme="5"/>
        <bgColor indexed="64"/>
      </patternFill>
    </fill>
    <fill>
      <patternFill patternType="solid">
        <fgColor theme="0" tint="-0.499984740745262"/>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s>
  <cellStyleXfs count="4">
    <xf numFmtId="0" fontId="0" fillId="0" borderId="0"/>
    <xf numFmtId="0" fontId="6" fillId="0" borderId="0"/>
    <xf numFmtId="0" fontId="12" fillId="0" borderId="0" applyNumberFormat="0" applyFill="0" applyBorder="0" applyAlignment="0" applyProtection="0"/>
    <xf numFmtId="0" fontId="42" fillId="0" borderId="0"/>
  </cellStyleXfs>
  <cellXfs count="358">
    <xf numFmtId="0" fontId="0" fillId="0" borderId="0" xfId="0"/>
    <xf numFmtId="0" fontId="2" fillId="0" borderId="0" xfId="0" applyFont="1"/>
    <xf numFmtId="0" fontId="4" fillId="0" borderId="0" xfId="0" applyFont="1"/>
    <xf numFmtId="0" fontId="2" fillId="9" borderId="0" xfId="0" applyFont="1" applyFill="1"/>
    <xf numFmtId="0" fontId="2" fillId="0" borderId="0" xfId="0" applyFont="1" applyProtection="1">
      <protection locked="0"/>
    </xf>
    <xf numFmtId="0" fontId="1" fillId="0" borderId="0" xfId="0" applyFont="1" applyAlignment="1" applyProtection="1">
      <alignment horizontal="center"/>
      <protection locked="0"/>
    </xf>
    <xf numFmtId="0" fontId="1" fillId="0" borderId="0" xfId="0" applyFont="1" applyAlignment="1" applyProtection="1">
      <alignment horizontal="center" wrapText="1"/>
      <protection locked="0"/>
    </xf>
    <xf numFmtId="15" fontId="1" fillId="0" borderId="0" xfId="0" applyNumberFormat="1" applyFont="1" applyAlignment="1" applyProtection="1">
      <alignment wrapText="1"/>
      <protection locked="0"/>
    </xf>
    <xf numFmtId="0" fontId="1" fillId="0" borderId="0" xfId="0" applyFont="1" applyAlignment="1" applyProtection="1">
      <alignment horizontal="left" vertical="center"/>
      <protection locked="0"/>
    </xf>
    <xf numFmtId="0" fontId="1" fillId="0" borderId="0" xfId="0" applyFont="1" applyAlignment="1" applyProtection="1">
      <alignment horizontal="center" vertical="center"/>
      <protection locked="0"/>
    </xf>
    <xf numFmtId="0" fontId="1" fillId="0" borderId="0" xfId="0" applyFont="1" applyProtection="1">
      <protection locked="0"/>
    </xf>
    <xf numFmtId="0" fontId="0" fillId="0" borderId="0" xfId="0" applyProtection="1">
      <protection locked="0"/>
    </xf>
    <xf numFmtId="0" fontId="3" fillId="0" borderId="0" xfId="0" applyFont="1" applyAlignment="1" applyProtection="1">
      <alignment horizontal="center" vertical="center" wrapText="1"/>
      <protection locked="0"/>
    </xf>
    <xf numFmtId="0" fontId="3" fillId="0" borderId="0" xfId="0" applyFont="1" applyAlignment="1" applyProtection="1">
      <alignment vertical="center" wrapText="1"/>
      <protection locked="0"/>
    </xf>
    <xf numFmtId="0" fontId="3" fillId="0" borderId="0" xfId="0" applyFont="1" applyAlignment="1" applyProtection="1">
      <alignment wrapText="1"/>
      <protection locked="0"/>
    </xf>
    <xf numFmtId="15" fontId="3" fillId="0" borderId="0" xfId="0" applyNumberFormat="1" applyFont="1" applyAlignment="1" applyProtection="1">
      <alignment wrapText="1"/>
      <protection locked="0"/>
    </xf>
    <xf numFmtId="0" fontId="3" fillId="9" borderId="0" xfId="0" applyFont="1" applyFill="1" applyAlignment="1">
      <alignment wrapText="1"/>
    </xf>
    <xf numFmtId="0" fontId="3" fillId="9" borderId="0" xfId="0" applyFont="1" applyFill="1" applyAlignment="1">
      <alignment horizontal="center" wrapText="1"/>
    </xf>
    <xf numFmtId="0" fontId="0" fillId="0" borderId="0" xfId="0" applyAlignment="1" applyProtection="1">
      <alignment wrapText="1"/>
      <protection locked="0"/>
    </xf>
    <xf numFmtId="0" fontId="1" fillId="9" borderId="0" xfId="0" applyFont="1" applyFill="1" applyAlignment="1">
      <alignment wrapText="1"/>
    </xf>
    <xf numFmtId="15" fontId="1" fillId="9" borderId="0" xfId="0" applyNumberFormat="1" applyFont="1" applyFill="1" applyAlignment="1">
      <alignment wrapText="1"/>
    </xf>
    <xf numFmtId="0" fontId="1" fillId="9" borderId="0" xfId="0" applyFont="1" applyFill="1" applyAlignment="1">
      <alignment horizontal="center" vertical="center"/>
    </xf>
    <xf numFmtId="0" fontId="1" fillId="9" borderId="0" xfId="0" applyFont="1" applyFill="1" applyAlignment="1">
      <alignment horizontal="left" vertical="top"/>
    </xf>
    <xf numFmtId="0" fontId="1" fillId="9" borderId="0" xfId="0" applyFont="1" applyFill="1" applyAlignment="1">
      <alignment horizontal="left" vertical="center"/>
    </xf>
    <xf numFmtId="0" fontId="5" fillId="0" borderId="0" xfId="0" applyFont="1" applyAlignment="1" applyProtection="1">
      <alignment horizontal="center" vertical="center" wrapText="1"/>
      <protection locked="0"/>
    </xf>
    <xf numFmtId="0" fontId="5" fillId="9" borderId="0" xfId="0" applyFont="1" applyFill="1" applyAlignment="1">
      <alignment wrapText="1"/>
    </xf>
    <xf numFmtId="0" fontId="5" fillId="0" borderId="0" xfId="0" applyFont="1" applyProtection="1">
      <protection locked="0"/>
    </xf>
    <xf numFmtId="0" fontId="5" fillId="0" borderId="0" xfId="0" applyFont="1" applyAlignment="1" applyProtection="1">
      <alignment horizontal="center" vertical="center"/>
      <protection locked="0"/>
    </xf>
    <xf numFmtId="0" fontId="5" fillId="0" borderId="0" xfId="0" applyFont="1" applyAlignment="1" applyProtection="1">
      <alignment wrapText="1"/>
      <protection locked="0"/>
    </xf>
    <xf numFmtId="0" fontId="5" fillId="3" borderId="0" xfId="0" applyFont="1" applyFill="1" applyAlignment="1">
      <alignment horizontal="center" vertical="center"/>
    </xf>
    <xf numFmtId="0" fontId="2" fillId="0" borderId="0" xfId="0" applyFont="1" applyAlignment="1" applyProtection="1">
      <alignment horizontal="center"/>
      <protection locked="0"/>
    </xf>
    <xf numFmtId="0" fontId="5" fillId="0" borderId="0" xfId="0" applyFont="1"/>
    <xf numFmtId="0" fontId="5" fillId="0" borderId="0" xfId="0" applyFont="1" applyAlignment="1">
      <alignment horizontal="center" vertical="center"/>
    </xf>
    <xf numFmtId="0" fontId="5" fillId="0" borderId="0" xfId="0" applyFont="1" applyAlignment="1">
      <alignment horizontal="left" vertical="center" wrapText="1"/>
    </xf>
    <xf numFmtId="0" fontId="7" fillId="0" borderId="1" xfId="1" applyFont="1" applyBorder="1" applyAlignment="1">
      <alignment horizontal="center"/>
    </xf>
    <xf numFmtId="0" fontId="7" fillId="0" borderId="1" xfId="1" applyFont="1" applyBorder="1"/>
    <xf numFmtId="0" fontId="7" fillId="0" borderId="0" xfId="1" applyFont="1" applyAlignment="1">
      <alignment wrapText="1"/>
    </xf>
    <xf numFmtId="0" fontId="7" fillId="0" borderId="1" xfId="1" applyFont="1" applyBorder="1" applyAlignment="1">
      <alignment wrapText="1"/>
    </xf>
    <xf numFmtId="0" fontId="11" fillId="0" borderId="0" xfId="0" applyFont="1"/>
    <xf numFmtId="0" fontId="5" fillId="0" borderId="0" xfId="0" applyFont="1" applyAlignment="1">
      <alignment wrapText="1"/>
    </xf>
    <xf numFmtId="0" fontId="6" fillId="12" borderId="0" xfId="0" applyFont="1" applyFill="1" applyAlignment="1">
      <alignment wrapText="1"/>
    </xf>
    <xf numFmtId="0" fontId="6" fillId="12" borderId="0" xfId="0" applyFont="1" applyFill="1" applyAlignment="1">
      <alignment horizontal="center" vertical="center" wrapText="1"/>
    </xf>
    <xf numFmtId="0" fontId="13" fillId="0" borderId="0" xfId="0" applyFont="1" applyAlignment="1">
      <alignment horizontal="center" vertical="center" wrapText="1"/>
    </xf>
    <xf numFmtId="0" fontId="6" fillId="0" borderId="0" xfId="0" applyFont="1" applyAlignment="1">
      <alignment wrapText="1"/>
    </xf>
    <xf numFmtId="0" fontId="6" fillId="0" borderId="0" xfId="0" applyFont="1" applyAlignment="1">
      <alignment horizontal="center" vertical="center" wrapText="1"/>
    </xf>
    <xf numFmtId="0" fontId="13" fillId="0" borderId="0" xfId="0" applyFont="1" applyAlignment="1">
      <alignment wrapText="1"/>
    </xf>
    <xf numFmtId="0" fontId="0" fillId="0" borderId="0" xfId="0" applyAlignment="1">
      <alignment wrapText="1"/>
    </xf>
    <xf numFmtId="0" fontId="14" fillId="0" borderId="0" xfId="0" applyFont="1" applyAlignment="1">
      <alignment horizontal="center" vertical="center" wrapText="1"/>
    </xf>
    <xf numFmtId="0" fontId="15" fillId="2" borderId="0" xfId="0" applyFont="1" applyFill="1" applyAlignment="1">
      <alignment wrapText="1"/>
    </xf>
    <xf numFmtId="0" fontId="15" fillId="2" borderId="0" xfId="0" applyFont="1" applyFill="1" applyAlignment="1">
      <alignment horizontal="center" vertical="center" wrapText="1"/>
    </xf>
    <xf numFmtId="0" fontId="13" fillId="0" borderId="0" xfId="0" quotePrefix="1" applyFont="1" applyAlignment="1">
      <alignment horizontal="center" vertical="center" wrapText="1"/>
    </xf>
    <xf numFmtId="0" fontId="0" fillId="0" borderId="0" xfId="0" applyAlignment="1">
      <alignment horizontal="center" vertical="center"/>
    </xf>
    <xf numFmtId="0" fontId="15" fillId="2" borderId="0" xfId="0" applyFont="1" applyFill="1" applyAlignment="1">
      <alignment horizontal="left" vertical="center" wrapText="1"/>
    </xf>
    <xf numFmtId="0" fontId="16" fillId="0" borderId="0" xfId="0" applyFont="1" applyAlignment="1">
      <alignment vertical="center" wrapText="1"/>
    </xf>
    <xf numFmtId="0" fontId="16" fillId="0" borderId="0" xfId="0" applyFont="1" applyAlignment="1">
      <alignment vertical="center"/>
    </xf>
    <xf numFmtId="0" fontId="5" fillId="3" borderId="0" xfId="0" applyFont="1" applyFill="1"/>
    <xf numFmtId="0" fontId="5" fillId="3" borderId="0" xfId="0" applyFont="1" applyFill="1" applyAlignment="1">
      <alignment wrapText="1"/>
    </xf>
    <xf numFmtId="0" fontId="16" fillId="0" borderId="0" xfId="1" applyFont="1" applyAlignment="1">
      <alignment wrapText="1"/>
    </xf>
    <xf numFmtId="0" fontId="17" fillId="3" borderId="0" xfId="1" applyFont="1" applyFill="1" applyAlignment="1">
      <alignment wrapText="1"/>
    </xf>
    <xf numFmtId="0" fontId="0" fillId="3" borderId="0" xfId="0" applyFill="1"/>
    <xf numFmtId="0" fontId="16" fillId="0" borderId="0" xfId="0" applyFont="1" applyAlignment="1">
      <alignment horizontal="center" vertical="center"/>
    </xf>
    <xf numFmtId="0" fontId="5" fillId="3" borderId="0" xfId="0" applyFont="1" applyFill="1" applyAlignment="1">
      <alignment horizontal="center" vertical="center" wrapText="1"/>
    </xf>
    <xf numFmtId="0" fontId="16" fillId="0" borderId="0" xfId="0" applyFont="1" applyAlignment="1">
      <alignment horizontal="left" vertical="center" wrapText="1"/>
    </xf>
    <xf numFmtId="0" fontId="19" fillId="13" borderId="0" xfId="1" applyFont="1" applyFill="1" applyAlignment="1">
      <alignment vertical="center" wrapText="1"/>
    </xf>
    <xf numFmtId="0" fontId="20" fillId="13" borderId="0" xfId="1" applyFont="1" applyFill="1" applyAlignment="1">
      <alignment vertical="center" wrapText="1"/>
    </xf>
    <xf numFmtId="0" fontId="21" fillId="0" borderId="0" xfId="1" applyFont="1" applyAlignment="1">
      <alignment vertical="center" wrapText="1"/>
    </xf>
    <xf numFmtId="0" fontId="22" fillId="0" borderId="0" xfId="1" applyFont="1" applyAlignment="1">
      <alignment vertical="center" wrapText="1"/>
    </xf>
    <xf numFmtId="0" fontId="22" fillId="0" borderId="0" xfId="1" applyFont="1" applyAlignment="1">
      <alignment vertical="center"/>
    </xf>
    <xf numFmtId="0" fontId="3" fillId="0" borderId="0" xfId="0" applyFont="1" applyAlignment="1">
      <alignment vertical="center"/>
    </xf>
    <xf numFmtId="0" fontId="24" fillId="0" borderId="1" xfId="0" applyFont="1" applyBorder="1" applyAlignment="1">
      <alignment horizontal="center" vertical="top" wrapText="1"/>
    </xf>
    <xf numFmtId="1" fontId="25" fillId="0" borderId="1" xfId="0" applyNumberFormat="1" applyFont="1" applyBorder="1" applyAlignment="1">
      <alignment horizontal="center" vertical="top" shrinkToFit="1"/>
    </xf>
    <xf numFmtId="0" fontId="24" fillId="0" borderId="12" xfId="0" applyFont="1" applyBorder="1" applyAlignment="1">
      <alignment horizontal="center" vertical="top" wrapText="1"/>
    </xf>
    <xf numFmtId="0" fontId="26" fillId="3" borderId="0" xfId="0" applyFont="1" applyFill="1"/>
    <xf numFmtId="0" fontId="5" fillId="3" borderId="0" xfId="0" applyFont="1" applyFill="1" applyAlignment="1">
      <alignment horizontal="left" vertical="center"/>
    </xf>
    <xf numFmtId="0" fontId="9" fillId="0" borderId="0" xfId="1" applyFont="1" applyAlignment="1">
      <alignment wrapText="1"/>
    </xf>
    <xf numFmtId="0" fontId="9" fillId="0" borderId="1" xfId="1" applyFont="1" applyBorder="1" applyAlignment="1">
      <alignment horizontal="center"/>
    </xf>
    <xf numFmtId="0" fontId="9" fillId="0" borderId="1" xfId="1" applyFont="1" applyBorder="1"/>
    <xf numFmtId="0" fontId="9" fillId="0" borderId="1" xfId="1" applyFont="1" applyBorder="1" applyAlignment="1">
      <alignment wrapText="1"/>
    </xf>
    <xf numFmtId="0" fontId="17" fillId="3" borderId="0" xfId="1" applyFont="1" applyFill="1" applyAlignment="1">
      <alignment vertical="top" wrapText="1"/>
    </xf>
    <xf numFmtId="0" fontId="18" fillId="0" borderId="0" xfId="1" applyFont="1" applyAlignment="1">
      <alignment vertical="top" wrapText="1"/>
    </xf>
    <xf numFmtId="0" fontId="0" fillId="0" borderId="0" xfId="0" applyAlignment="1">
      <alignment vertical="top"/>
    </xf>
    <xf numFmtId="0" fontId="5" fillId="6" borderId="0" xfId="0" applyFont="1" applyFill="1" applyAlignment="1">
      <alignment wrapText="1"/>
    </xf>
    <xf numFmtId="9" fontId="2" fillId="0" borderId="0" xfId="0" applyNumberFormat="1" applyFont="1" applyProtection="1">
      <protection locked="0"/>
    </xf>
    <xf numFmtId="0" fontId="2" fillId="0" borderId="0" xfId="0" applyFont="1" applyAlignment="1" applyProtection="1">
      <alignment horizontal="center" vertical="center"/>
      <protection locked="0"/>
    </xf>
    <xf numFmtId="15" fontId="2" fillId="0" borderId="0" xfId="0" applyNumberFormat="1" applyFont="1" applyProtection="1">
      <protection locked="0"/>
    </xf>
    <xf numFmtId="0" fontId="2" fillId="0" borderId="0" xfId="0" applyFont="1" applyAlignment="1" applyProtection="1">
      <alignment wrapText="1"/>
      <protection locked="0"/>
    </xf>
    <xf numFmtId="0" fontId="5" fillId="14" borderId="0" xfId="0" applyFont="1" applyFill="1"/>
    <xf numFmtId="0" fontId="5" fillId="14" borderId="0" xfId="0" applyFont="1" applyFill="1" applyAlignment="1">
      <alignment wrapText="1"/>
    </xf>
    <xf numFmtId="0" fontId="12" fillId="0" borderId="0" xfId="2" applyAlignment="1">
      <alignment wrapText="1"/>
    </xf>
    <xf numFmtId="0" fontId="0" fillId="6" borderId="0" xfId="0" applyFill="1" applyAlignment="1">
      <alignment wrapText="1"/>
    </xf>
    <xf numFmtId="0" fontId="5" fillId="2" borderId="0" xfId="0" applyFont="1" applyFill="1"/>
    <xf numFmtId="0" fontId="5" fillId="8" borderId="0" xfId="0" applyFont="1" applyFill="1"/>
    <xf numFmtId="0" fontId="5" fillId="5" borderId="0" xfId="0" applyFont="1" applyFill="1"/>
    <xf numFmtId="0" fontId="5" fillId="7" borderId="0" xfId="0" applyFont="1" applyFill="1"/>
    <xf numFmtId="0" fontId="5" fillId="4" borderId="0" xfId="0" applyFont="1" applyFill="1"/>
    <xf numFmtId="2" fontId="5" fillId="0" borderId="0" xfId="0" applyNumberFormat="1" applyFont="1"/>
    <xf numFmtId="0" fontId="3" fillId="0" borderId="0" xfId="0" applyFont="1"/>
    <xf numFmtId="15" fontId="4" fillId="0" borderId="0" xfId="0" applyNumberFormat="1" applyFont="1" applyProtection="1">
      <protection locked="0"/>
    </xf>
    <xf numFmtId="0" fontId="2" fillId="0" borderId="0" xfId="0" applyFont="1" applyAlignment="1">
      <alignment horizontal="center" vertical="center"/>
    </xf>
    <xf numFmtId="0" fontId="2" fillId="3" borderId="0" xfId="0" applyFont="1" applyFill="1" applyAlignment="1">
      <alignment horizontal="center" vertical="center"/>
    </xf>
    <xf numFmtId="0" fontId="2" fillId="9" borderId="0" xfId="0" applyFont="1" applyFill="1" applyAlignment="1">
      <alignment wrapText="1"/>
    </xf>
    <xf numFmtId="0" fontId="2" fillId="3" borderId="0" xfId="0" applyFont="1" applyFill="1" applyAlignment="1">
      <alignment wrapText="1"/>
    </xf>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2" fillId="6" borderId="0" xfId="0" applyFont="1" applyFill="1" applyAlignment="1">
      <alignment wrapText="1"/>
    </xf>
    <xf numFmtId="0" fontId="2" fillId="6" borderId="0" xfId="0" applyFont="1" applyFill="1" applyAlignment="1">
      <alignment horizontal="center" vertical="center" wrapText="1"/>
    </xf>
    <xf numFmtId="0" fontId="2" fillId="6" borderId="0" xfId="0" applyFont="1" applyFill="1" applyAlignment="1" applyProtection="1">
      <alignment horizontal="center" vertical="center" wrapText="1"/>
      <protection locked="0"/>
    </xf>
    <xf numFmtId="0" fontId="6" fillId="0" borderId="0" xfId="0" applyFont="1" applyAlignment="1">
      <alignment horizontal="center" wrapText="1"/>
    </xf>
    <xf numFmtId="0" fontId="2" fillId="3" borderId="0" xfId="0" applyFont="1" applyFill="1" applyAlignment="1">
      <alignment horizontal="center" vertical="center" wrapText="1"/>
    </xf>
    <xf numFmtId="0" fontId="29" fillId="0" borderId="13" xfId="0" applyFont="1" applyBorder="1" applyAlignment="1">
      <alignment horizontal="center" vertical="top" wrapText="1"/>
    </xf>
    <xf numFmtId="1" fontId="25" fillId="3" borderId="1" xfId="0" applyNumberFormat="1" applyFont="1" applyFill="1" applyBorder="1" applyAlignment="1">
      <alignment horizontal="center" vertical="top" shrinkToFit="1"/>
    </xf>
    <xf numFmtId="0" fontId="24" fillId="3" borderId="1" xfId="0" applyFont="1" applyFill="1" applyBorder="1" applyAlignment="1">
      <alignment horizontal="center" vertical="top" wrapText="1"/>
    </xf>
    <xf numFmtId="0" fontId="18" fillId="0" borderId="0" xfId="0" applyFont="1" applyAlignment="1">
      <alignment wrapText="1"/>
    </xf>
    <xf numFmtId="0" fontId="0" fillId="15" borderId="0" xfId="0" applyFill="1"/>
    <xf numFmtId="0" fontId="0" fillId="2" borderId="0" xfId="0" applyFill="1" applyAlignment="1">
      <alignment wrapText="1"/>
    </xf>
    <xf numFmtId="0" fontId="5" fillId="2" borderId="0" xfId="0" applyFont="1" applyFill="1" applyAlignment="1">
      <alignment wrapText="1"/>
    </xf>
    <xf numFmtId="0" fontId="5" fillId="0" borderId="7" xfId="0" applyFont="1" applyBorder="1"/>
    <xf numFmtId="0" fontId="5" fillId="0" borderId="14" xfId="0" applyFont="1" applyBorder="1"/>
    <xf numFmtId="0" fontId="5" fillId="0" borderId="8" xfId="0" applyFont="1" applyBorder="1"/>
    <xf numFmtId="0" fontId="5" fillId="0" borderId="5" xfId="0" applyFont="1" applyBorder="1"/>
    <xf numFmtId="0" fontId="5" fillId="16" borderId="0" xfId="0" applyFont="1" applyFill="1"/>
    <xf numFmtId="0" fontId="5" fillId="0" borderId="6" xfId="0" applyFont="1" applyBorder="1"/>
    <xf numFmtId="0" fontId="5" fillId="0" borderId="9" xfId="0" applyFont="1" applyBorder="1"/>
    <xf numFmtId="0" fontId="5" fillId="0" borderId="15" xfId="0" applyFont="1" applyBorder="1"/>
    <xf numFmtId="0" fontId="5" fillId="16" borderId="10" xfId="0" applyFont="1" applyFill="1" applyBorder="1"/>
    <xf numFmtId="0" fontId="5" fillId="0" borderId="0" xfId="0" applyFont="1" applyAlignment="1">
      <alignment horizontal="right"/>
    </xf>
    <xf numFmtId="0" fontId="32" fillId="19" borderId="16" xfId="0" applyFont="1" applyFill="1" applyBorder="1" applyAlignment="1">
      <alignment horizontal="center" wrapText="1"/>
    </xf>
    <xf numFmtId="0" fontId="32" fillId="20" borderId="16" xfId="0" applyFont="1" applyFill="1" applyBorder="1" applyAlignment="1">
      <alignment horizontal="center" wrapText="1"/>
    </xf>
    <xf numFmtId="0" fontId="32" fillId="20" borderId="17" xfId="0" applyFont="1" applyFill="1" applyBorder="1" applyAlignment="1">
      <alignment horizontal="center" wrapText="1"/>
    </xf>
    <xf numFmtId="0" fontId="32" fillId="21" borderId="16" xfId="0" applyFont="1" applyFill="1" applyBorder="1" applyAlignment="1">
      <alignment horizontal="center" wrapText="1"/>
    </xf>
    <xf numFmtId="0" fontId="32" fillId="23" borderId="30" xfId="0" applyFont="1" applyFill="1" applyBorder="1" applyAlignment="1">
      <alignment horizontal="center" wrapText="1"/>
    </xf>
    <xf numFmtId="0" fontId="30" fillId="0" borderId="0" xfId="0" applyFont="1" applyAlignment="1">
      <alignment horizontal="center" wrapText="1"/>
    </xf>
    <xf numFmtId="0" fontId="33" fillId="0" borderId="0" xfId="0" applyFont="1" applyAlignment="1">
      <alignment wrapText="1"/>
    </xf>
    <xf numFmtId="0" fontId="32" fillId="24" borderId="25" xfId="0" applyFont="1" applyFill="1" applyBorder="1" applyAlignment="1">
      <alignment horizontal="center" wrapText="1"/>
    </xf>
    <xf numFmtId="0" fontId="32" fillId="26" borderId="16" xfId="0" applyFont="1" applyFill="1" applyBorder="1" applyAlignment="1">
      <alignment horizontal="center" wrapText="1"/>
    </xf>
    <xf numFmtId="0" fontId="32" fillId="27" borderId="17" xfId="0" applyFont="1" applyFill="1" applyBorder="1" applyAlignment="1">
      <alignment horizontal="center" wrapText="1"/>
    </xf>
    <xf numFmtId="0" fontId="32" fillId="25" borderId="25" xfId="0" applyFont="1" applyFill="1" applyBorder="1" applyAlignment="1">
      <alignment horizontal="center" wrapText="1"/>
    </xf>
    <xf numFmtId="0" fontId="32" fillId="28" borderId="16" xfId="0" applyFont="1" applyFill="1" applyBorder="1" applyAlignment="1">
      <alignment horizontal="center" wrapText="1"/>
    </xf>
    <xf numFmtId="0" fontId="32" fillId="29" borderId="17" xfId="0" applyFont="1" applyFill="1" applyBorder="1" applyAlignment="1">
      <alignment horizontal="center" wrapText="1"/>
    </xf>
    <xf numFmtId="0" fontId="32" fillId="30" borderId="16" xfId="0" applyFont="1" applyFill="1" applyBorder="1" applyAlignment="1">
      <alignment horizontal="center" wrapText="1"/>
    </xf>
    <xf numFmtId="0" fontId="32" fillId="24" borderId="17" xfId="0" applyFont="1" applyFill="1" applyBorder="1" applyAlignment="1">
      <alignment horizontal="center" wrapText="1"/>
    </xf>
    <xf numFmtId="0" fontId="32" fillId="31" borderId="16" xfId="0" applyFont="1" applyFill="1" applyBorder="1" applyAlignment="1">
      <alignment horizontal="center" wrapText="1"/>
    </xf>
    <xf numFmtId="0" fontId="32" fillId="25" borderId="17" xfId="0" applyFont="1" applyFill="1" applyBorder="1" applyAlignment="1">
      <alignment horizontal="center" wrapText="1"/>
    </xf>
    <xf numFmtId="0" fontId="32" fillId="24" borderId="16" xfId="0" applyFont="1" applyFill="1" applyBorder="1" applyAlignment="1">
      <alignment horizontal="center" wrapText="1"/>
    </xf>
    <xf numFmtId="0" fontId="32" fillId="32" borderId="17" xfId="0" applyFont="1" applyFill="1" applyBorder="1" applyAlignment="1">
      <alignment horizontal="center" wrapText="1"/>
    </xf>
    <xf numFmtId="0" fontId="32" fillId="25" borderId="16" xfId="0" applyFont="1" applyFill="1" applyBorder="1" applyAlignment="1">
      <alignment horizontal="center" wrapText="1"/>
    </xf>
    <xf numFmtId="0" fontId="32" fillId="33" borderId="17" xfId="0" applyFont="1" applyFill="1" applyBorder="1" applyAlignment="1">
      <alignment horizontal="center" wrapText="1"/>
    </xf>
    <xf numFmtId="0" fontId="32" fillId="34" borderId="17" xfId="0" applyFont="1" applyFill="1" applyBorder="1" applyAlignment="1">
      <alignment horizontal="center" wrapText="1"/>
    </xf>
    <xf numFmtId="0" fontId="32" fillId="35" borderId="17" xfId="0" applyFont="1" applyFill="1" applyBorder="1" applyAlignment="1">
      <alignment horizontal="center" wrapText="1"/>
    </xf>
    <xf numFmtId="0" fontId="32" fillId="24" borderId="33" xfId="0" applyFont="1" applyFill="1" applyBorder="1" applyAlignment="1">
      <alignment horizontal="center" wrapText="1"/>
    </xf>
    <xf numFmtId="0" fontId="32" fillId="24" borderId="18" xfId="0" applyFont="1" applyFill="1" applyBorder="1" applyAlignment="1">
      <alignment horizontal="center" wrapText="1"/>
    </xf>
    <xf numFmtId="0" fontId="32" fillId="36" borderId="19" xfId="0" applyFont="1" applyFill="1" applyBorder="1" applyAlignment="1">
      <alignment horizontal="center" wrapText="1"/>
    </xf>
    <xf numFmtId="0" fontId="32" fillId="25" borderId="28" xfId="0" applyFont="1" applyFill="1" applyBorder="1" applyAlignment="1">
      <alignment horizontal="center" wrapText="1"/>
    </xf>
    <xf numFmtId="0" fontId="32" fillId="25" borderId="29" xfId="0" applyFont="1" applyFill="1" applyBorder="1" applyAlignment="1">
      <alignment horizontal="center" wrapText="1"/>
    </xf>
    <xf numFmtId="0" fontId="32" fillId="37" borderId="30" xfId="0" applyFont="1" applyFill="1" applyBorder="1" applyAlignment="1">
      <alignment horizontal="center" wrapText="1"/>
    </xf>
    <xf numFmtId="0" fontId="30" fillId="0" borderId="0" xfId="0" applyFont="1"/>
    <xf numFmtId="0" fontId="31" fillId="0" borderId="0" xfId="0" applyFont="1"/>
    <xf numFmtId="0" fontId="30" fillId="0" borderId="0" xfId="0" applyFont="1" applyAlignment="1">
      <alignment horizontal="center"/>
    </xf>
    <xf numFmtId="0" fontId="34" fillId="0" borderId="0" xfId="0" applyFont="1" applyAlignment="1">
      <alignment horizontal="center"/>
    </xf>
    <xf numFmtId="0" fontId="35" fillId="0" borderId="0" xfId="0" applyFont="1" applyAlignment="1">
      <alignment horizontal="center"/>
    </xf>
    <xf numFmtId="0" fontId="32" fillId="38" borderId="16" xfId="0" applyFont="1" applyFill="1" applyBorder="1" applyAlignment="1">
      <alignment horizontal="center" wrapText="1"/>
    </xf>
    <xf numFmtId="0" fontId="32" fillId="22" borderId="16" xfId="0" applyFont="1" applyFill="1" applyBorder="1" applyAlignment="1">
      <alignment horizontal="center" wrapText="1"/>
    </xf>
    <xf numFmtId="0" fontId="32" fillId="39" borderId="16" xfId="0" applyFont="1" applyFill="1" applyBorder="1" applyAlignment="1">
      <alignment horizontal="center" wrapText="1"/>
    </xf>
    <xf numFmtId="0" fontId="32" fillId="42" borderId="25" xfId="0" applyFont="1" applyFill="1" applyBorder="1" applyAlignment="1">
      <alignment horizontal="center" wrapText="1"/>
    </xf>
    <xf numFmtId="0" fontId="32" fillId="44" borderId="16" xfId="0" applyFont="1" applyFill="1" applyBorder="1" applyAlignment="1">
      <alignment horizontal="center" wrapText="1"/>
    </xf>
    <xf numFmtId="0" fontId="32" fillId="45" borderId="17" xfId="0" applyFont="1" applyFill="1" applyBorder="1" applyAlignment="1">
      <alignment horizontal="center" wrapText="1"/>
    </xf>
    <xf numFmtId="0" fontId="32" fillId="46" borderId="16" xfId="0" applyFont="1" applyFill="1" applyBorder="1" applyAlignment="1">
      <alignment horizontal="center" wrapText="1"/>
    </xf>
    <xf numFmtId="0" fontId="32" fillId="42" borderId="17" xfId="0" applyFont="1" applyFill="1" applyBorder="1" applyAlignment="1">
      <alignment horizontal="center" wrapText="1"/>
    </xf>
    <xf numFmtId="0" fontId="32" fillId="42" borderId="16" xfId="0" applyFont="1" applyFill="1" applyBorder="1" applyAlignment="1">
      <alignment horizontal="center" wrapText="1"/>
    </xf>
    <xf numFmtId="0" fontId="32" fillId="44" borderId="17" xfId="0" applyFont="1" applyFill="1" applyBorder="1" applyAlignment="1">
      <alignment horizontal="center" wrapText="1"/>
    </xf>
    <xf numFmtId="0" fontId="32" fillId="47" borderId="17" xfId="0" applyFont="1" applyFill="1" applyBorder="1" applyAlignment="1">
      <alignment horizontal="center" wrapText="1"/>
    </xf>
    <xf numFmtId="0" fontId="32" fillId="42" borderId="28" xfId="0" applyFont="1" applyFill="1" applyBorder="1" applyAlignment="1">
      <alignment horizontal="center" wrapText="1"/>
    </xf>
    <xf numFmtId="0" fontId="32" fillId="42" borderId="29" xfId="0" applyFont="1" applyFill="1" applyBorder="1" applyAlignment="1">
      <alignment horizontal="center" wrapText="1"/>
    </xf>
    <xf numFmtId="0" fontId="32" fillId="44" borderId="30" xfId="0" applyFont="1" applyFill="1" applyBorder="1" applyAlignment="1">
      <alignment horizontal="center" wrapText="1"/>
    </xf>
    <xf numFmtId="0" fontId="32" fillId="48" borderId="25" xfId="0" applyFont="1" applyFill="1" applyBorder="1" applyAlignment="1">
      <alignment horizontal="center" wrapText="1"/>
    </xf>
    <xf numFmtId="0" fontId="32" fillId="23" borderId="27" xfId="0" applyFont="1" applyFill="1" applyBorder="1" applyAlignment="1">
      <alignment horizontal="center" wrapText="1"/>
    </xf>
    <xf numFmtId="0" fontId="32" fillId="48" borderId="27" xfId="0" applyFont="1" applyFill="1" applyBorder="1" applyAlignment="1">
      <alignment horizontal="center" wrapText="1"/>
    </xf>
    <xf numFmtId="0" fontId="32" fillId="48" borderId="16" xfId="0" applyFont="1" applyFill="1" applyBorder="1" applyAlignment="1">
      <alignment horizontal="center" wrapText="1"/>
    </xf>
    <xf numFmtId="0" fontId="32" fillId="22" borderId="27" xfId="0" applyFont="1" applyFill="1" applyBorder="1" applyAlignment="1">
      <alignment horizontal="center" wrapText="1"/>
    </xf>
    <xf numFmtId="0" fontId="32" fillId="18" borderId="27" xfId="0" applyFont="1" applyFill="1" applyBorder="1" applyAlignment="1">
      <alignment horizontal="center" wrapText="1"/>
    </xf>
    <xf numFmtId="0" fontId="32" fillId="48" borderId="33" xfId="0" applyFont="1" applyFill="1" applyBorder="1" applyAlignment="1">
      <alignment horizontal="center" wrapText="1"/>
    </xf>
    <xf numFmtId="0" fontId="32" fillId="48" borderId="18" xfId="0" applyFont="1" applyFill="1" applyBorder="1" applyAlignment="1">
      <alignment horizontal="center" wrapText="1"/>
    </xf>
    <xf numFmtId="0" fontId="32" fillId="49" borderId="32" xfId="0" applyFont="1" applyFill="1" applyBorder="1" applyAlignment="1">
      <alignment horizontal="center" wrapText="1"/>
    </xf>
    <xf numFmtId="0" fontId="32" fillId="50" borderId="25" xfId="0" applyFont="1" applyFill="1" applyBorder="1" applyAlignment="1">
      <alignment horizontal="center" wrapText="1"/>
    </xf>
    <xf numFmtId="0" fontId="32" fillId="23" borderId="17" xfId="0" applyFont="1" applyFill="1" applyBorder="1" applyAlignment="1">
      <alignment horizontal="center" wrapText="1"/>
    </xf>
    <xf numFmtId="0" fontId="32" fillId="51" borderId="16" xfId="0" applyFont="1" applyFill="1" applyBorder="1" applyAlignment="1">
      <alignment horizontal="center" wrapText="1"/>
    </xf>
    <xf numFmtId="0" fontId="32" fillId="50" borderId="17" xfId="0" applyFont="1" applyFill="1" applyBorder="1" applyAlignment="1">
      <alignment horizontal="center" wrapText="1"/>
    </xf>
    <xf numFmtId="0" fontId="32" fillId="50" borderId="16" xfId="0" applyFont="1" applyFill="1" applyBorder="1" applyAlignment="1">
      <alignment horizontal="center" wrapText="1"/>
    </xf>
    <xf numFmtId="0" fontId="32" fillId="52" borderId="17" xfId="0" applyFont="1" applyFill="1" applyBorder="1" applyAlignment="1">
      <alignment horizontal="center" wrapText="1"/>
    </xf>
    <xf numFmtId="0" fontId="32" fillId="50" borderId="28" xfId="0" applyFont="1" applyFill="1" applyBorder="1" applyAlignment="1">
      <alignment horizontal="center" wrapText="1"/>
    </xf>
    <xf numFmtId="0" fontId="32" fillId="50" borderId="29" xfId="0" applyFont="1" applyFill="1" applyBorder="1" applyAlignment="1">
      <alignment horizontal="center" wrapText="1"/>
    </xf>
    <xf numFmtId="0" fontId="32" fillId="53" borderId="25" xfId="0" applyFont="1" applyFill="1" applyBorder="1" applyAlignment="1">
      <alignment horizontal="center" wrapText="1"/>
    </xf>
    <xf numFmtId="0" fontId="32" fillId="38" borderId="17" xfId="0" applyFont="1" applyFill="1" applyBorder="1" applyAlignment="1">
      <alignment horizontal="center" wrapText="1"/>
    </xf>
    <xf numFmtId="0" fontId="32" fillId="53" borderId="17" xfId="0" applyFont="1" applyFill="1" applyBorder="1" applyAlignment="1">
      <alignment horizontal="center" wrapText="1"/>
    </xf>
    <xf numFmtId="0" fontId="32" fillId="53" borderId="16" xfId="0" applyFont="1" applyFill="1" applyBorder="1" applyAlignment="1">
      <alignment horizontal="center" wrapText="1"/>
    </xf>
    <xf numFmtId="0" fontId="32" fillId="19" borderId="17" xfId="0" applyFont="1" applyFill="1" applyBorder="1" applyAlignment="1">
      <alignment horizontal="center" wrapText="1"/>
    </xf>
    <xf numFmtId="0" fontId="32" fillId="41" borderId="17" xfId="0" applyFont="1" applyFill="1" applyBorder="1" applyAlignment="1">
      <alignment horizontal="center" wrapText="1"/>
    </xf>
    <xf numFmtId="0" fontId="32" fillId="53" borderId="28" xfId="0" applyFont="1" applyFill="1" applyBorder="1" applyAlignment="1">
      <alignment horizontal="center" wrapText="1"/>
    </xf>
    <xf numFmtId="0" fontId="32" fillId="53" borderId="29" xfId="0" applyFont="1" applyFill="1" applyBorder="1" applyAlignment="1">
      <alignment horizontal="center" wrapText="1"/>
    </xf>
    <xf numFmtId="0" fontId="32" fillId="40" borderId="30" xfId="0" applyFont="1" applyFill="1" applyBorder="1" applyAlignment="1">
      <alignment horizontal="center" wrapText="1"/>
    </xf>
    <xf numFmtId="0" fontId="32" fillId="54" borderId="25" xfId="0" applyFont="1" applyFill="1" applyBorder="1" applyAlignment="1">
      <alignment horizontal="center" wrapText="1"/>
    </xf>
    <xf numFmtId="0" fontId="32" fillId="54" borderId="17" xfId="0" applyFont="1" applyFill="1" applyBorder="1" applyAlignment="1">
      <alignment horizontal="center" wrapText="1"/>
    </xf>
    <xf numFmtId="0" fontId="32" fillId="54" borderId="16" xfId="0" applyFont="1" applyFill="1" applyBorder="1" applyAlignment="1">
      <alignment horizontal="center" wrapText="1"/>
    </xf>
    <xf numFmtId="0" fontId="32" fillId="17" borderId="17" xfId="0" applyFont="1" applyFill="1" applyBorder="1" applyAlignment="1">
      <alignment horizontal="center" wrapText="1"/>
    </xf>
    <xf numFmtId="0" fontId="32" fillId="54" borderId="33" xfId="0" applyFont="1" applyFill="1" applyBorder="1" applyAlignment="1">
      <alignment horizontal="center" wrapText="1"/>
    </xf>
    <xf numFmtId="0" fontId="32" fillId="54" borderId="18" xfId="0" applyFont="1" applyFill="1" applyBorder="1" applyAlignment="1">
      <alignment horizontal="center" wrapText="1"/>
    </xf>
    <xf numFmtId="0" fontId="32" fillId="19" borderId="19" xfId="0" applyFont="1" applyFill="1" applyBorder="1" applyAlignment="1">
      <alignment horizontal="center" wrapText="1"/>
    </xf>
    <xf numFmtId="0" fontId="32" fillId="55" borderId="25" xfId="0" applyFont="1" applyFill="1" applyBorder="1" applyAlignment="1">
      <alignment horizontal="center" wrapText="1"/>
    </xf>
    <xf numFmtId="0" fontId="32" fillId="57" borderId="16" xfId="0" applyFont="1" applyFill="1" applyBorder="1" applyAlignment="1">
      <alignment horizontal="center" wrapText="1"/>
    </xf>
    <xf numFmtId="0" fontId="32" fillId="56" borderId="27" xfId="0" applyFont="1" applyFill="1" applyBorder="1" applyAlignment="1">
      <alignment horizontal="center" wrapText="1"/>
    </xf>
    <xf numFmtId="0" fontId="32" fillId="58" borderId="16" xfId="0" applyFont="1" applyFill="1" applyBorder="1" applyAlignment="1">
      <alignment horizontal="center" wrapText="1"/>
    </xf>
    <xf numFmtId="0" fontId="32" fillId="55" borderId="27" xfId="0" applyFont="1" applyFill="1" applyBorder="1" applyAlignment="1">
      <alignment horizontal="center" wrapText="1"/>
    </xf>
    <xf numFmtId="0" fontId="32" fillId="55" borderId="16" xfId="0" applyFont="1" applyFill="1" applyBorder="1" applyAlignment="1">
      <alignment horizontal="center" wrapText="1"/>
    </xf>
    <xf numFmtId="0" fontId="32" fillId="57" borderId="27" xfId="0" applyFont="1" applyFill="1" applyBorder="1" applyAlignment="1">
      <alignment horizontal="center" wrapText="1"/>
    </xf>
    <xf numFmtId="0" fontId="32" fillId="55" borderId="33" xfId="0" applyFont="1" applyFill="1" applyBorder="1" applyAlignment="1">
      <alignment horizontal="center" wrapText="1"/>
    </xf>
    <xf numFmtId="0" fontId="32" fillId="55" borderId="18" xfId="0" applyFont="1" applyFill="1" applyBorder="1" applyAlignment="1">
      <alignment horizontal="center" wrapText="1"/>
    </xf>
    <xf numFmtId="0" fontId="32" fillId="57" borderId="32" xfId="0" applyFont="1" applyFill="1" applyBorder="1" applyAlignment="1">
      <alignment horizontal="center" wrapText="1"/>
    </xf>
    <xf numFmtId="0" fontId="32" fillId="59" borderId="25" xfId="0" applyFont="1" applyFill="1" applyBorder="1" applyAlignment="1">
      <alignment horizontal="center" wrapText="1"/>
    </xf>
    <xf numFmtId="0" fontId="32" fillId="60" borderId="16" xfId="0" applyFont="1" applyFill="1" applyBorder="1" applyAlignment="1">
      <alignment horizontal="center" wrapText="1"/>
    </xf>
    <xf numFmtId="0" fontId="32" fillId="61" borderId="16" xfId="0" applyFont="1" applyFill="1" applyBorder="1" applyAlignment="1">
      <alignment horizontal="center" wrapText="1"/>
    </xf>
    <xf numFmtId="0" fontId="32" fillId="59" borderId="27" xfId="0" applyFont="1" applyFill="1" applyBorder="1" applyAlignment="1">
      <alignment horizontal="center" wrapText="1"/>
    </xf>
    <xf numFmtId="0" fontId="32" fillId="59" borderId="16" xfId="0" applyFont="1" applyFill="1" applyBorder="1" applyAlignment="1">
      <alignment horizontal="center" wrapText="1"/>
    </xf>
    <xf numFmtId="0" fontId="32" fillId="62" borderId="27" xfId="0" applyFont="1" applyFill="1" applyBorder="1" applyAlignment="1">
      <alignment horizontal="center" wrapText="1"/>
    </xf>
    <xf numFmtId="0" fontId="32" fillId="63" borderId="27" xfId="0" applyFont="1" applyFill="1" applyBorder="1" applyAlignment="1">
      <alignment horizontal="center" wrapText="1"/>
    </xf>
    <xf numFmtId="0" fontId="32" fillId="59" borderId="33" xfId="0" applyFont="1" applyFill="1" applyBorder="1" applyAlignment="1">
      <alignment horizontal="center" wrapText="1"/>
    </xf>
    <xf numFmtId="0" fontId="32" fillId="59" borderId="18" xfId="0" applyFont="1" applyFill="1" applyBorder="1" applyAlignment="1">
      <alignment horizontal="center" wrapText="1"/>
    </xf>
    <xf numFmtId="0" fontId="32" fillId="64" borderId="26" xfId="0" applyFont="1" applyFill="1" applyBorder="1" applyAlignment="1">
      <alignment horizontal="center" wrapText="1"/>
    </xf>
    <xf numFmtId="0" fontId="32" fillId="64" borderId="16" xfId="0" applyFont="1" applyFill="1" applyBorder="1" applyAlignment="1">
      <alignment horizontal="center" wrapText="1"/>
    </xf>
    <xf numFmtId="0" fontId="32" fillId="66" borderId="27" xfId="0" applyFont="1" applyFill="1" applyBorder="1" applyAlignment="1">
      <alignment horizontal="center" wrapText="1"/>
    </xf>
    <xf numFmtId="0" fontId="32" fillId="66" borderId="16" xfId="0" applyFont="1" applyFill="1" applyBorder="1" applyAlignment="1">
      <alignment horizontal="center" wrapText="1"/>
    </xf>
    <xf numFmtId="0" fontId="32" fillId="64" borderId="27" xfId="0" applyFont="1" applyFill="1" applyBorder="1" applyAlignment="1">
      <alignment horizontal="center" wrapText="1"/>
    </xf>
    <xf numFmtId="0" fontId="32" fillId="67" borderId="27" xfId="0" applyFont="1" applyFill="1" applyBorder="1" applyAlignment="1">
      <alignment horizontal="center" wrapText="1"/>
    </xf>
    <xf numFmtId="0" fontId="32" fillId="65" borderId="27" xfId="0" applyFont="1" applyFill="1" applyBorder="1" applyAlignment="1">
      <alignment horizontal="center" wrapText="1"/>
    </xf>
    <xf numFmtId="0" fontId="32" fillId="64" borderId="31" xfId="0" applyFont="1" applyFill="1" applyBorder="1" applyAlignment="1">
      <alignment horizontal="center" wrapText="1"/>
    </xf>
    <xf numFmtId="0" fontId="32" fillId="64" borderId="18" xfId="0" applyFont="1" applyFill="1" applyBorder="1" applyAlignment="1">
      <alignment horizontal="center" wrapText="1"/>
    </xf>
    <xf numFmtId="0" fontId="32" fillId="66" borderId="32" xfId="0" applyFont="1" applyFill="1" applyBorder="1" applyAlignment="1">
      <alignment horizontal="center" wrapText="1"/>
    </xf>
    <xf numFmtId="0" fontId="32" fillId="68" borderId="25" xfId="0" applyFont="1" applyFill="1" applyBorder="1" applyAlignment="1">
      <alignment horizontal="center" wrapText="1"/>
    </xf>
    <xf numFmtId="0" fontId="32" fillId="69" borderId="16" xfId="0" applyFont="1" applyFill="1" applyBorder="1" applyAlignment="1">
      <alignment horizontal="center" wrapText="1"/>
    </xf>
    <xf numFmtId="0" fontId="32" fillId="68" borderId="27" xfId="0" applyFont="1" applyFill="1" applyBorder="1" applyAlignment="1">
      <alignment horizontal="center" wrapText="1"/>
    </xf>
    <xf numFmtId="0" fontId="32" fillId="68" borderId="16" xfId="0" applyFont="1" applyFill="1" applyBorder="1" applyAlignment="1">
      <alignment horizontal="center" wrapText="1"/>
    </xf>
    <xf numFmtId="0" fontId="32" fillId="70" borderId="27" xfId="0" applyFont="1" applyFill="1" applyBorder="1" applyAlignment="1">
      <alignment horizontal="center" wrapText="1"/>
    </xf>
    <xf numFmtId="0" fontId="32" fillId="68" borderId="33" xfId="0" applyFont="1" applyFill="1" applyBorder="1" applyAlignment="1">
      <alignment horizontal="center" wrapText="1"/>
    </xf>
    <xf numFmtId="0" fontId="32" fillId="68" borderId="18" xfId="0" applyFont="1" applyFill="1" applyBorder="1" applyAlignment="1">
      <alignment horizontal="center" wrapText="1"/>
    </xf>
    <xf numFmtId="0" fontId="32" fillId="71" borderId="32" xfId="0" applyFont="1" applyFill="1" applyBorder="1" applyAlignment="1">
      <alignment horizontal="center" wrapText="1"/>
    </xf>
    <xf numFmtId="0" fontId="32" fillId="72" borderId="25" xfId="0" applyFont="1" applyFill="1" applyBorder="1" applyAlignment="1">
      <alignment horizontal="center" wrapText="1"/>
    </xf>
    <xf numFmtId="0" fontId="32" fillId="72" borderId="16" xfId="0" applyFont="1" applyFill="1" applyBorder="1" applyAlignment="1">
      <alignment horizontal="center" wrapText="1"/>
    </xf>
    <xf numFmtId="0" fontId="32" fillId="72" borderId="17" xfId="0" applyFont="1" applyFill="1" applyBorder="1" applyAlignment="1">
      <alignment horizontal="center" wrapText="1"/>
    </xf>
    <xf numFmtId="0" fontId="32" fillId="72" borderId="33" xfId="0" applyFont="1" applyFill="1" applyBorder="1" applyAlignment="1">
      <alignment horizontal="center" wrapText="1"/>
    </xf>
    <xf numFmtId="0" fontId="32" fillId="72" borderId="18" xfId="0" applyFont="1" applyFill="1" applyBorder="1" applyAlignment="1">
      <alignment horizontal="center" wrapText="1"/>
    </xf>
    <xf numFmtId="0" fontId="32" fillId="72" borderId="19" xfId="0" applyFont="1" applyFill="1" applyBorder="1" applyAlignment="1">
      <alignment horizontal="center" wrapText="1"/>
    </xf>
    <xf numFmtId="0" fontId="36" fillId="3" borderId="0" xfId="0" applyFont="1" applyFill="1" applyAlignment="1">
      <alignment horizontal="center" vertical="center" wrapText="1"/>
    </xf>
    <xf numFmtId="0" fontId="36" fillId="2" borderId="0" xfId="0" applyFont="1" applyFill="1" applyAlignment="1">
      <alignment horizontal="center" vertical="center" wrapText="1"/>
    </xf>
    <xf numFmtId="22" fontId="5" fillId="0" borderId="0" xfId="0" applyNumberFormat="1" applyFont="1"/>
    <xf numFmtId="0" fontId="5" fillId="73" borderId="0" xfId="0" applyFont="1" applyFill="1" applyAlignment="1">
      <alignment wrapText="1"/>
    </xf>
    <xf numFmtId="0" fontId="0" fillId="0" borderId="0" xfId="0" applyAlignment="1">
      <alignment vertical="top" wrapText="1"/>
    </xf>
    <xf numFmtId="0" fontId="0" fillId="3" borderId="0" xfId="0" applyFill="1" applyAlignment="1">
      <alignment wrapText="1"/>
    </xf>
    <xf numFmtId="0" fontId="0" fillId="14" borderId="0" xfId="0" applyFill="1"/>
    <xf numFmtId="0" fontId="5" fillId="0" borderId="0" xfId="0" applyFont="1" applyAlignment="1">
      <alignment horizontal="center" wrapText="1"/>
    </xf>
    <xf numFmtId="0" fontId="37" fillId="3" borderId="0" xfId="0" applyFont="1" applyFill="1"/>
    <xf numFmtId="0" fontId="38" fillId="3" borderId="0" xfId="0" applyFont="1" applyFill="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15" fontId="3" fillId="0" borderId="0" xfId="0" applyNumberFormat="1" applyFont="1" applyAlignment="1">
      <alignment horizontal="left" vertical="top"/>
    </xf>
    <xf numFmtId="0" fontId="2" fillId="0" borderId="0" xfId="0" applyFont="1" applyAlignment="1" applyProtection="1">
      <alignment horizontal="left" vertical="center"/>
      <protection locked="0"/>
    </xf>
    <xf numFmtId="0" fontId="4" fillId="3" borderId="0" xfId="0" applyFont="1" applyFill="1"/>
    <xf numFmtId="0" fontId="2" fillId="3" borderId="0" xfId="0" applyFont="1" applyFill="1"/>
    <xf numFmtId="0" fontId="2" fillId="75" borderId="0" xfId="0" applyFont="1" applyFill="1"/>
    <xf numFmtId="0" fontId="2" fillId="76" borderId="0" xfId="0" applyFont="1" applyFill="1"/>
    <xf numFmtId="0" fontId="28" fillId="0" borderId="0" xfId="2" applyFont="1" applyFill="1"/>
    <xf numFmtId="0" fontId="27" fillId="0" borderId="0" xfId="2" applyFont="1" applyFill="1"/>
    <xf numFmtId="0" fontId="37" fillId="6" borderId="0" xfId="0" applyFont="1" applyFill="1"/>
    <xf numFmtId="1" fontId="25" fillId="6" borderId="1" xfId="0" applyNumberFormat="1" applyFont="1" applyFill="1" applyBorder="1" applyAlignment="1">
      <alignment horizontal="center" vertical="top" shrinkToFit="1"/>
    </xf>
    <xf numFmtId="0" fontId="24" fillId="6" borderId="1" xfId="0" applyFont="1" applyFill="1" applyBorder="1" applyAlignment="1">
      <alignment horizontal="center" vertical="top" wrapText="1"/>
    </xf>
    <xf numFmtId="0" fontId="40" fillId="0" borderId="0" xfId="0" applyFont="1"/>
    <xf numFmtId="0" fontId="40" fillId="0" borderId="0" xfId="0" applyFont="1" applyAlignment="1">
      <alignment wrapText="1"/>
    </xf>
    <xf numFmtId="0" fontId="0" fillId="77" borderId="0" xfId="0" applyFill="1"/>
    <xf numFmtId="0" fontId="40" fillId="18" borderId="0" xfId="0" applyFont="1" applyFill="1"/>
    <xf numFmtId="0" fontId="40" fillId="8" borderId="0" xfId="0" applyFont="1" applyFill="1"/>
    <xf numFmtId="0" fontId="38" fillId="3" borderId="0" xfId="0" applyFont="1" applyFill="1" applyAlignment="1">
      <alignment horizontal="left" vertical="top" wrapText="1"/>
    </xf>
    <xf numFmtId="0" fontId="40" fillId="14" borderId="0" xfId="0" applyFont="1" applyFill="1" applyAlignment="1">
      <alignment horizontal="left" vertical="top" wrapText="1"/>
    </xf>
    <xf numFmtId="0" fontId="40" fillId="0" borderId="0" xfId="0" applyFont="1" applyAlignment="1">
      <alignment horizontal="left" vertical="top" wrapText="1"/>
    </xf>
    <xf numFmtId="0" fontId="40" fillId="0" borderId="0" xfId="0" applyFont="1" applyAlignment="1">
      <alignment horizontal="left" vertical="top"/>
    </xf>
    <xf numFmtId="0" fontId="41" fillId="3" borderId="0" xfId="0" applyFont="1" applyFill="1" applyAlignment="1">
      <alignment horizontal="left" vertical="top"/>
    </xf>
    <xf numFmtId="0" fontId="41" fillId="11" borderId="0" xfId="0" applyFont="1" applyFill="1" applyAlignment="1" applyProtection="1">
      <alignment wrapText="1"/>
      <protection locked="0"/>
    </xf>
    <xf numFmtId="0" fontId="40" fillId="0" borderId="0" xfId="0" applyFont="1" applyAlignment="1" applyProtection="1">
      <alignment wrapText="1"/>
      <protection locked="0"/>
    </xf>
    <xf numFmtId="0" fontId="41" fillId="0" borderId="0" xfId="0" applyFont="1" applyProtection="1">
      <protection locked="0"/>
    </xf>
    <xf numFmtId="0" fontId="41" fillId="0" borderId="0" xfId="0" applyFont="1" applyAlignment="1" applyProtection="1">
      <alignment wrapText="1"/>
      <protection locked="0"/>
    </xf>
    <xf numFmtId="0" fontId="40" fillId="0" borderId="0" xfId="0" applyFont="1" applyProtection="1">
      <protection locked="0"/>
    </xf>
    <xf numFmtId="0" fontId="41" fillId="11" borderId="0" xfId="0" applyFont="1" applyFill="1" applyProtection="1">
      <protection locked="0"/>
    </xf>
    <xf numFmtId="0" fontId="41" fillId="18" borderId="0" xfId="0" applyFont="1" applyFill="1" applyProtection="1">
      <protection locked="0"/>
    </xf>
    <xf numFmtId="0" fontId="41" fillId="15" borderId="0" xfId="0" applyFont="1" applyFill="1" applyAlignment="1" applyProtection="1">
      <alignment horizontal="left" wrapText="1"/>
      <protection locked="0"/>
    </xf>
    <xf numFmtId="0" fontId="41" fillId="74" borderId="0" xfId="0" applyFont="1" applyFill="1" applyAlignment="1" applyProtection="1">
      <alignment vertical="center" wrapText="1"/>
      <protection locked="0"/>
    </xf>
    <xf numFmtId="0" fontId="40" fillId="74" borderId="0" xfId="0" applyFont="1" applyFill="1" applyAlignment="1" applyProtection="1">
      <alignment vertical="center" wrapText="1"/>
      <protection locked="0"/>
    </xf>
    <xf numFmtId="0" fontId="4" fillId="0" borderId="0" xfId="0" applyFont="1" applyAlignment="1">
      <alignment vertical="top" wrapText="1"/>
    </xf>
    <xf numFmtId="0" fontId="41" fillId="11" borderId="0" xfId="0" applyFont="1" applyFill="1" applyAlignment="1" applyProtection="1">
      <alignment horizontal="left" wrapText="1"/>
      <protection locked="0"/>
    </xf>
    <xf numFmtId="0" fontId="41" fillId="74" borderId="0" xfId="0" applyFont="1" applyFill="1" applyAlignment="1" applyProtection="1">
      <alignment horizontal="center" wrapText="1"/>
      <protection locked="0"/>
    </xf>
    <xf numFmtId="0" fontId="41" fillId="11" borderId="0" xfId="0" applyFont="1" applyFill="1" applyAlignment="1">
      <alignment horizontal="center"/>
    </xf>
    <xf numFmtId="0" fontId="41" fillId="11" borderId="0" xfId="0" applyFont="1" applyFill="1" applyAlignment="1">
      <alignment horizontal="center" wrapText="1"/>
    </xf>
    <xf numFmtId="0" fontId="41" fillId="3" borderId="0" xfId="0" applyFont="1" applyFill="1" applyAlignment="1">
      <alignment horizontal="center" wrapText="1"/>
    </xf>
    <xf numFmtId="0" fontId="7" fillId="0" borderId="2" xfId="1" applyFont="1" applyBorder="1"/>
    <xf numFmtId="0" fontId="8" fillId="0" borderId="3" xfId="1" applyFont="1" applyBorder="1"/>
    <xf numFmtId="0" fontId="8" fillId="0" borderId="4" xfId="1" applyFont="1" applyBorder="1"/>
    <xf numFmtId="0" fontId="9" fillId="0" borderId="2" xfId="1" applyFont="1" applyBorder="1"/>
    <xf numFmtId="0" fontId="10" fillId="0" borderId="3" xfId="1" applyFont="1" applyBorder="1"/>
    <xf numFmtId="0" fontId="10" fillId="0" borderId="4" xfId="1" applyFont="1" applyBorder="1"/>
    <xf numFmtId="0" fontId="23" fillId="0" borderId="0" xfId="0" applyFont="1" applyAlignment="1">
      <alignment horizontal="center" vertical="top" wrapText="1"/>
    </xf>
    <xf numFmtId="0" fontId="23" fillId="0" borderId="11" xfId="0" applyFont="1" applyBorder="1" applyAlignment="1">
      <alignment horizontal="center" vertical="top" wrapText="1"/>
    </xf>
    <xf numFmtId="0" fontId="2" fillId="3" borderId="0" xfId="0" applyFont="1" applyFill="1" applyAlignment="1">
      <alignment horizontal="center"/>
    </xf>
    <xf numFmtId="0" fontId="2" fillId="0" borderId="0" xfId="0" applyFont="1" applyAlignment="1">
      <alignment horizontal="center"/>
    </xf>
    <xf numFmtId="0" fontId="2" fillId="75" borderId="0" xfId="0" applyFont="1" applyFill="1" applyAlignment="1">
      <alignment horizontal="center"/>
    </xf>
    <xf numFmtId="0" fontId="0" fillId="0" borderId="0" xfId="0" applyAlignment="1">
      <alignment horizontal="left" wrapText="1"/>
    </xf>
    <xf numFmtId="0" fontId="0" fillId="0" borderId="0" xfId="0" applyAlignment="1">
      <alignment horizontal="left"/>
    </xf>
    <xf numFmtId="0" fontId="37" fillId="74" borderId="0" xfId="0" applyFont="1" applyFill="1" applyAlignment="1">
      <alignment horizontal="center" wrapText="1"/>
    </xf>
    <xf numFmtId="0" fontId="5" fillId="3" borderId="0" xfId="0" applyFont="1" applyFill="1" applyAlignment="1">
      <alignment horizontal="center" wrapText="1"/>
    </xf>
    <xf numFmtId="0" fontId="37" fillId="3" borderId="0" xfId="0" applyFont="1" applyFill="1" applyAlignment="1">
      <alignment horizontal="center" wrapText="1"/>
    </xf>
    <xf numFmtId="0" fontId="5" fillId="3" borderId="0" xfId="0" applyFont="1" applyFill="1" applyAlignment="1">
      <alignment horizontal="center"/>
    </xf>
    <xf numFmtId="0" fontId="0" fillId="14" borderId="0" xfId="0" applyFill="1" applyAlignment="1">
      <alignment horizontal="left" wrapText="1"/>
    </xf>
    <xf numFmtId="0" fontId="0" fillId="14" borderId="0" xfId="0" applyFill="1" applyAlignment="1">
      <alignment horizontal="left"/>
    </xf>
    <xf numFmtId="0" fontId="5" fillId="0" borderId="0" xfId="0" applyFont="1" applyAlignment="1">
      <alignment horizontal="left" wrapText="1"/>
    </xf>
    <xf numFmtId="0" fontId="5" fillId="3" borderId="0" xfId="0" applyFont="1" applyFill="1" applyAlignment="1">
      <alignment horizontal="left" wrapText="1"/>
    </xf>
    <xf numFmtId="0" fontId="0" fillId="3" borderId="0" xfId="0" applyFill="1" applyAlignment="1">
      <alignment horizontal="center" vertical="top"/>
    </xf>
    <xf numFmtId="0" fontId="5" fillId="2" borderId="0" xfId="0" applyFont="1" applyFill="1" applyAlignment="1">
      <alignment horizontal="center" wrapText="1"/>
    </xf>
    <xf numFmtId="0" fontId="5" fillId="3" borderId="15" xfId="0" applyFont="1" applyFill="1" applyBorder="1" applyAlignment="1">
      <alignment horizontal="center" wrapText="1"/>
    </xf>
    <xf numFmtId="0" fontId="2" fillId="3" borderId="0" xfId="0" applyFont="1" applyFill="1" applyAlignment="1">
      <alignment horizontal="center" vertical="center" wrapText="1"/>
    </xf>
    <xf numFmtId="0" fontId="2" fillId="2" borderId="0" xfId="0" applyFont="1" applyFill="1" applyAlignment="1">
      <alignment horizontal="center" vertical="center" wrapText="1"/>
    </xf>
    <xf numFmtId="0" fontId="30" fillId="50" borderId="20" xfId="0" applyFont="1" applyFill="1" applyBorder="1" applyAlignment="1">
      <alignment horizontal="center" wrapText="1"/>
    </xf>
    <xf numFmtId="0" fontId="31" fillId="18" borderId="21" xfId="0" applyFont="1" applyFill="1" applyBorder="1" applyAlignment="1">
      <alignment wrapText="1"/>
    </xf>
    <xf numFmtId="0" fontId="31" fillId="18" borderId="22" xfId="0" applyFont="1" applyFill="1" applyBorder="1" applyAlignment="1">
      <alignment wrapText="1"/>
    </xf>
    <xf numFmtId="0" fontId="32" fillId="64" borderId="23" xfId="0" applyFont="1" applyFill="1" applyBorder="1" applyAlignment="1">
      <alignment horizontal="center" wrapText="1"/>
    </xf>
    <xf numFmtId="0" fontId="31" fillId="65" borderId="21" xfId="0" applyFont="1" applyFill="1" applyBorder="1" applyAlignment="1">
      <alignment wrapText="1"/>
    </xf>
    <xf numFmtId="0" fontId="31" fillId="65" borderId="24" xfId="0" applyFont="1" applyFill="1" applyBorder="1" applyAlignment="1">
      <alignment wrapText="1"/>
    </xf>
    <xf numFmtId="0" fontId="32" fillId="55" borderId="20" xfId="0" applyFont="1" applyFill="1" applyBorder="1" applyAlignment="1">
      <alignment horizontal="center" wrapText="1"/>
    </xf>
    <xf numFmtId="0" fontId="31" fillId="56" borderId="21" xfId="0" applyFont="1" applyFill="1" applyBorder="1" applyAlignment="1">
      <alignment wrapText="1"/>
    </xf>
    <xf numFmtId="0" fontId="31" fillId="56" borderId="24" xfId="0" applyFont="1" applyFill="1" applyBorder="1" applyAlignment="1">
      <alignment wrapText="1"/>
    </xf>
    <xf numFmtId="0" fontId="32" fillId="53" borderId="20" xfId="0" applyFont="1" applyFill="1" applyBorder="1" applyAlignment="1">
      <alignment horizontal="center" wrapText="1"/>
    </xf>
    <xf numFmtId="0" fontId="31" fillId="8" borderId="21" xfId="0" applyFont="1" applyFill="1" applyBorder="1" applyAlignment="1">
      <alignment wrapText="1"/>
    </xf>
    <xf numFmtId="0" fontId="31" fillId="8" borderId="22" xfId="0" applyFont="1" applyFill="1" applyBorder="1" applyAlignment="1">
      <alignment wrapText="1"/>
    </xf>
    <xf numFmtId="0" fontId="32" fillId="24" borderId="20" xfId="0" applyFont="1" applyFill="1" applyBorder="1" applyAlignment="1">
      <alignment horizontal="center" wrapText="1"/>
    </xf>
    <xf numFmtId="0" fontId="31" fillId="2" borderId="21" xfId="0" applyFont="1" applyFill="1" applyBorder="1" applyAlignment="1">
      <alignment wrapText="1"/>
    </xf>
    <xf numFmtId="0" fontId="31" fillId="2" borderId="22" xfId="0" applyFont="1" applyFill="1" applyBorder="1" applyAlignment="1">
      <alignment wrapText="1"/>
    </xf>
    <xf numFmtId="0" fontId="32" fillId="25" borderId="20" xfId="0" applyFont="1" applyFill="1" applyBorder="1" applyAlignment="1">
      <alignment horizontal="center" wrapText="1"/>
    </xf>
    <xf numFmtId="0" fontId="31" fillId="10" borderId="21" xfId="0" applyFont="1" applyFill="1" applyBorder="1" applyAlignment="1">
      <alignment wrapText="1"/>
    </xf>
    <xf numFmtId="0" fontId="31" fillId="10" borderId="22" xfId="0" applyFont="1" applyFill="1" applyBorder="1" applyAlignment="1">
      <alignment wrapText="1"/>
    </xf>
    <xf numFmtId="0" fontId="32" fillId="42" borderId="34" xfId="0" applyFont="1" applyFill="1" applyBorder="1" applyAlignment="1">
      <alignment horizontal="center" wrapText="1"/>
    </xf>
    <xf numFmtId="0" fontId="31" fillId="43" borderId="35" xfId="0" applyFont="1" applyFill="1" applyBorder="1" applyAlignment="1">
      <alignment wrapText="1"/>
    </xf>
    <xf numFmtId="0" fontId="31" fillId="43" borderId="36" xfId="0" applyFont="1" applyFill="1" applyBorder="1" applyAlignment="1">
      <alignment wrapText="1"/>
    </xf>
    <xf numFmtId="0" fontId="32" fillId="72" borderId="20" xfId="0" applyFont="1" applyFill="1" applyBorder="1" applyAlignment="1">
      <alignment horizontal="center" wrapText="1"/>
    </xf>
    <xf numFmtId="0" fontId="31" fillId="72" borderId="21" xfId="0" applyFont="1" applyFill="1" applyBorder="1" applyAlignment="1">
      <alignment wrapText="1"/>
    </xf>
    <xf numFmtId="0" fontId="31" fillId="72" borderId="22" xfId="0" applyFont="1" applyFill="1" applyBorder="1" applyAlignment="1">
      <alignment wrapText="1"/>
    </xf>
    <xf numFmtId="0" fontId="32" fillId="48" borderId="20" xfId="0" applyFont="1" applyFill="1" applyBorder="1" applyAlignment="1">
      <alignment horizontal="center" wrapText="1"/>
    </xf>
    <xf numFmtId="0" fontId="31" fillId="18" borderId="24" xfId="0" applyFont="1" applyFill="1" applyBorder="1" applyAlignment="1">
      <alignment wrapText="1"/>
    </xf>
    <xf numFmtId="0" fontId="32" fillId="68" borderId="20" xfId="0" applyFont="1" applyFill="1" applyBorder="1" applyAlignment="1">
      <alignment horizontal="center" wrapText="1"/>
    </xf>
    <xf numFmtId="0" fontId="32" fillId="59" borderId="34" xfId="0" applyFont="1" applyFill="1" applyBorder="1" applyAlignment="1">
      <alignment horizontal="center" wrapText="1"/>
    </xf>
    <xf numFmtId="0" fontId="31" fillId="56" borderId="35" xfId="0" applyFont="1" applyFill="1" applyBorder="1" applyAlignment="1">
      <alignment wrapText="1"/>
    </xf>
    <xf numFmtId="0" fontId="31" fillId="56" borderId="37" xfId="0" applyFont="1" applyFill="1" applyBorder="1" applyAlignment="1">
      <alignment wrapText="1"/>
    </xf>
    <xf numFmtId="0" fontId="32" fillId="54" borderId="34" xfId="0" applyFont="1" applyFill="1" applyBorder="1" applyAlignment="1">
      <alignment horizontal="center" wrapText="1"/>
    </xf>
    <xf numFmtId="0" fontId="31" fillId="8" borderId="35" xfId="0" applyFont="1" applyFill="1" applyBorder="1" applyAlignment="1">
      <alignment wrapText="1"/>
    </xf>
    <xf numFmtId="0" fontId="31" fillId="8" borderId="36" xfId="0" applyFont="1" applyFill="1" applyBorder="1" applyAlignment="1">
      <alignment wrapText="1"/>
    </xf>
  </cellXfs>
  <cellStyles count="4">
    <cellStyle name="Hyperlink" xfId="2" builtinId="8"/>
    <cellStyle name="Normal" xfId="0" builtinId="0"/>
    <cellStyle name="Normal 2" xfId="1" xr:uid="{2C2574B8-3E21-4F1F-8968-474F25C9DE50}"/>
    <cellStyle name="Normal 3" xfId="3" xr:uid="{86E4035F-7D53-4178-AAAA-37E765CB7541}"/>
  </cellStyles>
  <dxfs count="5">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9662B"/>
      <color rgb="FFFF4B4B"/>
      <color rgb="FFFFA3E7"/>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9.xml.rels><?xml version="1.0" encoding="UTF-8" standalone="yes"?>
<Relationships xmlns="http://schemas.openxmlformats.org/package/2006/relationships"><Relationship Id="rId8" Type="http://schemas.openxmlformats.org/officeDocument/2006/relationships/hyperlink" Target="http://www.astro.com/" TargetMode="External"/><Relationship Id="rId13" Type="http://schemas.openxmlformats.org/officeDocument/2006/relationships/hyperlink" Target="https://bestkpastrologysoftware.com/&#160;" TargetMode="External"/><Relationship Id="rId3" Type="http://schemas.openxmlformats.org/officeDocument/2006/relationships/hyperlink" Target="https://www.jyotishyadeepika.com/" TargetMode="External"/><Relationship Id="rId7" Type="http://schemas.openxmlformats.org/officeDocument/2006/relationships/hyperlink" Target="http://www.gpshorary.com/" TargetMode="External"/><Relationship Id="rId12" Type="http://schemas.openxmlformats.org/officeDocument/2006/relationships/hyperlink" Target="https://play.google.com/store/apps/details?id=com.vishdroid.jyotisha&amp;hl=en_CA&amp;gl=US&amp;pli=1%20JyotishApp" TargetMode="External"/><Relationship Id="rId2" Type="http://schemas.openxmlformats.org/officeDocument/2006/relationships/hyperlink" Target="https://www.rahasyavedicastrology.com/kp-astrology-software/" TargetMode="External"/><Relationship Id="rId1" Type="http://schemas.openxmlformats.org/officeDocument/2006/relationships/hyperlink" Target="https://www.kpnox.com/index.html" TargetMode="External"/><Relationship Id="rId6" Type="http://schemas.openxmlformats.org/officeDocument/2006/relationships/hyperlink" Target="https://www.mykundali.com/" TargetMode="External"/><Relationship Id="rId11" Type="http://schemas.openxmlformats.org/officeDocument/2006/relationships/hyperlink" Target="http://kpstarone.com/" TargetMode="External"/><Relationship Id="rId5" Type="http://schemas.openxmlformats.org/officeDocument/2006/relationships/hyperlink" Target="http://astrosage.com/m" TargetMode="External"/><Relationship Id="rId10" Type="http://schemas.openxmlformats.org/officeDocument/2006/relationships/hyperlink" Target="http://www.vedicastrologer.org/jh" TargetMode="External"/><Relationship Id="rId4" Type="http://schemas.openxmlformats.org/officeDocument/2006/relationships/hyperlink" Target="http://www.astrosage.com/" TargetMode="External"/><Relationship Id="rId9" Type="http://schemas.openxmlformats.org/officeDocument/2006/relationships/hyperlink" Target="http://www.astraura.org/" TargetMode="External"/><Relationship Id="rId14" Type="http://schemas.openxmlformats.org/officeDocument/2006/relationships/hyperlink" Target="http://kpastrologys.net/serv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B3D63-4423-42E2-9386-19167E235844}">
  <dimension ref="A1:E59"/>
  <sheetViews>
    <sheetView tabSelected="1" topLeftCell="A34" workbookViewId="0">
      <selection activeCell="D38" sqref="D38"/>
    </sheetView>
  </sheetViews>
  <sheetFormatPr defaultRowHeight="14.5" x14ac:dyDescent="0.35"/>
  <cols>
    <col min="2" max="2" width="63.81640625" bestFit="1" customWidth="1"/>
    <col min="13" max="13" width="12.54296875" customWidth="1"/>
  </cols>
  <sheetData>
    <row r="1" spans="1:5" ht="22.5" customHeight="1" x14ac:dyDescent="0.5">
      <c r="A1" s="270" t="s">
        <v>125</v>
      </c>
      <c r="B1" s="270" t="s">
        <v>3689</v>
      </c>
    </row>
    <row r="2" spans="1:5" ht="22.5" customHeight="1" x14ac:dyDescent="0.5">
      <c r="A2" s="268">
        <v>1</v>
      </c>
      <c r="B2" s="269" t="s">
        <v>4342</v>
      </c>
    </row>
    <row r="3" spans="1:5" ht="22.5" customHeight="1" x14ac:dyDescent="0.6">
      <c r="A3" s="268">
        <v>2</v>
      </c>
      <c r="B3" s="269" t="s">
        <v>3993</v>
      </c>
      <c r="E3" s="2"/>
    </row>
    <row r="4" spans="1:5" ht="22.5" customHeight="1" x14ac:dyDescent="0.6">
      <c r="A4" s="268">
        <v>3</v>
      </c>
      <c r="B4" s="269" t="s">
        <v>4339</v>
      </c>
      <c r="E4" s="2"/>
    </row>
    <row r="5" spans="1:5" ht="22.5" customHeight="1" x14ac:dyDescent="0.6">
      <c r="A5" s="268">
        <v>4</v>
      </c>
      <c r="B5" s="269" t="s">
        <v>3708</v>
      </c>
      <c r="E5" s="2"/>
    </row>
    <row r="6" spans="1:5" ht="22.5" customHeight="1" x14ac:dyDescent="0.6">
      <c r="A6" s="268">
        <v>5</v>
      </c>
      <c r="B6" s="269" t="s">
        <v>3695</v>
      </c>
      <c r="E6" s="2"/>
    </row>
    <row r="7" spans="1:5" ht="22.5" customHeight="1" x14ac:dyDescent="0.5">
      <c r="A7" s="268">
        <v>6</v>
      </c>
      <c r="B7" s="269" t="s">
        <v>3700</v>
      </c>
    </row>
    <row r="8" spans="1:5" ht="22.5" customHeight="1" x14ac:dyDescent="0.5">
      <c r="A8" s="268">
        <v>7</v>
      </c>
      <c r="B8" s="269" t="s">
        <v>3701</v>
      </c>
    </row>
    <row r="9" spans="1:5" ht="22.5" customHeight="1" x14ac:dyDescent="0.5">
      <c r="A9" s="268">
        <v>8</v>
      </c>
      <c r="B9" s="269" t="s">
        <v>3702</v>
      </c>
    </row>
    <row r="10" spans="1:5" ht="22.5" customHeight="1" x14ac:dyDescent="0.5">
      <c r="A10" s="268">
        <v>9</v>
      </c>
      <c r="B10" s="269" t="s">
        <v>3699</v>
      </c>
    </row>
    <row r="11" spans="1:5" ht="22.5" customHeight="1" x14ac:dyDescent="0.5">
      <c r="A11" s="268">
        <v>10</v>
      </c>
      <c r="B11" s="269" t="s">
        <v>3698</v>
      </c>
    </row>
    <row r="12" spans="1:5" ht="22.5" customHeight="1" x14ac:dyDescent="0.5">
      <c r="A12" s="268">
        <v>11</v>
      </c>
      <c r="B12" s="269" t="s">
        <v>3697</v>
      </c>
    </row>
    <row r="13" spans="1:5" ht="22.5" customHeight="1" x14ac:dyDescent="0.5">
      <c r="A13" s="268">
        <v>12</v>
      </c>
      <c r="B13" s="269" t="s">
        <v>4590</v>
      </c>
    </row>
    <row r="14" spans="1:5" ht="22.5" customHeight="1" x14ac:dyDescent="0.5">
      <c r="A14" s="268">
        <v>13</v>
      </c>
      <c r="B14" s="269" t="s">
        <v>4448</v>
      </c>
    </row>
    <row r="15" spans="1:5" ht="22.5" customHeight="1" x14ac:dyDescent="0.5">
      <c r="A15" s="268">
        <v>14</v>
      </c>
      <c r="B15" s="269" t="s">
        <v>3704</v>
      </c>
    </row>
    <row r="16" spans="1:5" ht="22.5" customHeight="1" x14ac:dyDescent="0.5">
      <c r="A16" s="268">
        <v>15</v>
      </c>
      <c r="B16" s="269" t="s">
        <v>3703</v>
      </c>
    </row>
    <row r="17" spans="1:2" ht="22.5" customHeight="1" x14ac:dyDescent="0.5">
      <c r="A17" s="268">
        <v>16</v>
      </c>
      <c r="B17" s="269" t="s">
        <v>3709</v>
      </c>
    </row>
    <row r="18" spans="1:2" ht="22.5" customHeight="1" x14ac:dyDescent="0.5">
      <c r="A18" s="268">
        <v>17</v>
      </c>
      <c r="B18" s="269" t="s">
        <v>4163</v>
      </c>
    </row>
    <row r="19" spans="1:2" ht="22.5" customHeight="1" x14ac:dyDescent="0.5">
      <c r="A19" s="268">
        <v>18</v>
      </c>
      <c r="B19" s="269" t="s">
        <v>4723</v>
      </c>
    </row>
    <row r="20" spans="1:2" ht="22.5" customHeight="1" x14ac:dyDescent="0.5">
      <c r="A20" s="268">
        <v>19</v>
      </c>
      <c r="B20" s="269" t="s">
        <v>3693</v>
      </c>
    </row>
    <row r="21" spans="1:2" ht="22.5" customHeight="1" x14ac:dyDescent="0.5">
      <c r="A21" s="268">
        <v>20</v>
      </c>
      <c r="B21" s="269" t="s">
        <v>3705</v>
      </c>
    </row>
    <row r="22" spans="1:2" ht="22.5" customHeight="1" x14ac:dyDescent="0.5">
      <c r="A22" s="268">
        <v>21</v>
      </c>
      <c r="B22" s="269" t="s">
        <v>3696</v>
      </c>
    </row>
    <row r="23" spans="1:2" ht="22.5" customHeight="1" x14ac:dyDescent="0.5">
      <c r="A23" s="268">
        <v>22</v>
      </c>
      <c r="B23" s="269" t="s">
        <v>4162</v>
      </c>
    </row>
    <row r="24" spans="1:2" ht="22.5" customHeight="1" x14ac:dyDescent="0.5">
      <c r="A24" s="268">
        <v>23</v>
      </c>
      <c r="B24" s="269" t="s">
        <v>3936</v>
      </c>
    </row>
    <row r="25" spans="1:2" ht="22.5" customHeight="1" x14ac:dyDescent="0.5">
      <c r="A25" s="268">
        <v>24</v>
      </c>
      <c r="B25" s="269" t="s">
        <v>4475</v>
      </c>
    </row>
    <row r="26" spans="1:2" ht="22.5" customHeight="1" x14ac:dyDescent="0.5">
      <c r="A26" s="268">
        <v>25</v>
      </c>
      <c r="B26" s="269" t="s">
        <v>3910</v>
      </c>
    </row>
    <row r="27" spans="1:2" ht="22.5" customHeight="1" x14ac:dyDescent="0.5">
      <c r="A27" s="268">
        <v>26</v>
      </c>
      <c r="B27" s="269" t="s">
        <v>3706</v>
      </c>
    </row>
    <row r="28" spans="1:2" ht="22.5" customHeight="1" x14ac:dyDescent="0.5">
      <c r="A28" s="268">
        <v>27</v>
      </c>
      <c r="B28" s="269" t="s">
        <v>4018</v>
      </c>
    </row>
    <row r="29" spans="1:2" ht="22.5" customHeight="1" x14ac:dyDescent="0.5">
      <c r="A29" s="268">
        <v>28</v>
      </c>
      <c r="B29" s="269" t="s">
        <v>4362</v>
      </c>
    </row>
    <row r="30" spans="1:2" ht="22.5" customHeight="1" x14ac:dyDescent="0.5">
      <c r="A30" s="268">
        <v>29</v>
      </c>
      <c r="B30" s="269" t="s">
        <v>4418</v>
      </c>
    </row>
    <row r="31" spans="1:2" ht="22.5" customHeight="1" x14ac:dyDescent="0.5">
      <c r="A31" s="268">
        <v>30</v>
      </c>
      <c r="B31" s="269" t="s">
        <v>3690</v>
      </c>
    </row>
    <row r="32" spans="1:2" ht="22.5" customHeight="1" x14ac:dyDescent="0.5">
      <c r="A32" s="268">
        <v>31</v>
      </c>
      <c r="B32" s="269" t="s">
        <v>3728</v>
      </c>
    </row>
    <row r="33" spans="1:5" ht="22.5" customHeight="1" x14ac:dyDescent="0.5">
      <c r="A33" s="268">
        <v>32</v>
      </c>
      <c r="B33" s="269" t="s">
        <v>4473</v>
      </c>
    </row>
    <row r="34" spans="1:5" ht="22.5" customHeight="1" x14ac:dyDescent="0.5">
      <c r="A34" s="268">
        <v>33</v>
      </c>
      <c r="B34" s="269" t="s">
        <v>4724</v>
      </c>
    </row>
    <row r="35" spans="1:5" ht="22.5" customHeight="1" x14ac:dyDescent="0.6">
      <c r="A35" s="268">
        <v>34</v>
      </c>
      <c r="B35" s="269" t="s">
        <v>3919</v>
      </c>
      <c r="E35" s="2"/>
    </row>
    <row r="36" spans="1:5" ht="22.5" customHeight="1" x14ac:dyDescent="0.6">
      <c r="A36" s="268">
        <v>35</v>
      </c>
      <c r="B36" s="269" t="s">
        <v>3691</v>
      </c>
      <c r="E36" s="2"/>
    </row>
    <row r="37" spans="1:5" ht="22.5" customHeight="1" x14ac:dyDescent="0.6">
      <c r="A37" s="268">
        <v>36</v>
      </c>
      <c r="B37" s="269" t="s">
        <v>3692</v>
      </c>
      <c r="E37" s="2"/>
    </row>
    <row r="38" spans="1:5" ht="22.5" customHeight="1" x14ac:dyDescent="0.6">
      <c r="A38" s="268">
        <v>37</v>
      </c>
      <c r="B38" s="269" t="s">
        <v>3837</v>
      </c>
      <c r="E38" s="2"/>
    </row>
    <row r="39" spans="1:5" ht="22.5" customHeight="1" x14ac:dyDescent="0.5">
      <c r="A39" s="268">
        <v>38</v>
      </c>
      <c r="B39" s="269" t="s">
        <v>3707</v>
      </c>
    </row>
    <row r="40" spans="1:5" ht="22.5" customHeight="1" x14ac:dyDescent="0.5">
      <c r="A40" s="268">
        <v>39</v>
      </c>
      <c r="B40" s="269" t="s">
        <v>3795</v>
      </c>
    </row>
    <row r="41" spans="1:5" ht="22.5" customHeight="1" x14ac:dyDescent="0.5">
      <c r="A41" s="268">
        <v>40</v>
      </c>
      <c r="B41" s="269" t="s">
        <v>4474</v>
      </c>
    </row>
    <row r="42" spans="1:5" ht="22.5" customHeight="1" x14ac:dyDescent="0.5">
      <c r="A42" s="268">
        <v>41</v>
      </c>
      <c r="B42" s="269" t="s">
        <v>4465</v>
      </c>
    </row>
    <row r="43" spans="1:5" ht="22.5" customHeight="1" x14ac:dyDescent="0.5">
      <c r="A43" s="268">
        <v>42</v>
      </c>
      <c r="B43" s="269" t="s">
        <v>3694</v>
      </c>
    </row>
    <row r="44" spans="1:5" ht="22.5" customHeight="1" x14ac:dyDescent="0.5">
      <c r="A44" s="268">
        <v>43</v>
      </c>
      <c r="B44" s="269" t="s">
        <v>4023</v>
      </c>
    </row>
    <row r="45" spans="1:5" ht="22.5" customHeight="1" x14ac:dyDescent="0.5">
      <c r="A45" s="268">
        <v>44</v>
      </c>
      <c r="B45" s="269" t="s">
        <v>4122</v>
      </c>
    </row>
    <row r="46" spans="1:5" ht="21" x14ac:dyDescent="0.5">
      <c r="A46" s="268"/>
      <c r="B46" s="269"/>
    </row>
    <row r="47" spans="1:5" ht="21" x14ac:dyDescent="0.5">
      <c r="A47" s="268"/>
      <c r="B47" s="269"/>
    </row>
    <row r="48" spans="1:5" ht="21" x14ac:dyDescent="0.5">
      <c r="A48" s="268"/>
      <c r="B48" s="269"/>
    </row>
    <row r="49" spans="1:2" ht="21" x14ac:dyDescent="0.5">
      <c r="A49" s="268"/>
      <c r="B49" s="269"/>
    </row>
    <row r="50" spans="1:2" ht="21" x14ac:dyDescent="0.5">
      <c r="A50" s="268"/>
      <c r="B50" s="269"/>
    </row>
    <row r="51" spans="1:2" ht="21" x14ac:dyDescent="0.5">
      <c r="A51" s="268"/>
      <c r="B51" s="269"/>
    </row>
    <row r="52" spans="1:2" ht="21" x14ac:dyDescent="0.5">
      <c r="A52" s="268"/>
      <c r="B52" s="269"/>
    </row>
    <row r="53" spans="1:2" ht="21" x14ac:dyDescent="0.5">
      <c r="A53" s="268"/>
      <c r="B53" s="269"/>
    </row>
    <row r="54" spans="1:2" ht="21" x14ac:dyDescent="0.5">
      <c r="A54" s="268"/>
      <c r="B54" s="269"/>
    </row>
    <row r="55" spans="1:2" ht="21" x14ac:dyDescent="0.5">
      <c r="A55" s="268"/>
      <c r="B55" s="269"/>
    </row>
    <row r="56" spans="1:2" ht="21" x14ac:dyDescent="0.5">
      <c r="A56" s="268"/>
      <c r="B56" s="269"/>
    </row>
    <row r="57" spans="1:2" ht="21" x14ac:dyDescent="0.5">
      <c r="A57" s="268"/>
      <c r="B57" s="269"/>
    </row>
    <row r="58" spans="1:2" ht="21" x14ac:dyDescent="0.5">
      <c r="A58" s="268"/>
      <c r="B58" s="269"/>
    </row>
    <row r="59" spans="1:2" ht="21" x14ac:dyDescent="0.5">
      <c r="A59" s="268"/>
      <c r="B59" s="269"/>
    </row>
  </sheetData>
  <sortState xmlns:xlrd2="http://schemas.microsoft.com/office/spreadsheetml/2017/richdata2" ref="A2:B59">
    <sortCondition ref="B2:B59"/>
  </sortState>
  <hyperlinks>
    <hyperlink ref="B31" location="'Prediction Template'!A1" display="Prediction Template" xr:uid="{7C1F177D-D13C-40D7-8FE1-5E0E859F9410}"/>
    <hyperlink ref="B36" location="'1500+Rules'!A1" display="Rule Book Master Table" xr:uid="{AB9F87CE-2A88-4C82-9371-1FD36FCD6654}"/>
    <hyperlink ref="B37" location="ReadyReckoner!A1" display="Rule Book Ready Reckoner" xr:uid="{B063933E-3688-4351-914D-820864B23198}"/>
    <hyperlink ref="B20" location="HigherEducationStreams!A1" display="Higher Education Streams" xr:uid="{CC830273-2716-4729-A2BA-DD2C4B9956E5}"/>
    <hyperlink ref="B43" location="TimeOfEvent!A1" display="Time of Event Calculation Template" xr:uid="{8503C9BB-7A2D-40BB-A300-4280543696A8}"/>
    <hyperlink ref="B6" location="'2024SunTransit'!A1" display="2024 Sun Transit Calendar in Zodiacs" xr:uid="{2360664F-4813-4134-8537-9EA376D08552}"/>
    <hyperlink ref="B22" location="MaleficBenefic!A1" display="Malefic and Benefic Planets Template" xr:uid="{431EFF1E-29D0-44E3-AF36-A502C2FEEBB3}"/>
    <hyperlink ref="B12" location="Aspects!A1" display="Aspects Table" xr:uid="{7B21A7B2-B3DA-42FE-959C-9E7AB0C87603}"/>
    <hyperlink ref="B11" location="'ABCD Significance'!A1" display="ABCD Significance Calculation Template" xr:uid="{D75EBECC-36DC-453E-BF4D-B8B0C9C140A4}"/>
    <hyperlink ref="B10" location="'249SubDivisionsHoraryNumbers'!A1" display="249 Sub Divisions Horary Numbers" xr:uid="{4F0D32F3-B555-4699-88EA-D6BF970FD6D8}"/>
    <hyperlink ref="B7" location="'249Diseases'!A1" display="249 Diseases List" xr:uid="{95A951B3-1CB5-4E5B-BDAB-63508D9A4A19}"/>
    <hyperlink ref="B8" location="'249Mindsets'!A1" display="249 Mindsets List" xr:uid="{55186E33-7B27-4438-AFE9-E6FC76BFA6D6}"/>
    <hyperlink ref="B9" location="'249Professions'!A1" display="249 Professions List" xr:uid="{167355E3-5CDC-42CD-8A79-0D5AEDE89C5A}"/>
    <hyperlink ref="B16" location="Fortuna!A1" display="Fortuna Rule Book" xr:uid="{01FEA1EE-C6E7-4479-B5FE-C15BC79D4D31}"/>
    <hyperlink ref="B15" location="FortunaMethod!A1" display="Fortuna Calculation Method" xr:uid="{764A5DD9-644D-4C49-9B21-71BF9E7D6D0C}"/>
    <hyperlink ref="B21" location="'Houses Meaning'!A1" display="Houses Meaning Table" xr:uid="{ECF0FCAA-AC36-4C23-ACCC-CECA2772C078}"/>
    <hyperlink ref="B27" location="PlanetPositionSignification!A1" display="Planet Position Signification Table" xr:uid="{2BD64903-580C-433C-B86B-DE70EB4E4C92}"/>
    <hyperlink ref="B39" location="StarwiseDiseases!A1" display="Star-wise Diseases List" xr:uid="{DF6D809D-E79E-4A89-8125-B99019CB1C73}"/>
    <hyperlink ref="B5" location="'2024RetrogradeCalendar'!A1" display="2024 Retrograde Calendar" xr:uid="{6D1B2B10-DFC5-47C7-8A27-3C4430DBB0EC}"/>
    <hyperlink ref="B17" location="'Full Life Events Prediction'!A1" display="Full Life Events Prediction" xr:uid="{8E346A20-9EEE-4FB3-8D6F-D5C21FAB78FA}"/>
    <hyperlink ref="B32" location="Punarpoo!A1" display="Punarpoo Dosha Rule" xr:uid="{561E1BA3-011F-4833-BB19-DCEF1CE1E090}"/>
    <hyperlink ref="B40" location="'Star-wise Professions'!A1" display="Star-wise Professions List" xr:uid="{2CF92B2C-711C-446D-BBEB-67A27E1981BF}"/>
    <hyperlink ref="B38" location="'Software List KP Astrology'!A1" display="Software List KP Astrology" xr:uid="{124E1CBA-E985-4777-B5F0-F1F10131A4EB}"/>
    <hyperlink ref="B45" location="ZodiacSigns!A1" display="Zodiac Signs" xr:uid="{0D03F145-8D04-480D-AF1C-52D65087CC5E}"/>
    <hyperlink ref="B26" location="PlanetDirection!A1" display="Planet Direction" xr:uid="{ABA0300B-795E-4ACC-9EDD-D2E5ECCE5B4E}"/>
    <hyperlink ref="B35" location="Relationship!A1" display="Relationships" xr:uid="{0E5E5334-8B54-4B6C-979C-E94CB96B9A97}"/>
    <hyperlink ref="B24" location="MissingPerson!A1" display="Missing Person Astrology" xr:uid="{9641B1FC-3284-412E-931F-852970609C8D}"/>
    <hyperlink ref="B3" location="'2024Fortuna'!A1" display="2024 Fortuna Calendar" xr:uid="{71887632-C100-4854-8CE5-E68A43BAC298}"/>
    <hyperlink ref="B28" location="PlanetFriendship!A1" display="Planet to Planet Natural Relationship" xr:uid="{D08E733C-CEFB-4E54-AF34-A8045D9B1A04}"/>
    <hyperlink ref="B18" location="'Gems Remedies'!A1" display="Gems Remedies" xr:uid="{EC27D3B5-F42F-4551-8B65-56D956F0B240}"/>
    <hyperlink ref="B23" location="'Marriage Partner Looks'!A1" display="Marriage Partner Looks" xr:uid="{E4F90360-E7C6-4099-8F73-1A84A95460E9}"/>
    <hyperlink ref="B44" location="Vimshottari!A1" display="Vimshottari Subdivision Calculation" xr:uid="{8174332C-7D26-41CE-AD4C-4814AEE3A3C0}"/>
    <hyperlink ref="B4" location="'2024MoonTransit'!A1" display="2024 Moon Transit Calendar" xr:uid="{033616FE-2E30-47B2-9C88-18AAF304150E}"/>
    <hyperlink ref="B29" location="PlanetsCharacteristics!A1" display="Planets Characteristics" xr:uid="{441F78A5-6390-4F0A-97F7-D3DCC4C4E39A}"/>
    <hyperlink ref="B2" location="'Version Control'!A1" display="00-Log Version Control" xr:uid="{25365E95-820A-41B6-B450-27D5FEDE0F63}"/>
    <hyperlink ref="B30" location="'Prediction Algorithm'!A1" display="Prediction Algorithm" xr:uid="{42998D17-3FA9-4398-A615-7E5D1677D973}"/>
    <hyperlink ref="B14" location="BTR!A1" display="Birth Time Rectification Method" xr:uid="{0C775390-A289-480C-8940-C2F7BE6C3B45}"/>
    <hyperlink ref="B42" location="'Strongest Planet Calculation'!A1" display="Strongest Planet Calculation Template" xr:uid="{10766CF3-AC56-46A9-A746-2BAB47AE407D}"/>
    <hyperlink ref="B33" location="'Quantum Astrology'!A1" display="Quantum Astrology" xr:uid="{F3680A0C-A225-4936-8619-F19971EAFD97}"/>
    <hyperlink ref="B41" location="'Stock Market Astrology'!A1" display="Stock Market Astrology" xr:uid="{8084C81E-EA6D-4F4C-8791-B74F35576331}"/>
    <hyperlink ref="B25" location="Numerology!A1" display="Numerology" xr:uid="{4BE0BEA1-B2AB-486D-9710-1A40B6852431}"/>
    <hyperlink ref="B13" location="'Aspects Template'!A1" display="Aspects Template" xr:uid="{F6A9F36A-976F-4071-99D3-837DDC5665B2}"/>
    <hyperlink ref="B19" location="HealthChart!A1" display="Health Chart" xr:uid="{71C99BA2-B8BC-475E-A98C-3EECAE459B07}"/>
    <hyperlink ref="B34" location="RelationshipZones!A1" display="Relationship Vastu Zones" xr:uid="{8A459288-ECC0-4936-BAFA-6F4B3AB35B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88505-59B6-4545-9989-4B3EC7A7F8CA}">
  <dimension ref="A1:B8"/>
  <sheetViews>
    <sheetView workbookViewId="0">
      <selection activeCell="B8" sqref="B8"/>
    </sheetView>
  </sheetViews>
  <sheetFormatPr defaultColWidth="9.1796875" defaultRowHeight="18.5" x14ac:dyDescent="0.45"/>
  <cols>
    <col min="1" max="1" width="18.81640625" style="260" bestFit="1" customWidth="1"/>
    <col min="2" max="2" width="95" style="261" bestFit="1" customWidth="1"/>
    <col min="3" max="16384" width="9.1796875" style="96"/>
  </cols>
  <sheetData>
    <row r="1" spans="1:2" x14ac:dyDescent="0.45">
      <c r="A1" s="259" t="s">
        <v>4334</v>
      </c>
      <c r="B1" s="278" t="s">
        <v>4335</v>
      </c>
    </row>
    <row r="2" spans="1:2" x14ac:dyDescent="0.45">
      <c r="A2" s="260" t="s">
        <v>4336</v>
      </c>
      <c r="B2" s="261" t="s">
        <v>4337</v>
      </c>
    </row>
    <row r="3" spans="1:2" ht="55.5" x14ac:dyDescent="0.45">
      <c r="A3" s="262">
        <v>45346</v>
      </c>
      <c r="B3" s="261" t="s">
        <v>4328</v>
      </c>
    </row>
    <row r="4" spans="1:2" ht="37" x14ac:dyDescent="0.45">
      <c r="A4" s="262">
        <v>45350</v>
      </c>
      <c r="B4" s="261" t="s">
        <v>4340</v>
      </c>
    </row>
    <row r="5" spans="1:2" ht="37" x14ac:dyDescent="0.45">
      <c r="A5" s="262">
        <v>45376</v>
      </c>
      <c r="B5" s="261" t="s">
        <v>4380</v>
      </c>
    </row>
    <row r="6" spans="1:2" x14ac:dyDescent="0.45">
      <c r="A6" s="262">
        <v>45380</v>
      </c>
      <c r="B6" s="261" t="s">
        <v>4381</v>
      </c>
    </row>
    <row r="7" spans="1:2" x14ac:dyDescent="0.45">
      <c r="A7" s="262">
        <v>45404</v>
      </c>
      <c r="B7" s="261" t="s">
        <v>4470</v>
      </c>
    </row>
    <row r="8" spans="1:2" ht="37" x14ac:dyDescent="0.45">
      <c r="A8" s="262">
        <v>45456</v>
      </c>
      <c r="B8" s="261" t="s">
        <v>4739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E700C-D5BC-42EE-9D30-90CA4D52D5AB}">
  <dimension ref="A1:N89"/>
  <sheetViews>
    <sheetView workbookViewId="0">
      <pane xSplit="2" ySplit="2" topLeftCell="C7" activePane="bottomRight" state="frozen"/>
      <selection pane="topRight" activeCell="C1" sqref="C1"/>
      <selection pane="bottomLeft" activeCell="A3" sqref="A3"/>
      <selection pane="bottomRight" activeCell="A3" sqref="A3"/>
    </sheetView>
  </sheetViews>
  <sheetFormatPr defaultColWidth="9.1796875" defaultRowHeight="17" x14ac:dyDescent="0.4"/>
  <cols>
    <col min="1" max="1" width="11.7265625" style="284" bestFit="1" customWidth="1"/>
    <col min="2" max="2" width="10.54296875" style="284" customWidth="1"/>
    <col min="3" max="3" width="79.453125" style="284" bestFit="1" customWidth="1"/>
    <col min="4" max="4" width="18.7265625" style="284" customWidth="1"/>
    <col min="5" max="5" width="20" style="284" bestFit="1" customWidth="1"/>
    <col min="6" max="6" width="18.26953125" style="284" bestFit="1" customWidth="1"/>
    <col min="7" max="7" width="12.26953125" style="284" bestFit="1" customWidth="1"/>
    <col min="8" max="8" width="13.81640625" style="284" bestFit="1" customWidth="1"/>
    <col min="9" max="9" width="20.7265625" style="284" bestFit="1" customWidth="1"/>
    <col min="10" max="10" width="22" style="284" bestFit="1" customWidth="1"/>
    <col min="11" max="11" width="20.453125" style="284" bestFit="1" customWidth="1"/>
    <col min="12" max="12" width="21.7265625" style="284" bestFit="1" customWidth="1"/>
    <col min="13" max="13" width="20.7265625" style="284" bestFit="1" customWidth="1"/>
    <col min="14" max="14" width="21.81640625" style="284" bestFit="1" customWidth="1"/>
    <col min="15" max="16" width="22.26953125" style="284" customWidth="1"/>
    <col min="17" max="16384" width="9.1796875" style="284"/>
  </cols>
  <sheetData>
    <row r="1" spans="1:14" s="283" customFormat="1" x14ac:dyDescent="0.4">
      <c r="A1" s="294" t="s">
        <v>4497</v>
      </c>
      <c r="B1" s="294"/>
      <c r="C1" s="294"/>
    </row>
    <row r="2" spans="1:14" s="283" customFormat="1" ht="34" x14ac:dyDescent="0.4">
      <c r="A2" s="283" t="s">
        <v>4498</v>
      </c>
      <c r="B2" s="283" t="s">
        <v>3285</v>
      </c>
      <c r="C2" s="283" t="s">
        <v>4499</v>
      </c>
      <c r="D2" s="283" t="s">
        <v>4508</v>
      </c>
      <c r="E2" s="283" t="s">
        <v>4528</v>
      </c>
      <c r="F2" s="283" t="s">
        <v>4509</v>
      </c>
      <c r="G2" s="283" t="s">
        <v>4501</v>
      </c>
      <c r="H2" s="283" t="s">
        <v>4522</v>
      </c>
      <c r="I2" s="283" t="s">
        <v>4524</v>
      </c>
      <c r="J2" s="283" t="s">
        <v>4515</v>
      </c>
      <c r="K2" s="283" t="s">
        <v>4560</v>
      </c>
      <c r="L2" s="283" t="s">
        <v>4552</v>
      </c>
      <c r="M2" s="283" t="s">
        <v>4519</v>
      </c>
      <c r="N2" s="283" t="s">
        <v>4502</v>
      </c>
    </row>
    <row r="3" spans="1:14" ht="68" x14ac:dyDescent="0.4">
      <c r="A3" s="284">
        <v>1</v>
      </c>
      <c r="B3" s="284" t="s">
        <v>9</v>
      </c>
      <c r="C3" s="284" t="s">
        <v>4527</v>
      </c>
      <c r="D3" s="284" t="s">
        <v>4503</v>
      </c>
      <c r="E3" s="284" t="s">
        <v>4500</v>
      </c>
      <c r="F3" s="284">
        <v>1</v>
      </c>
      <c r="G3" s="284" t="s">
        <v>4516</v>
      </c>
      <c r="H3" s="284" t="s">
        <v>4523</v>
      </c>
      <c r="I3" s="284" t="s">
        <v>4525</v>
      </c>
      <c r="J3" s="284" t="s">
        <v>4514</v>
      </c>
      <c r="K3" s="284" t="s">
        <v>4513</v>
      </c>
      <c r="L3" s="284" t="s">
        <v>4529</v>
      </c>
      <c r="N3" s="284" t="s">
        <v>4626</v>
      </c>
    </row>
    <row r="4" spans="1:14" ht="102" x14ac:dyDescent="0.4">
      <c r="A4" s="284">
        <v>2</v>
      </c>
      <c r="B4" s="284" t="s">
        <v>44</v>
      </c>
      <c r="C4" s="284" t="s">
        <v>4533</v>
      </c>
      <c r="D4" s="284" t="s">
        <v>4500</v>
      </c>
      <c r="E4" s="284" t="s">
        <v>4531</v>
      </c>
      <c r="F4" s="284">
        <v>2</v>
      </c>
      <c r="G4" s="284" t="s">
        <v>4517</v>
      </c>
      <c r="H4" s="284" t="s">
        <v>4530</v>
      </c>
      <c r="I4" s="284" t="s">
        <v>4532</v>
      </c>
      <c r="J4" s="284" t="s">
        <v>4513</v>
      </c>
      <c r="K4" s="284" t="s">
        <v>4514</v>
      </c>
      <c r="L4" s="284" t="s">
        <v>4534</v>
      </c>
      <c r="M4" s="284" t="s">
        <v>4535</v>
      </c>
      <c r="N4" s="284" t="s">
        <v>4627</v>
      </c>
    </row>
    <row r="5" spans="1:14" ht="119" x14ac:dyDescent="0.4">
      <c r="A5" s="284">
        <v>3</v>
      </c>
      <c r="B5" s="284" t="s">
        <v>41</v>
      </c>
      <c r="C5" s="284" t="s">
        <v>4538</v>
      </c>
      <c r="D5" s="284" t="s">
        <v>4504</v>
      </c>
      <c r="E5" s="284" t="s">
        <v>4539</v>
      </c>
      <c r="F5" s="284">
        <v>3</v>
      </c>
      <c r="G5" s="284" t="s">
        <v>4505</v>
      </c>
      <c r="H5" s="284" t="s">
        <v>4536</v>
      </c>
      <c r="I5" s="284" t="s">
        <v>4537</v>
      </c>
      <c r="J5" s="284" t="s">
        <v>4553</v>
      </c>
      <c r="K5" s="284" t="s">
        <v>4605</v>
      </c>
      <c r="L5" s="284" t="s">
        <v>4540</v>
      </c>
      <c r="N5" s="284" t="s">
        <v>4715</v>
      </c>
    </row>
    <row r="6" spans="1:14" ht="153" x14ac:dyDescent="0.4">
      <c r="A6" s="284">
        <v>4</v>
      </c>
      <c r="B6" s="284" t="s">
        <v>39</v>
      </c>
      <c r="C6" s="284" t="s">
        <v>4542</v>
      </c>
      <c r="D6" s="284" t="s">
        <v>4503</v>
      </c>
      <c r="E6" s="284" t="s">
        <v>4500</v>
      </c>
      <c r="F6" s="284">
        <v>4</v>
      </c>
      <c r="G6" s="284" t="s">
        <v>4506</v>
      </c>
      <c r="H6" s="284" t="s">
        <v>4526</v>
      </c>
      <c r="I6" s="284" t="s">
        <v>4541</v>
      </c>
      <c r="J6" s="284" t="s">
        <v>4514</v>
      </c>
      <c r="K6" s="284" t="s">
        <v>4606</v>
      </c>
      <c r="L6" s="284" t="s">
        <v>4543</v>
      </c>
      <c r="N6" s="284" t="s">
        <v>4628</v>
      </c>
    </row>
    <row r="7" spans="1:14" ht="170" x14ac:dyDescent="0.4">
      <c r="A7" s="284">
        <v>5</v>
      </c>
      <c r="B7" s="284" t="s">
        <v>43</v>
      </c>
      <c r="C7" s="284" t="s">
        <v>4545</v>
      </c>
      <c r="D7" s="284" t="s">
        <v>4507</v>
      </c>
      <c r="E7" s="284" t="s">
        <v>4510</v>
      </c>
      <c r="F7" s="284">
        <v>5</v>
      </c>
      <c r="H7" s="284" t="s">
        <v>4544</v>
      </c>
      <c r="J7" s="284" t="s">
        <v>4554</v>
      </c>
      <c r="L7" s="284" t="s">
        <v>4546</v>
      </c>
      <c r="M7" s="284" t="s">
        <v>4547</v>
      </c>
      <c r="N7" s="284" t="s">
        <v>4629</v>
      </c>
    </row>
    <row r="8" spans="1:14" ht="187" x14ac:dyDescent="0.4">
      <c r="A8" s="284">
        <v>6</v>
      </c>
      <c r="B8" s="284" t="s">
        <v>38</v>
      </c>
      <c r="C8" s="284" t="s">
        <v>4591</v>
      </c>
      <c r="D8" s="284" t="s">
        <v>4510</v>
      </c>
      <c r="E8" s="284" t="s">
        <v>4558</v>
      </c>
      <c r="F8" s="284">
        <v>6</v>
      </c>
      <c r="G8" s="284" t="s">
        <v>2374</v>
      </c>
      <c r="H8" s="284" t="s">
        <v>4548</v>
      </c>
      <c r="I8" s="284" t="s">
        <v>4549</v>
      </c>
      <c r="J8" s="284" t="s">
        <v>4555</v>
      </c>
      <c r="K8" s="284" t="s">
        <v>4608</v>
      </c>
      <c r="L8" s="284" t="s">
        <v>4550</v>
      </c>
      <c r="M8" s="284" t="s">
        <v>4551</v>
      </c>
      <c r="N8" s="284" t="s">
        <v>4630</v>
      </c>
    </row>
    <row r="9" spans="1:14" ht="289" x14ac:dyDescent="0.4">
      <c r="A9" s="284">
        <v>7</v>
      </c>
      <c r="B9" s="284" t="s">
        <v>46</v>
      </c>
      <c r="C9" s="284" t="s">
        <v>4592</v>
      </c>
      <c r="D9" s="284" t="s">
        <v>4500</v>
      </c>
      <c r="E9" s="284" t="s">
        <v>4503</v>
      </c>
      <c r="F9" s="284">
        <v>7</v>
      </c>
      <c r="G9" s="284" t="s">
        <v>4521</v>
      </c>
      <c r="H9" s="284" t="s">
        <v>4559</v>
      </c>
      <c r="I9" s="284" t="s">
        <v>4562</v>
      </c>
      <c r="J9" s="284" t="s">
        <v>4513</v>
      </c>
      <c r="K9" s="284" t="s">
        <v>4561</v>
      </c>
      <c r="L9" s="284" t="s">
        <v>4518</v>
      </c>
      <c r="M9" s="284" t="s">
        <v>4520</v>
      </c>
      <c r="N9" s="284" t="s">
        <v>4632</v>
      </c>
    </row>
    <row r="10" spans="1:14" ht="306" x14ac:dyDescent="0.4">
      <c r="A10" s="284">
        <v>8</v>
      </c>
      <c r="B10" s="284" t="s">
        <v>40</v>
      </c>
      <c r="C10" s="284" t="s">
        <v>4567</v>
      </c>
      <c r="D10" s="284" t="s">
        <v>4511</v>
      </c>
      <c r="E10" s="284" t="s">
        <v>4564</v>
      </c>
      <c r="F10" s="284">
        <v>8</v>
      </c>
      <c r="G10" s="284">
        <v>4</v>
      </c>
      <c r="H10" s="284" t="s">
        <v>4563</v>
      </c>
      <c r="I10" s="284" t="s">
        <v>4526</v>
      </c>
      <c r="J10" s="284" t="s">
        <v>4556</v>
      </c>
      <c r="K10" s="284" t="s">
        <v>4514</v>
      </c>
      <c r="L10" s="284" t="s">
        <v>4565</v>
      </c>
      <c r="M10" s="284" t="s">
        <v>4566</v>
      </c>
      <c r="N10" s="284" t="s">
        <v>4631</v>
      </c>
    </row>
    <row r="11" spans="1:14" ht="272" x14ac:dyDescent="0.4">
      <c r="A11" s="284">
        <v>9</v>
      </c>
      <c r="B11" s="284" t="s">
        <v>45</v>
      </c>
      <c r="C11" s="284" t="s">
        <v>4568</v>
      </c>
      <c r="D11" s="284" t="s">
        <v>4512</v>
      </c>
      <c r="E11" s="284" t="s">
        <v>4573</v>
      </c>
      <c r="F11" s="284">
        <v>9</v>
      </c>
      <c r="G11" s="284" t="s">
        <v>4569</v>
      </c>
      <c r="H11" s="284" t="s">
        <v>4570</v>
      </c>
      <c r="I11" s="284" t="s">
        <v>4571</v>
      </c>
      <c r="J11" s="284" t="s">
        <v>4557</v>
      </c>
      <c r="K11" s="284" t="s">
        <v>4607</v>
      </c>
      <c r="L11" s="284" t="s">
        <v>4572</v>
      </c>
      <c r="N11" s="284" t="s">
        <v>4633</v>
      </c>
    </row>
    <row r="13" spans="1:14" x14ac:dyDescent="0.4">
      <c r="A13" s="285"/>
      <c r="B13" s="286"/>
      <c r="C13" s="286"/>
      <c r="E13" s="287"/>
    </row>
    <row r="14" spans="1:14" x14ac:dyDescent="0.4">
      <c r="A14" s="288" t="s">
        <v>4656</v>
      </c>
      <c r="B14" s="283" t="s">
        <v>4657</v>
      </c>
      <c r="C14" s="283"/>
    </row>
    <row r="15" spans="1:14" x14ac:dyDescent="0.4">
      <c r="A15" s="284" t="s">
        <v>42</v>
      </c>
      <c r="B15" s="284">
        <v>1</v>
      </c>
    </row>
    <row r="16" spans="1:14" x14ac:dyDescent="0.4">
      <c r="A16" s="284" t="s">
        <v>35</v>
      </c>
      <c r="B16" s="284">
        <v>2</v>
      </c>
    </row>
    <row r="17" spans="1:2" x14ac:dyDescent="0.4">
      <c r="A17" s="284" t="s">
        <v>33</v>
      </c>
      <c r="B17" s="284">
        <v>3</v>
      </c>
    </row>
    <row r="18" spans="1:2" x14ac:dyDescent="0.4">
      <c r="A18" s="284" t="s">
        <v>31</v>
      </c>
      <c r="B18" s="284">
        <v>4</v>
      </c>
    </row>
    <row r="19" spans="1:2" x14ac:dyDescent="0.4">
      <c r="A19" s="284" t="s">
        <v>4634</v>
      </c>
      <c r="B19" s="284">
        <v>5</v>
      </c>
    </row>
    <row r="20" spans="1:2" x14ac:dyDescent="0.4">
      <c r="A20" s="284" t="s">
        <v>4635</v>
      </c>
      <c r="B20" s="284">
        <v>8</v>
      </c>
    </row>
    <row r="21" spans="1:2" x14ac:dyDescent="0.4">
      <c r="A21" s="284" t="s">
        <v>4636</v>
      </c>
      <c r="B21" s="284">
        <v>3</v>
      </c>
    </row>
    <row r="22" spans="1:2" x14ac:dyDescent="0.4">
      <c r="A22" s="284" t="s">
        <v>4637</v>
      </c>
      <c r="B22" s="284">
        <v>5</v>
      </c>
    </row>
    <row r="23" spans="1:2" x14ac:dyDescent="0.4">
      <c r="A23" s="284" t="s">
        <v>4638</v>
      </c>
      <c r="B23" s="284">
        <v>1</v>
      </c>
    </row>
    <row r="24" spans="1:2" x14ac:dyDescent="0.4">
      <c r="A24" s="284" t="s">
        <v>4639</v>
      </c>
      <c r="B24" s="284">
        <v>1</v>
      </c>
    </row>
    <row r="25" spans="1:2" x14ac:dyDescent="0.4">
      <c r="A25" s="284" t="s">
        <v>4640</v>
      </c>
      <c r="B25" s="284">
        <v>2</v>
      </c>
    </row>
    <row r="26" spans="1:2" x14ac:dyDescent="0.4">
      <c r="A26" s="284" t="s">
        <v>4641</v>
      </c>
      <c r="B26" s="284">
        <v>3</v>
      </c>
    </row>
    <row r="27" spans="1:2" x14ac:dyDescent="0.4">
      <c r="A27" s="284" t="s">
        <v>4642</v>
      </c>
      <c r="B27" s="284">
        <v>4</v>
      </c>
    </row>
    <row r="28" spans="1:2" x14ac:dyDescent="0.4">
      <c r="A28" s="284" t="s">
        <v>4643</v>
      </c>
      <c r="B28" s="284">
        <v>5</v>
      </c>
    </row>
    <row r="29" spans="1:2" x14ac:dyDescent="0.4">
      <c r="A29" s="284" t="s">
        <v>4644</v>
      </c>
      <c r="B29" s="284">
        <v>7</v>
      </c>
    </row>
    <row r="30" spans="1:2" x14ac:dyDescent="0.4">
      <c r="A30" s="284" t="s">
        <v>4645</v>
      </c>
      <c r="B30" s="284">
        <v>8</v>
      </c>
    </row>
    <row r="31" spans="1:2" x14ac:dyDescent="0.4">
      <c r="A31" s="284" t="s">
        <v>4646</v>
      </c>
      <c r="B31" s="284">
        <v>1</v>
      </c>
    </row>
    <row r="32" spans="1:2" x14ac:dyDescent="0.4">
      <c r="A32" s="284" t="s">
        <v>4647</v>
      </c>
      <c r="B32" s="284">
        <v>2</v>
      </c>
    </row>
    <row r="33" spans="1:3" x14ac:dyDescent="0.4">
      <c r="A33" s="284" t="s">
        <v>4648</v>
      </c>
      <c r="B33" s="284">
        <v>3</v>
      </c>
    </row>
    <row r="34" spans="1:3" x14ac:dyDescent="0.4">
      <c r="A34" s="284" t="s">
        <v>4649</v>
      </c>
      <c r="B34" s="284">
        <v>4</v>
      </c>
    </row>
    <row r="35" spans="1:3" x14ac:dyDescent="0.4">
      <c r="A35" s="284" t="s">
        <v>4650</v>
      </c>
      <c r="B35" s="284">
        <v>6</v>
      </c>
    </row>
    <row r="36" spans="1:3" x14ac:dyDescent="0.4">
      <c r="A36" s="284" t="s">
        <v>4651</v>
      </c>
      <c r="B36" s="284">
        <v>6</v>
      </c>
    </row>
    <row r="37" spans="1:3" x14ac:dyDescent="0.4">
      <c r="A37" s="284" t="s">
        <v>4652</v>
      </c>
      <c r="B37" s="284">
        <v>6</v>
      </c>
    </row>
    <row r="38" spans="1:3" x14ac:dyDescent="0.4">
      <c r="A38" s="284" t="s">
        <v>4653</v>
      </c>
      <c r="B38" s="284">
        <v>5</v>
      </c>
    </row>
    <row r="39" spans="1:3" x14ac:dyDescent="0.4">
      <c r="A39" s="284" t="s">
        <v>4654</v>
      </c>
      <c r="B39" s="284">
        <v>1</v>
      </c>
    </row>
    <row r="40" spans="1:3" x14ac:dyDescent="0.4">
      <c r="A40" s="284" t="s">
        <v>4655</v>
      </c>
      <c r="B40" s="284">
        <v>7</v>
      </c>
    </row>
    <row r="42" spans="1:3" x14ac:dyDescent="0.4">
      <c r="A42" s="288" t="s">
        <v>4658</v>
      </c>
      <c r="B42" s="283"/>
      <c r="C42" s="283" t="s">
        <v>4663</v>
      </c>
    </row>
    <row r="43" spans="1:3" ht="68" x14ac:dyDescent="0.4">
      <c r="B43" s="284">
        <v>10</v>
      </c>
      <c r="C43" s="284" t="s">
        <v>4659</v>
      </c>
    </row>
    <row r="44" spans="1:3" ht="51" x14ac:dyDescent="0.4">
      <c r="B44" s="284">
        <v>11</v>
      </c>
      <c r="C44" s="284" t="s">
        <v>4660</v>
      </c>
    </row>
    <row r="45" spans="1:3" ht="51" x14ac:dyDescent="0.4">
      <c r="B45" s="284">
        <v>12</v>
      </c>
      <c r="C45" s="284" t="s">
        <v>4661</v>
      </c>
    </row>
    <row r="46" spans="1:3" ht="153" x14ac:dyDescent="0.4">
      <c r="B46" s="284">
        <v>13</v>
      </c>
      <c r="C46" s="284" t="s">
        <v>4662</v>
      </c>
    </row>
    <row r="47" spans="1:3" ht="119" x14ac:dyDescent="0.4">
      <c r="B47" s="284">
        <v>14</v>
      </c>
      <c r="C47" s="284" t="s">
        <v>4664</v>
      </c>
    </row>
    <row r="48" spans="1:3" ht="187" x14ac:dyDescent="0.4">
      <c r="B48" s="284">
        <v>15</v>
      </c>
      <c r="C48" s="284" t="s">
        <v>4665</v>
      </c>
    </row>
    <row r="49" spans="2:3" ht="119" x14ac:dyDescent="0.4">
      <c r="B49" s="284">
        <v>16</v>
      </c>
      <c r="C49" s="284" t="s">
        <v>4666</v>
      </c>
    </row>
    <row r="50" spans="2:3" ht="119" x14ac:dyDescent="0.4">
      <c r="B50" s="284">
        <v>17</v>
      </c>
      <c r="C50" s="284" t="s">
        <v>4667</v>
      </c>
    </row>
    <row r="51" spans="2:3" ht="204" x14ac:dyDescent="0.4">
      <c r="B51" s="284">
        <v>18</v>
      </c>
      <c r="C51" s="284" t="s">
        <v>4668</v>
      </c>
    </row>
    <row r="52" spans="2:3" ht="68" x14ac:dyDescent="0.4">
      <c r="B52" s="284">
        <v>19</v>
      </c>
      <c r="C52" s="284" t="s">
        <v>4669</v>
      </c>
    </row>
    <row r="53" spans="2:3" ht="153" x14ac:dyDescent="0.4">
      <c r="B53" s="284">
        <v>20</v>
      </c>
      <c r="C53" s="284" t="s">
        <v>4670</v>
      </c>
    </row>
    <row r="54" spans="2:3" ht="102" x14ac:dyDescent="0.4">
      <c r="B54" s="284">
        <v>21</v>
      </c>
      <c r="C54" s="284" t="s">
        <v>4671</v>
      </c>
    </row>
    <row r="55" spans="2:3" ht="136" x14ac:dyDescent="0.4">
      <c r="B55" s="284">
        <v>22</v>
      </c>
      <c r="C55" s="284" t="s">
        <v>4672</v>
      </c>
    </row>
    <row r="56" spans="2:3" ht="51" x14ac:dyDescent="0.4">
      <c r="B56" s="284">
        <v>23</v>
      </c>
      <c r="C56" s="284" t="s">
        <v>4689</v>
      </c>
    </row>
    <row r="57" spans="2:3" ht="68" x14ac:dyDescent="0.4">
      <c r="B57" s="284">
        <v>24</v>
      </c>
      <c r="C57" s="284" t="s">
        <v>4674</v>
      </c>
    </row>
    <row r="58" spans="2:3" ht="68" x14ac:dyDescent="0.4">
      <c r="B58" s="284">
        <v>25</v>
      </c>
      <c r="C58" s="284" t="s">
        <v>4675</v>
      </c>
    </row>
    <row r="59" spans="2:3" ht="68" x14ac:dyDescent="0.4">
      <c r="B59" s="284">
        <v>26</v>
      </c>
      <c r="C59" s="284" t="s">
        <v>4673</v>
      </c>
    </row>
    <row r="60" spans="2:3" ht="102" x14ac:dyDescent="0.4">
      <c r="B60" s="284">
        <v>27</v>
      </c>
      <c r="C60" s="284" t="s">
        <v>4676</v>
      </c>
    </row>
    <row r="61" spans="2:3" ht="85" x14ac:dyDescent="0.4">
      <c r="B61" s="284">
        <v>28</v>
      </c>
      <c r="C61" s="284" t="s">
        <v>4677</v>
      </c>
    </row>
    <row r="62" spans="2:3" ht="68" x14ac:dyDescent="0.4">
      <c r="B62" s="284">
        <v>29</v>
      </c>
      <c r="C62" s="284" t="s">
        <v>4680</v>
      </c>
    </row>
    <row r="63" spans="2:3" ht="119" x14ac:dyDescent="0.4">
      <c r="B63" s="284">
        <v>30</v>
      </c>
      <c r="C63" s="284" t="s">
        <v>4681</v>
      </c>
    </row>
    <row r="64" spans="2:3" ht="51" x14ac:dyDescent="0.4">
      <c r="B64" s="284">
        <v>31</v>
      </c>
      <c r="C64" s="284" t="s">
        <v>4682</v>
      </c>
    </row>
    <row r="65" spans="2:3" ht="102" x14ac:dyDescent="0.4">
      <c r="B65" s="284">
        <v>32</v>
      </c>
      <c r="C65" s="284" t="s">
        <v>4683</v>
      </c>
    </row>
    <row r="66" spans="2:3" ht="68" x14ac:dyDescent="0.4">
      <c r="B66" s="284">
        <v>33</v>
      </c>
      <c r="C66" s="284" t="s">
        <v>4674</v>
      </c>
    </row>
    <row r="67" spans="2:3" ht="68" x14ac:dyDescent="0.4">
      <c r="B67" s="284">
        <v>34</v>
      </c>
      <c r="C67" s="284" t="s">
        <v>4675</v>
      </c>
    </row>
    <row r="68" spans="2:3" ht="68" x14ac:dyDescent="0.4">
      <c r="B68" s="284">
        <v>35</v>
      </c>
      <c r="C68" s="284" t="s">
        <v>4673</v>
      </c>
    </row>
    <row r="69" spans="2:3" ht="102" x14ac:dyDescent="0.4">
      <c r="B69" s="284">
        <v>36</v>
      </c>
      <c r="C69" s="284" t="s">
        <v>4676</v>
      </c>
    </row>
    <row r="70" spans="2:3" ht="68" x14ac:dyDescent="0.4">
      <c r="B70" s="284">
        <v>37</v>
      </c>
      <c r="C70" s="284" t="s">
        <v>4684</v>
      </c>
    </row>
    <row r="71" spans="2:3" ht="68" x14ac:dyDescent="0.4">
      <c r="B71" s="284">
        <v>38</v>
      </c>
      <c r="C71" s="284" t="s">
        <v>4680</v>
      </c>
    </row>
    <row r="72" spans="2:3" ht="119" x14ac:dyDescent="0.4">
      <c r="B72" s="284">
        <v>39</v>
      </c>
      <c r="C72" s="284" t="s">
        <v>4681</v>
      </c>
    </row>
    <row r="73" spans="2:3" ht="51" x14ac:dyDescent="0.4">
      <c r="B73" s="284">
        <v>40</v>
      </c>
      <c r="C73" s="284" t="s">
        <v>4682</v>
      </c>
    </row>
    <row r="74" spans="2:3" ht="102" x14ac:dyDescent="0.4">
      <c r="B74" s="284">
        <v>41</v>
      </c>
      <c r="C74" s="284" t="s">
        <v>4683</v>
      </c>
    </row>
    <row r="75" spans="2:3" ht="68" x14ac:dyDescent="0.4">
      <c r="B75" s="284">
        <v>42</v>
      </c>
      <c r="C75" s="284" t="s">
        <v>4674</v>
      </c>
    </row>
    <row r="76" spans="2:3" ht="51" x14ac:dyDescent="0.4">
      <c r="B76" s="284">
        <v>43</v>
      </c>
      <c r="C76" s="284" t="s">
        <v>4685</v>
      </c>
    </row>
    <row r="77" spans="2:3" ht="68" x14ac:dyDescent="0.4">
      <c r="B77" s="284">
        <v>44</v>
      </c>
      <c r="C77" s="284" t="s">
        <v>4673</v>
      </c>
    </row>
    <row r="78" spans="2:3" ht="102" x14ac:dyDescent="0.4">
      <c r="B78" s="284">
        <v>45</v>
      </c>
      <c r="C78" s="284" t="s">
        <v>4676</v>
      </c>
    </row>
    <row r="79" spans="2:3" ht="68" x14ac:dyDescent="0.4">
      <c r="B79" s="284">
        <v>46</v>
      </c>
      <c r="C79" s="284" t="s">
        <v>4684</v>
      </c>
    </row>
    <row r="80" spans="2:3" ht="68" x14ac:dyDescent="0.4">
      <c r="B80" s="284">
        <v>47</v>
      </c>
      <c r="C80" s="284" t="s">
        <v>4680</v>
      </c>
    </row>
    <row r="81" spans="1:3" ht="119" x14ac:dyDescent="0.4">
      <c r="B81" s="284">
        <v>48</v>
      </c>
      <c r="C81" s="284" t="s">
        <v>4681</v>
      </c>
    </row>
    <row r="82" spans="1:3" ht="51" x14ac:dyDescent="0.4">
      <c r="B82" s="284">
        <v>49</v>
      </c>
      <c r="C82" s="284" t="s">
        <v>4682</v>
      </c>
    </row>
    <row r="83" spans="1:3" ht="102" x14ac:dyDescent="0.4">
      <c r="B83" s="284">
        <v>50</v>
      </c>
      <c r="C83" s="284" t="s">
        <v>4683</v>
      </c>
    </row>
    <row r="84" spans="1:3" ht="85" x14ac:dyDescent="0.4">
      <c r="B84" s="284">
        <v>51</v>
      </c>
      <c r="C84" s="284" t="s">
        <v>4686</v>
      </c>
    </row>
    <row r="85" spans="1:3" ht="51" x14ac:dyDescent="0.4">
      <c r="B85" s="284">
        <v>52</v>
      </c>
      <c r="C85" s="284" t="s">
        <v>4685</v>
      </c>
    </row>
    <row r="87" spans="1:3" ht="51.75" customHeight="1" x14ac:dyDescent="0.4">
      <c r="A87" s="295" t="s">
        <v>4687</v>
      </c>
      <c r="B87" s="295"/>
      <c r="C87" s="289" t="s">
        <v>4731</v>
      </c>
    </row>
    <row r="88" spans="1:3" x14ac:dyDescent="0.4">
      <c r="A88" s="287"/>
      <c r="B88" s="287"/>
      <c r="C88" s="290" cm="1">
        <f t="array" aca="1" ref="C88" ca="1">SUMPRODUCT(LOOKUP(MID(C87,ROW(INDIRECT("1:"&amp;LEN(C87))),2),A15:A40,B15:B40))</f>
        <v>7</v>
      </c>
    </row>
    <row r="89" spans="1:3" ht="232.5" customHeight="1" x14ac:dyDescent="0.4">
      <c r="B89" s="291" t="s">
        <v>4688</v>
      </c>
      <c r="C89" s="292">
        <f ca="1">VLOOKUP(C88, B10:C85, 2, FALSE)</f>
        <v>0</v>
      </c>
    </row>
  </sheetData>
  <sheetProtection selectLockedCells="1" selectUnlockedCells="1"/>
  <mergeCells count="2">
    <mergeCell ref="A1:C1"/>
    <mergeCell ref="A87:B8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147D3-C072-4D95-892B-7937DE2247C5}">
  <dimension ref="A1:C24"/>
  <sheetViews>
    <sheetView workbookViewId="0">
      <selection activeCell="C12" sqref="C12"/>
    </sheetView>
  </sheetViews>
  <sheetFormatPr defaultRowHeight="17" x14ac:dyDescent="0.4"/>
  <cols>
    <col min="1" max="1" width="3.81640625" style="273" bestFit="1" customWidth="1"/>
    <col min="2" max="2" width="17.54296875" style="273" bestFit="1" customWidth="1"/>
    <col min="3" max="3" width="52.26953125" style="273" bestFit="1" customWidth="1"/>
  </cols>
  <sheetData>
    <row r="1" spans="1:3" x14ac:dyDescent="0.4">
      <c r="A1" s="296" t="s">
        <v>4485</v>
      </c>
      <c r="B1" s="296"/>
      <c r="C1" s="296"/>
    </row>
    <row r="2" spans="1:3" x14ac:dyDescent="0.4">
      <c r="A2" s="273">
        <v>3</v>
      </c>
      <c r="B2" s="273" t="s">
        <v>1650</v>
      </c>
      <c r="C2" s="273" t="s">
        <v>4487</v>
      </c>
    </row>
    <row r="3" spans="1:3" x14ac:dyDescent="0.4">
      <c r="A3" s="273">
        <v>5</v>
      </c>
      <c r="B3" s="273">
        <v>6</v>
      </c>
      <c r="C3" s="273" t="s">
        <v>4488</v>
      </c>
    </row>
    <row r="4" spans="1:3" x14ac:dyDescent="0.4">
      <c r="A4" s="273">
        <v>6</v>
      </c>
      <c r="B4" s="273">
        <v>11</v>
      </c>
      <c r="C4" s="273" t="s">
        <v>2166</v>
      </c>
    </row>
    <row r="5" spans="1:3" x14ac:dyDescent="0.4">
      <c r="A5" s="273">
        <v>10</v>
      </c>
      <c r="B5" s="273" t="s">
        <v>2685</v>
      </c>
      <c r="C5" s="273" t="s">
        <v>2684</v>
      </c>
    </row>
    <row r="6" spans="1:3" x14ac:dyDescent="0.4">
      <c r="A6" s="273">
        <v>11</v>
      </c>
      <c r="B6" s="273">
        <v>5</v>
      </c>
      <c r="C6" s="273" t="s">
        <v>2733</v>
      </c>
    </row>
    <row r="7" spans="1:3" x14ac:dyDescent="0.4">
      <c r="A7" s="273">
        <v>12</v>
      </c>
      <c r="B7" s="273">
        <v>5</v>
      </c>
      <c r="C7" s="273" t="s">
        <v>4489</v>
      </c>
    </row>
    <row r="8" spans="1:3" x14ac:dyDescent="0.4">
      <c r="A8" s="273">
        <v>12</v>
      </c>
      <c r="B8" s="273">
        <v>12</v>
      </c>
      <c r="C8" s="273" t="s">
        <v>4489</v>
      </c>
    </row>
    <row r="9" spans="1:3" x14ac:dyDescent="0.4">
      <c r="A9" s="273">
        <v>5</v>
      </c>
      <c r="B9" s="273">
        <v>3</v>
      </c>
      <c r="C9" s="273" t="s">
        <v>4490</v>
      </c>
    </row>
    <row r="10" spans="1:3" x14ac:dyDescent="0.4">
      <c r="A10" s="273">
        <v>5</v>
      </c>
      <c r="B10" s="273">
        <v>5</v>
      </c>
      <c r="C10" s="273" t="s">
        <v>4491</v>
      </c>
    </row>
    <row r="11" spans="1:3" x14ac:dyDescent="0.4">
      <c r="A11" s="273">
        <v>5</v>
      </c>
      <c r="B11" s="273">
        <v>2</v>
      </c>
      <c r="C11" s="273" t="s">
        <v>4492</v>
      </c>
    </row>
    <row r="12" spans="1:3" x14ac:dyDescent="0.4">
      <c r="A12" s="273">
        <v>5</v>
      </c>
      <c r="B12" s="273" t="s">
        <v>4493</v>
      </c>
      <c r="C12" s="273" t="s">
        <v>4494</v>
      </c>
    </row>
    <row r="13" spans="1:3" x14ac:dyDescent="0.4">
      <c r="A13" s="273">
        <v>5</v>
      </c>
      <c r="B13" s="273" t="s">
        <v>4495</v>
      </c>
      <c r="C13" s="273" t="s">
        <v>4496</v>
      </c>
    </row>
    <row r="15" spans="1:3" x14ac:dyDescent="0.4">
      <c r="C15" s="273" t="s">
        <v>3961</v>
      </c>
    </row>
    <row r="16" spans="1:3" x14ac:dyDescent="0.4">
      <c r="C16" s="273" t="s">
        <v>4597</v>
      </c>
    </row>
    <row r="17" spans="3:3" x14ac:dyDescent="0.4">
      <c r="C17" s="273" t="s">
        <v>4598</v>
      </c>
    </row>
    <row r="18" spans="3:3" x14ac:dyDescent="0.4">
      <c r="C18" s="273" t="s">
        <v>4599</v>
      </c>
    </row>
    <row r="19" spans="3:3" x14ac:dyDescent="0.4">
      <c r="C19" s="273" t="s">
        <v>4600</v>
      </c>
    </row>
    <row r="20" spans="3:3" x14ac:dyDescent="0.4">
      <c r="C20" s="273" t="s">
        <v>4601</v>
      </c>
    </row>
    <row r="22" spans="3:3" x14ac:dyDescent="0.4">
      <c r="C22" s="273" t="s">
        <v>4602</v>
      </c>
    </row>
    <row r="23" spans="3:3" x14ac:dyDescent="0.4">
      <c r="C23" s="273" t="s">
        <v>4603</v>
      </c>
    </row>
    <row r="24" spans="3:3" x14ac:dyDescent="0.4">
      <c r="C24" s="273" t="s">
        <v>4604</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6D741-C068-481E-B8F4-D1DF8B947AD1}">
  <dimension ref="A1:B19"/>
  <sheetViews>
    <sheetView workbookViewId="0">
      <selection activeCell="B4" sqref="B4"/>
    </sheetView>
  </sheetViews>
  <sheetFormatPr defaultRowHeight="17" x14ac:dyDescent="0.4"/>
  <cols>
    <col min="1" max="1" width="9.1796875" style="274"/>
    <col min="2" max="2" width="94.54296875" style="274" bestFit="1" customWidth="1"/>
  </cols>
  <sheetData>
    <row r="1" spans="1:2" x14ac:dyDescent="0.4">
      <c r="A1" s="297" t="s">
        <v>4476</v>
      </c>
      <c r="B1" s="297"/>
    </row>
    <row r="2" spans="1:2" x14ac:dyDescent="0.4">
      <c r="A2" s="274">
        <v>1</v>
      </c>
      <c r="B2" s="274" t="s">
        <v>4477</v>
      </c>
    </row>
    <row r="3" spans="1:2" x14ac:dyDescent="0.4">
      <c r="A3" s="274">
        <v>2</v>
      </c>
      <c r="B3" s="274" t="s">
        <v>4478</v>
      </c>
    </row>
    <row r="4" spans="1:2" x14ac:dyDescent="0.4">
      <c r="A4" s="274">
        <v>3</v>
      </c>
      <c r="B4" s="274" t="s">
        <v>4479</v>
      </c>
    </row>
    <row r="5" spans="1:2" x14ac:dyDescent="0.4">
      <c r="A5" s="274">
        <v>4</v>
      </c>
      <c r="B5" s="274" t="s">
        <v>4480</v>
      </c>
    </row>
    <row r="6" spans="1:2" ht="34" x14ac:dyDescent="0.4">
      <c r="A6" s="274">
        <v>5</v>
      </c>
      <c r="B6" s="274" t="s">
        <v>4481</v>
      </c>
    </row>
    <row r="7" spans="1:2" x14ac:dyDescent="0.4">
      <c r="A7" s="274">
        <v>6</v>
      </c>
      <c r="B7" s="274" t="s">
        <v>4482</v>
      </c>
    </row>
    <row r="8" spans="1:2" x14ac:dyDescent="0.4">
      <c r="A8" s="274">
        <v>7</v>
      </c>
      <c r="B8" s="274" t="s">
        <v>4483</v>
      </c>
    </row>
    <row r="9" spans="1:2" x14ac:dyDescent="0.4">
      <c r="A9" s="274">
        <v>8</v>
      </c>
      <c r="B9" s="274" t="s">
        <v>4484</v>
      </c>
    </row>
    <row r="11" spans="1:2" x14ac:dyDescent="0.4">
      <c r="A11" s="298" t="s">
        <v>4716</v>
      </c>
      <c r="B11" s="298"/>
    </row>
    <row r="12" spans="1:2" x14ac:dyDescent="0.4">
      <c r="A12" s="274" t="s">
        <v>4641</v>
      </c>
      <c r="B12" s="274" t="s">
        <v>98</v>
      </c>
    </row>
    <row r="13" spans="1:2" x14ac:dyDescent="0.4">
      <c r="A13" s="274" t="s">
        <v>4648</v>
      </c>
      <c r="B13" s="274" t="s">
        <v>4717</v>
      </c>
    </row>
    <row r="14" spans="1:2" x14ac:dyDescent="0.4">
      <c r="A14" s="274" t="s">
        <v>4647</v>
      </c>
      <c r="B14" s="274" t="s">
        <v>4718</v>
      </c>
    </row>
    <row r="15" spans="1:2" x14ac:dyDescent="0.4">
      <c r="A15" s="274" t="s">
        <v>31</v>
      </c>
      <c r="B15" s="274" t="s">
        <v>104</v>
      </c>
    </row>
    <row r="16" spans="1:2" x14ac:dyDescent="0.4">
      <c r="A16" s="274" t="s">
        <v>4719</v>
      </c>
    </row>
    <row r="17" spans="2:2" ht="85" x14ac:dyDescent="0.4">
      <c r="B17" s="274" t="s">
        <v>4720</v>
      </c>
    </row>
    <row r="18" spans="2:2" ht="34" x14ac:dyDescent="0.4">
      <c r="B18" s="274" t="s">
        <v>4722</v>
      </c>
    </row>
    <row r="19" spans="2:2" x14ac:dyDescent="0.4">
      <c r="B19" s="274" t="s">
        <v>4721</v>
      </c>
    </row>
  </sheetData>
  <mergeCells count="2">
    <mergeCell ref="A1:B1"/>
    <mergeCell ref="A11:B1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1105-F7D6-4B65-8C22-91B862BDA461}">
  <dimension ref="A1:B17"/>
  <sheetViews>
    <sheetView workbookViewId="0">
      <selection activeCell="B16" sqref="B16"/>
    </sheetView>
  </sheetViews>
  <sheetFormatPr defaultRowHeight="14.5" x14ac:dyDescent="0.35"/>
  <cols>
    <col min="1" max="1" width="15" customWidth="1"/>
    <col min="2" max="2" width="96.7265625" bestFit="1" customWidth="1"/>
  </cols>
  <sheetData>
    <row r="1" spans="1:2" ht="21" x14ac:dyDescent="0.5">
      <c r="A1" s="55" t="s">
        <v>4449</v>
      </c>
      <c r="B1" s="55"/>
    </row>
    <row r="2" spans="1:2" ht="21" x14ac:dyDescent="0.5">
      <c r="A2" s="31">
        <v>1</v>
      </c>
      <c r="B2" s="31" t="s">
        <v>4450</v>
      </c>
    </row>
    <row r="3" spans="1:2" ht="21" x14ac:dyDescent="0.5">
      <c r="A3" s="31">
        <v>2</v>
      </c>
      <c r="B3" s="31" t="s">
        <v>4451</v>
      </c>
    </row>
    <row r="4" spans="1:2" ht="21" x14ac:dyDescent="0.5">
      <c r="A4" s="31">
        <v>3</v>
      </c>
      <c r="B4" s="31" t="s">
        <v>4452</v>
      </c>
    </row>
    <row r="5" spans="1:2" ht="21" x14ac:dyDescent="0.5">
      <c r="A5" s="31">
        <v>4</v>
      </c>
      <c r="B5" s="31" t="s">
        <v>4453</v>
      </c>
    </row>
    <row r="6" spans="1:2" ht="21" x14ac:dyDescent="0.5">
      <c r="A6" s="31"/>
      <c r="B6" s="31"/>
    </row>
    <row r="7" spans="1:2" ht="21" x14ac:dyDescent="0.5">
      <c r="A7" s="55" t="s">
        <v>4454</v>
      </c>
      <c r="B7" s="55"/>
    </row>
    <row r="8" spans="1:2" ht="21" x14ac:dyDescent="0.5">
      <c r="A8" s="31">
        <v>1</v>
      </c>
      <c r="B8" s="31" t="s">
        <v>4456</v>
      </c>
    </row>
    <row r="9" spans="1:2" ht="21" x14ac:dyDescent="0.5">
      <c r="A9" s="31">
        <v>2</v>
      </c>
      <c r="B9" s="31" t="s">
        <v>4455</v>
      </c>
    </row>
    <row r="10" spans="1:2" ht="21" x14ac:dyDescent="0.5">
      <c r="A10" s="31">
        <v>3</v>
      </c>
      <c r="B10" s="31" t="s">
        <v>4457</v>
      </c>
    </row>
    <row r="11" spans="1:2" ht="21" x14ac:dyDescent="0.5">
      <c r="A11" s="31">
        <v>4</v>
      </c>
      <c r="B11" s="31" t="s">
        <v>4459</v>
      </c>
    </row>
    <row r="12" spans="1:2" ht="21" x14ac:dyDescent="0.5">
      <c r="A12" s="31">
        <v>5</v>
      </c>
      <c r="B12" s="31" t="s">
        <v>4460</v>
      </c>
    </row>
    <row r="13" spans="1:2" ht="21" x14ac:dyDescent="0.5">
      <c r="A13" s="31">
        <v>6</v>
      </c>
      <c r="B13" s="31" t="s">
        <v>4458</v>
      </c>
    </row>
    <row r="15" spans="1:2" ht="21" x14ac:dyDescent="0.5">
      <c r="A15" s="31" t="s">
        <v>4464</v>
      </c>
    </row>
    <row r="16" spans="1:2" ht="21" x14ac:dyDescent="0.5">
      <c r="B16" s="31" t="s">
        <v>4462</v>
      </c>
    </row>
    <row r="17" spans="2:2" ht="21" x14ac:dyDescent="0.5">
      <c r="B17" s="31" t="s">
        <v>4463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006B4-47E8-4E67-88EB-6E4DB73D06C8}">
  <dimension ref="A1:Z39"/>
  <sheetViews>
    <sheetView workbookViewId="0">
      <selection activeCell="A37" sqref="A37"/>
    </sheetView>
  </sheetViews>
  <sheetFormatPr defaultColWidth="9.1796875" defaultRowHeight="21" x14ac:dyDescent="0.5"/>
  <cols>
    <col min="1" max="1" width="83.26953125" style="31" bestFit="1" customWidth="1"/>
    <col min="2" max="26" width="16" style="31" bestFit="1" customWidth="1"/>
    <col min="27" max="16384" width="9.1796875" style="31"/>
  </cols>
  <sheetData>
    <row r="1" spans="1:26" s="258" customFormat="1" x14ac:dyDescent="0.5">
      <c r="A1" s="258" t="s">
        <v>4421</v>
      </c>
      <c r="B1" s="258" t="s">
        <v>4422</v>
      </c>
      <c r="C1" s="258" t="s">
        <v>4423</v>
      </c>
      <c r="D1" s="258" t="s">
        <v>4424</v>
      </c>
      <c r="E1" s="258" t="s">
        <v>4425</v>
      </c>
      <c r="F1" s="258" t="s">
        <v>4426</v>
      </c>
      <c r="G1" s="258" t="s">
        <v>4427</v>
      </c>
      <c r="H1" s="258" t="s">
        <v>4428</v>
      </c>
      <c r="I1" s="258" t="s">
        <v>4429</v>
      </c>
      <c r="J1" s="258" t="s">
        <v>4430</v>
      </c>
      <c r="K1" s="258" t="s">
        <v>4431</v>
      </c>
      <c r="L1" s="258" t="s">
        <v>4432</v>
      </c>
      <c r="M1" s="258" t="s">
        <v>4433</v>
      </c>
      <c r="N1" s="258" t="s">
        <v>4434</v>
      </c>
      <c r="O1" s="258" t="s">
        <v>4435</v>
      </c>
      <c r="P1" s="258" t="s">
        <v>4436</v>
      </c>
      <c r="Q1" s="258" t="s">
        <v>4437</v>
      </c>
      <c r="R1" s="258" t="s">
        <v>4438</v>
      </c>
      <c r="S1" s="258" t="s">
        <v>4439</v>
      </c>
      <c r="T1" s="258" t="s">
        <v>4440</v>
      </c>
      <c r="U1" s="258" t="s">
        <v>4441</v>
      </c>
      <c r="V1" s="258" t="s">
        <v>4442</v>
      </c>
      <c r="W1" s="258" t="s">
        <v>4443</v>
      </c>
      <c r="X1" s="258" t="s">
        <v>4444</v>
      </c>
      <c r="Y1" s="258" t="s">
        <v>4445</v>
      </c>
      <c r="Z1" s="258" t="s">
        <v>4446</v>
      </c>
    </row>
    <row r="2" spans="1:26" x14ac:dyDescent="0.5">
      <c r="A2" s="31" t="s">
        <v>4382</v>
      </c>
      <c r="B2" s="31" t="s">
        <v>4347</v>
      </c>
    </row>
    <row r="3" spans="1:26" x14ac:dyDescent="0.5">
      <c r="A3" s="31" t="s">
        <v>4383</v>
      </c>
      <c r="B3" s="31" t="s">
        <v>4347</v>
      </c>
    </row>
    <row r="4" spans="1:26" x14ac:dyDescent="0.5">
      <c r="A4" s="31" t="s">
        <v>4394</v>
      </c>
      <c r="B4" s="31" t="s">
        <v>4347</v>
      </c>
    </row>
    <row r="5" spans="1:26" x14ac:dyDescent="0.5">
      <c r="A5" s="31" t="s">
        <v>4396</v>
      </c>
      <c r="B5" s="31" t="s">
        <v>4347</v>
      </c>
    </row>
    <row r="6" spans="1:26" x14ac:dyDescent="0.5">
      <c r="A6" s="31" t="s">
        <v>4393</v>
      </c>
      <c r="B6" s="31" t="s">
        <v>4347</v>
      </c>
    </row>
    <row r="7" spans="1:26" x14ac:dyDescent="0.5">
      <c r="A7" s="31" t="s">
        <v>4392</v>
      </c>
      <c r="B7" s="31" t="s">
        <v>4347</v>
      </c>
    </row>
    <row r="8" spans="1:26" x14ac:dyDescent="0.5">
      <c r="A8" s="31" t="s">
        <v>4395</v>
      </c>
      <c r="B8" s="31" t="s">
        <v>4347</v>
      </c>
    </row>
    <row r="9" spans="1:26" x14ac:dyDescent="0.5">
      <c r="A9" s="31" t="s">
        <v>4387</v>
      </c>
      <c r="B9" s="31" t="s">
        <v>4347</v>
      </c>
    </row>
    <row r="10" spans="1:26" x14ac:dyDescent="0.5">
      <c r="A10" s="31" t="s">
        <v>4384</v>
      </c>
      <c r="B10" s="31" t="s">
        <v>4347</v>
      </c>
    </row>
    <row r="11" spans="1:26" x14ac:dyDescent="0.5">
      <c r="A11" s="31" t="s">
        <v>4388</v>
      </c>
      <c r="B11" s="31" t="s">
        <v>4347</v>
      </c>
    </row>
    <row r="12" spans="1:26" x14ac:dyDescent="0.5">
      <c r="A12" s="31" t="s">
        <v>4385</v>
      </c>
      <c r="B12" s="31" t="s">
        <v>4347</v>
      </c>
    </row>
    <row r="13" spans="1:26" x14ac:dyDescent="0.5">
      <c r="A13" s="31" t="s">
        <v>4389</v>
      </c>
      <c r="B13" s="31" t="s">
        <v>4347</v>
      </c>
    </row>
    <row r="14" spans="1:26" x14ac:dyDescent="0.5">
      <c r="A14" s="31" t="s">
        <v>4386</v>
      </c>
      <c r="B14" s="31" t="s">
        <v>4347</v>
      </c>
    </row>
    <row r="15" spans="1:26" x14ac:dyDescent="0.5">
      <c r="A15" s="31" t="s">
        <v>4390</v>
      </c>
      <c r="B15" s="31" t="s">
        <v>4347</v>
      </c>
    </row>
    <row r="16" spans="1:26" x14ac:dyDescent="0.5">
      <c r="A16" s="31" t="s">
        <v>4391</v>
      </c>
      <c r="B16" s="31" t="s">
        <v>4347</v>
      </c>
    </row>
    <row r="17" spans="1:2" x14ac:dyDescent="0.5">
      <c r="A17" s="31" t="s">
        <v>4397</v>
      </c>
      <c r="B17" s="31" t="s">
        <v>4347</v>
      </c>
    </row>
    <row r="18" spans="1:2" x14ac:dyDescent="0.5">
      <c r="A18" s="31" t="s">
        <v>4398</v>
      </c>
      <c r="B18" s="31" t="s">
        <v>4347</v>
      </c>
    </row>
    <row r="19" spans="1:2" x14ac:dyDescent="0.5">
      <c r="A19" s="31" t="s">
        <v>4399</v>
      </c>
      <c r="B19" s="31" t="s">
        <v>4347</v>
      </c>
    </row>
    <row r="20" spans="1:2" x14ac:dyDescent="0.5">
      <c r="A20" s="31" t="s">
        <v>4400</v>
      </c>
      <c r="B20" s="31" t="s">
        <v>4347</v>
      </c>
    </row>
    <row r="21" spans="1:2" x14ac:dyDescent="0.5">
      <c r="A21" s="31" t="s">
        <v>4401</v>
      </c>
      <c r="B21" s="31" t="s">
        <v>4347</v>
      </c>
    </row>
    <row r="22" spans="1:2" x14ac:dyDescent="0.5">
      <c r="A22" s="31" t="s">
        <v>4402</v>
      </c>
      <c r="B22" s="31" t="s">
        <v>4347</v>
      </c>
    </row>
    <row r="23" spans="1:2" x14ac:dyDescent="0.5">
      <c r="A23" s="31" t="s">
        <v>4403</v>
      </c>
      <c r="B23" s="31" t="s">
        <v>4347</v>
      </c>
    </row>
    <row r="24" spans="1:2" x14ac:dyDescent="0.5">
      <c r="A24" s="31" t="s">
        <v>4404</v>
      </c>
      <c r="B24" s="31" t="s">
        <v>4347</v>
      </c>
    </row>
    <row r="25" spans="1:2" x14ac:dyDescent="0.5">
      <c r="A25" s="31" t="s">
        <v>4405</v>
      </c>
      <c r="B25" s="31" t="s">
        <v>4347</v>
      </c>
    </row>
    <row r="26" spans="1:2" x14ac:dyDescent="0.5">
      <c r="A26" s="31" t="s">
        <v>4406</v>
      </c>
      <c r="B26" s="31" t="s">
        <v>4347</v>
      </c>
    </row>
    <row r="27" spans="1:2" x14ac:dyDescent="0.5">
      <c r="A27" s="31" t="s">
        <v>4407</v>
      </c>
      <c r="B27" s="31" t="s">
        <v>4347</v>
      </c>
    </row>
    <row r="28" spans="1:2" x14ac:dyDescent="0.5">
      <c r="A28" s="31" t="s">
        <v>4408</v>
      </c>
      <c r="B28" s="31" t="s">
        <v>4347</v>
      </c>
    </row>
    <row r="29" spans="1:2" x14ac:dyDescent="0.5">
      <c r="A29" s="31" t="s">
        <v>4409</v>
      </c>
      <c r="B29" s="31" t="s">
        <v>4347</v>
      </c>
    </row>
    <row r="30" spans="1:2" x14ac:dyDescent="0.5">
      <c r="A30" s="31" t="s">
        <v>4410</v>
      </c>
      <c r="B30" s="31" t="s">
        <v>4347</v>
      </c>
    </row>
    <row r="31" spans="1:2" x14ac:dyDescent="0.5">
      <c r="A31" s="31" t="s">
        <v>4411</v>
      </c>
      <c r="B31" s="31" t="s">
        <v>4347</v>
      </c>
    </row>
    <row r="32" spans="1:2" x14ac:dyDescent="0.5">
      <c r="A32" s="31" t="s">
        <v>4412</v>
      </c>
      <c r="B32" s="31" t="s">
        <v>4347</v>
      </c>
    </row>
    <row r="33" spans="1:2" x14ac:dyDescent="0.5">
      <c r="A33" s="31" t="s">
        <v>4413</v>
      </c>
      <c r="B33" s="31" t="s">
        <v>4347</v>
      </c>
    </row>
    <row r="34" spans="1:2" x14ac:dyDescent="0.5">
      <c r="A34" s="31" t="s">
        <v>4414</v>
      </c>
      <c r="B34" s="31" t="s">
        <v>4347</v>
      </c>
    </row>
    <row r="35" spans="1:2" x14ac:dyDescent="0.5">
      <c r="A35" s="31" t="s">
        <v>4415</v>
      </c>
      <c r="B35" s="31" t="s">
        <v>4347</v>
      </c>
    </row>
    <row r="36" spans="1:2" x14ac:dyDescent="0.5">
      <c r="A36" s="31" t="s">
        <v>4416</v>
      </c>
      <c r="B36" s="31" t="s">
        <v>4347</v>
      </c>
    </row>
    <row r="37" spans="1:2" x14ac:dyDescent="0.5">
      <c r="A37" s="31" t="s">
        <v>4417</v>
      </c>
      <c r="B37" s="31" t="s">
        <v>4347</v>
      </c>
    </row>
    <row r="39" spans="1:2" x14ac:dyDescent="0.5">
      <c r="A39" s="31" t="s">
        <v>4420</v>
      </c>
      <c r="B39" s="31" t="s">
        <v>4419</v>
      </c>
    </row>
  </sheetData>
  <phoneticPr fontId="39" type="noConversion"/>
  <dataValidations count="2">
    <dataValidation type="list" showInputMessage="1" showErrorMessage="1" sqref="B2:L16 C17:L23 B18:B21 B23:B26 B28:B31 B33:B36" xr:uid="{26ABF483-9E10-42F7-BDA5-18943F2D1297}">
      <formula1>"Yes,No"</formula1>
    </dataValidation>
    <dataValidation type="list" allowBlank="1" showInputMessage="1" showErrorMessage="1" sqref="B39:W39" xr:uid="{13472FBF-4067-48F9-80AA-F0353047EFF2}">
      <formula1>"Promised,Denied,Delayed,Difficulty"</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698A7-DEE0-42E7-BAFF-6A4ADB54B47B}">
  <dimension ref="A1:B8"/>
  <sheetViews>
    <sheetView topLeftCell="A6" workbookViewId="0">
      <selection activeCell="B8" sqref="B8"/>
    </sheetView>
  </sheetViews>
  <sheetFormatPr defaultRowHeight="14.5" x14ac:dyDescent="0.35"/>
  <cols>
    <col min="1" max="1" width="10" bestFit="1" customWidth="1"/>
    <col min="2" max="2" width="137.7265625" customWidth="1"/>
  </cols>
  <sheetData>
    <row r="1" spans="1:2" ht="87" x14ac:dyDescent="0.35">
      <c r="A1" t="s">
        <v>9</v>
      </c>
      <c r="B1" s="46" t="s">
        <v>4360</v>
      </c>
    </row>
    <row r="2" spans="1:2" ht="130.5" x14ac:dyDescent="0.35">
      <c r="A2" t="s">
        <v>44</v>
      </c>
      <c r="B2" s="46" t="s">
        <v>4361</v>
      </c>
    </row>
    <row r="3" spans="1:2" ht="72.5" x14ac:dyDescent="0.35">
      <c r="A3" t="s">
        <v>45</v>
      </c>
      <c r="B3" s="46" t="s">
        <v>4363</v>
      </c>
    </row>
    <row r="4" spans="1:2" ht="72.5" x14ac:dyDescent="0.35">
      <c r="A4" t="s">
        <v>43</v>
      </c>
      <c r="B4" s="46" t="s">
        <v>4364</v>
      </c>
    </row>
    <row r="5" spans="1:2" ht="58" x14ac:dyDescent="0.35">
      <c r="A5" t="s">
        <v>41</v>
      </c>
      <c r="B5" s="46" t="s">
        <v>4365</v>
      </c>
    </row>
    <row r="6" spans="1:2" ht="101.5" x14ac:dyDescent="0.35">
      <c r="A6" t="s">
        <v>38</v>
      </c>
      <c r="B6" s="46" t="s">
        <v>4366</v>
      </c>
    </row>
    <row r="7" spans="1:2" ht="87" x14ac:dyDescent="0.35">
      <c r="A7" t="s">
        <v>40</v>
      </c>
      <c r="B7" s="46" t="s">
        <v>4367</v>
      </c>
    </row>
    <row r="8" spans="1:2" ht="101.5" x14ac:dyDescent="0.35">
      <c r="A8" t="s">
        <v>4368</v>
      </c>
      <c r="B8" s="46" t="s">
        <v>4369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538B-299C-4D70-A19B-46A5ED858F33}">
  <dimension ref="A1:AA22"/>
  <sheetViews>
    <sheetView workbookViewId="0"/>
  </sheetViews>
  <sheetFormatPr defaultRowHeight="14.5" x14ac:dyDescent="0.35"/>
  <cols>
    <col min="1" max="27" width="23.81640625" bestFit="1" customWidth="1"/>
  </cols>
  <sheetData>
    <row r="1" spans="1:27" ht="21" x14ac:dyDescent="0.5">
      <c r="A1" s="25" t="s">
        <v>71</v>
      </c>
      <c r="B1" s="25" t="s">
        <v>72</v>
      </c>
      <c r="C1" s="25" t="s">
        <v>73</v>
      </c>
      <c r="D1" s="25" t="s">
        <v>74</v>
      </c>
      <c r="E1" s="25" t="s">
        <v>75</v>
      </c>
      <c r="F1" s="25" t="s">
        <v>76</v>
      </c>
      <c r="G1" s="25" t="s">
        <v>77</v>
      </c>
      <c r="H1" s="25" t="s">
        <v>78</v>
      </c>
      <c r="I1" s="25" t="s">
        <v>79</v>
      </c>
      <c r="J1" s="25" t="s">
        <v>80</v>
      </c>
      <c r="K1" s="25" t="s">
        <v>81</v>
      </c>
      <c r="L1" s="25" t="s">
        <v>82</v>
      </c>
      <c r="M1" s="25" t="s">
        <v>83</v>
      </c>
      <c r="N1" s="25" t="s">
        <v>84</v>
      </c>
      <c r="O1" s="25" t="s">
        <v>85</v>
      </c>
      <c r="P1" s="25" t="s">
        <v>86</v>
      </c>
      <c r="Q1" s="25" t="s">
        <v>87</v>
      </c>
      <c r="R1" s="25" t="s">
        <v>88</v>
      </c>
      <c r="S1" s="25" t="s">
        <v>89</v>
      </c>
      <c r="T1" s="25" t="s">
        <v>90</v>
      </c>
      <c r="U1" s="25" t="s">
        <v>91</v>
      </c>
      <c r="V1" s="25" t="s">
        <v>92</v>
      </c>
      <c r="W1" s="25" t="s">
        <v>93</v>
      </c>
      <c r="X1" s="25" t="s">
        <v>94</v>
      </c>
      <c r="Y1" s="25" t="s">
        <v>95</v>
      </c>
      <c r="Z1" s="25" t="s">
        <v>96</v>
      </c>
      <c r="AA1" s="25" t="s">
        <v>97</v>
      </c>
    </row>
    <row r="2" spans="1:27" ht="21" x14ac:dyDescent="0.5">
      <c r="A2" s="31"/>
      <c r="B2" s="31"/>
      <c r="C2" s="31"/>
      <c r="D2" s="31"/>
      <c r="E2" s="31"/>
      <c r="F2" s="31"/>
      <c r="G2" s="31"/>
      <c r="H2" s="31"/>
      <c r="I2" s="31"/>
      <c r="J2" s="252">
        <v>45292</v>
      </c>
      <c r="K2" s="252">
        <v>45292.352175925924</v>
      </c>
      <c r="L2" s="252">
        <v>45293.481249999997</v>
      </c>
      <c r="M2" s="252">
        <v>45294.609027777777</v>
      </c>
      <c r="N2" s="252">
        <v>45295.724999999999</v>
      </c>
      <c r="O2" s="252">
        <v>45296.819444444445</v>
      </c>
      <c r="P2" s="252">
        <v>45297.884722222225</v>
      </c>
      <c r="Q2" s="252">
        <v>45298.916666666664</v>
      </c>
      <c r="R2" s="252">
        <v>45299.913194444445</v>
      </c>
      <c r="S2" s="252">
        <v>45300.877083333333</v>
      </c>
      <c r="T2" s="252">
        <v>45301.813888888886</v>
      </c>
      <c r="U2" s="252">
        <v>45302.729861111111</v>
      </c>
      <c r="V2" s="252">
        <v>45303.632638888892</v>
      </c>
      <c r="W2" s="252">
        <v>45304.529166666667</v>
      </c>
      <c r="X2" s="252">
        <v>45305.427083333336</v>
      </c>
      <c r="Y2" s="252">
        <v>45306.332638888889</v>
      </c>
      <c r="Z2" s="252">
        <v>45307.251388888886</v>
      </c>
      <c r="AA2" s="252">
        <v>45308.1875</v>
      </c>
    </row>
    <row r="3" spans="1:27" ht="21" x14ac:dyDescent="0.5">
      <c r="A3" s="252">
        <v>45309.142361111109</v>
      </c>
      <c r="B3" s="252">
        <v>45310.118055555555</v>
      </c>
      <c r="C3" s="252">
        <v>45311.112500000003</v>
      </c>
      <c r="D3" s="252">
        <v>45312.125</v>
      </c>
      <c r="E3" s="252">
        <v>45313.154861111114</v>
      </c>
      <c r="F3" s="252">
        <v>45314.200694444444</v>
      </c>
      <c r="G3" s="252">
        <v>45315.261805555558</v>
      </c>
      <c r="H3" s="252">
        <v>45316.338194444441</v>
      </c>
      <c r="I3" s="252">
        <v>45317.429861111108</v>
      </c>
      <c r="J3" s="252">
        <v>45318.536111111112</v>
      </c>
      <c r="K3" s="252">
        <v>45319.654861111114</v>
      </c>
      <c r="L3" s="252">
        <v>45320.783333333333</v>
      </c>
      <c r="M3" s="252">
        <v>45321.913888888892</v>
      </c>
      <c r="N3" s="252">
        <v>45323.040277777778</v>
      </c>
      <c r="O3" s="252">
        <v>45324.152777777781</v>
      </c>
      <c r="P3" s="252">
        <v>45325.241666666669</v>
      </c>
      <c r="Q3" s="252">
        <v>45326.3</v>
      </c>
      <c r="R3" s="252">
        <v>45327.322916666664</v>
      </c>
      <c r="S3" s="252">
        <v>45328.310416666667</v>
      </c>
      <c r="T3" s="252">
        <v>45329.263194444444</v>
      </c>
      <c r="U3" s="252">
        <v>45330.186805555553</v>
      </c>
      <c r="V3" s="252">
        <v>45331.088194444441</v>
      </c>
      <c r="W3" s="252">
        <v>45331.973611111112</v>
      </c>
      <c r="X3" s="252">
        <v>45332.851388888892</v>
      </c>
      <c r="Y3" s="252">
        <v>45333.730555555558</v>
      </c>
      <c r="Z3" s="252">
        <v>45334.617361111108</v>
      </c>
      <c r="AA3" s="252">
        <v>45335.518750000003</v>
      </c>
    </row>
    <row r="4" spans="1:27" ht="21" x14ac:dyDescent="0.5">
      <c r="A4" s="252">
        <v>45336.440972222219</v>
      </c>
      <c r="B4" s="252">
        <v>45337.387499999997</v>
      </c>
      <c r="C4" s="252">
        <v>45338.359722222223</v>
      </c>
      <c r="D4" s="252">
        <v>45339.359027777777</v>
      </c>
      <c r="E4" s="252">
        <v>45340.384722222225</v>
      </c>
      <c r="F4" s="252">
        <v>45341.433333333334</v>
      </c>
      <c r="G4" s="252">
        <v>45342.50277777778</v>
      </c>
      <c r="H4" s="252">
        <v>45343.588888888888</v>
      </c>
      <c r="I4" s="252">
        <v>45344.69027777778</v>
      </c>
      <c r="J4" s="252">
        <v>45345.802777777775</v>
      </c>
      <c r="K4" s="252">
        <v>45346.924305555556</v>
      </c>
      <c r="L4" s="252">
        <v>45348.052083333336</v>
      </c>
      <c r="M4" s="252">
        <v>45349.181250000001</v>
      </c>
      <c r="N4" s="252">
        <v>45350.307638888888</v>
      </c>
      <c r="O4" s="252">
        <v>45351.425694444442</v>
      </c>
      <c r="P4" s="252">
        <v>45352.527083333334</v>
      </c>
      <c r="Q4" s="252">
        <v>45353.606249999997</v>
      </c>
      <c r="R4" s="252">
        <v>45354.656944444447</v>
      </c>
      <c r="S4" s="252">
        <v>45355.675694444442</v>
      </c>
      <c r="T4" s="252">
        <v>45356.660416666666</v>
      </c>
      <c r="U4" s="252">
        <v>45357.613888888889</v>
      </c>
      <c r="V4" s="252">
        <v>45358.538194444445</v>
      </c>
      <c r="W4" s="252">
        <v>45359.439583333333</v>
      </c>
      <c r="X4" s="252">
        <v>52665.324305555558</v>
      </c>
      <c r="Y4" s="252">
        <v>45361.200694444444</v>
      </c>
      <c r="Z4" s="252">
        <v>45362.074305555558</v>
      </c>
      <c r="AA4" s="252">
        <v>45362.954861111109</v>
      </c>
    </row>
    <row r="5" spans="1:27" ht="21" x14ac:dyDescent="0.5">
      <c r="A5" s="252">
        <v>45363.848611111112</v>
      </c>
      <c r="B5" s="252">
        <v>45364.761805555558</v>
      </c>
      <c r="C5" s="252">
        <v>45365.699305555558</v>
      </c>
      <c r="D5" s="252">
        <v>45366.666666666664</v>
      </c>
      <c r="E5" s="252">
        <v>45367.664583333331</v>
      </c>
      <c r="F5" s="252">
        <v>45368.693055555559</v>
      </c>
      <c r="G5" s="252">
        <v>45369.750694444447</v>
      </c>
      <c r="H5" s="252">
        <v>45370.834027777775</v>
      </c>
      <c r="I5" s="252">
        <v>45371.936805555553</v>
      </c>
      <c r="J5" s="252">
        <v>45373.053472222222</v>
      </c>
      <c r="K5" s="252">
        <v>45374.179166666669</v>
      </c>
      <c r="L5" s="252">
        <v>45375.308333333334</v>
      </c>
      <c r="M5" s="252">
        <v>45376.436111111114</v>
      </c>
      <c r="N5" s="252">
        <v>45377.558333333334</v>
      </c>
      <c r="O5" s="252">
        <v>45378.67083333333</v>
      </c>
      <c r="P5" s="252">
        <v>45379.770138888889</v>
      </c>
      <c r="Q5" s="252">
        <v>45380.852083333331</v>
      </c>
      <c r="R5" s="252">
        <v>45381.913194444445</v>
      </c>
      <c r="S5" s="252">
        <v>45382.95</v>
      </c>
      <c r="T5" s="252">
        <v>45383.961111111108</v>
      </c>
      <c r="U5" s="252">
        <v>45384.944444444445</v>
      </c>
      <c r="V5" s="252">
        <v>45385.902083333334</v>
      </c>
      <c r="W5" s="252">
        <v>45386.836111111108</v>
      </c>
      <c r="X5" s="252">
        <v>45387.749305555553</v>
      </c>
      <c r="Y5" s="252">
        <v>45388.647222222222</v>
      </c>
      <c r="Z5" s="252">
        <v>45389.535416666666</v>
      </c>
      <c r="AA5" s="252">
        <v>45390.420138888891</v>
      </c>
    </row>
    <row r="6" spans="1:27" ht="21" x14ac:dyDescent="0.5">
      <c r="A6" s="252">
        <v>45391.308333333334</v>
      </c>
      <c r="B6" s="252">
        <v>45392.207638888889</v>
      </c>
      <c r="C6" s="252">
        <v>45393.123611111114</v>
      </c>
      <c r="D6" s="252">
        <v>45394.0625</v>
      </c>
      <c r="E6" s="252">
        <v>45395.029166666667</v>
      </c>
      <c r="F6" s="252">
        <v>45396.027777777781</v>
      </c>
      <c r="G6" s="252">
        <v>45397.05972222222</v>
      </c>
      <c r="H6" s="252">
        <v>45398.12222222222</v>
      </c>
      <c r="I6" s="252">
        <v>45399.213194444441</v>
      </c>
      <c r="J6" s="252">
        <v>45400.324305555558</v>
      </c>
      <c r="K6" s="252">
        <v>45401.449305555558</v>
      </c>
      <c r="L6" s="252">
        <v>45402.579861111109</v>
      </c>
      <c r="M6" s="252">
        <v>45403.707638888889</v>
      </c>
      <c r="N6" s="252">
        <v>45404.826388888891</v>
      </c>
      <c r="O6" s="252">
        <v>45405.932638888888</v>
      </c>
      <c r="P6" s="252">
        <v>45407.022222222222</v>
      </c>
      <c r="Q6" s="252">
        <v>45408.09375</v>
      </c>
      <c r="R6" s="252">
        <v>45409.146527777775</v>
      </c>
      <c r="S6" s="252">
        <v>45410.179861111108</v>
      </c>
      <c r="T6" s="252">
        <v>45411.194444444445</v>
      </c>
      <c r="U6" s="252">
        <v>45412.19027777778</v>
      </c>
      <c r="V6" s="252">
        <v>45413.167361111111</v>
      </c>
      <c r="W6" s="252">
        <v>45414.127083333333</v>
      </c>
      <c r="X6" s="252">
        <v>45415.070138888892</v>
      </c>
      <c r="Y6" s="252">
        <v>45415.998611111114</v>
      </c>
      <c r="Z6" s="252">
        <v>45416.915972222225</v>
      </c>
      <c r="AA6" s="252">
        <v>45417.825694444444</v>
      </c>
    </row>
    <row r="7" spans="1:27" ht="21" x14ac:dyDescent="0.5">
      <c r="A7" s="252">
        <v>45418.732638888891</v>
      </c>
      <c r="B7" s="252">
        <v>45419.642361111109</v>
      </c>
      <c r="C7" s="252">
        <v>45420.55972222222</v>
      </c>
      <c r="D7" s="252">
        <v>45421.490972222222</v>
      </c>
      <c r="E7" s="252">
        <v>45422.443749999999</v>
      </c>
      <c r="F7" s="252">
        <v>45423.421527777777</v>
      </c>
      <c r="G7" s="252">
        <v>45424.429166666669</v>
      </c>
      <c r="H7" s="252">
        <v>45425.46875</v>
      </c>
      <c r="I7" s="252">
        <v>45426.538888888892</v>
      </c>
      <c r="J7" s="252">
        <v>45427.636111111111</v>
      </c>
      <c r="K7" s="252">
        <v>45428.75277777778</v>
      </c>
      <c r="L7" s="252">
        <v>45429.880555555559</v>
      </c>
      <c r="M7" s="252">
        <v>45431.009722222225</v>
      </c>
      <c r="N7" s="252">
        <v>45432.129861111112</v>
      </c>
      <c r="O7" s="252">
        <v>45433.234027777777</v>
      </c>
      <c r="P7" s="252">
        <v>45434.318055555559</v>
      </c>
      <c r="Q7" s="252">
        <v>45435.379166666666</v>
      </c>
      <c r="R7" s="252">
        <v>45436.417361111111</v>
      </c>
      <c r="S7" s="252">
        <v>45437.435416666667</v>
      </c>
      <c r="T7" s="252">
        <v>45438.435416666667</v>
      </c>
      <c r="U7" s="252">
        <v>45439.420138888891</v>
      </c>
      <c r="V7" s="252">
        <v>45440.392361111109</v>
      </c>
      <c r="W7" s="252">
        <v>45441.354166666664</v>
      </c>
      <c r="X7" s="252">
        <v>45442.307638888888</v>
      </c>
      <c r="Y7" s="252">
        <v>45443.254166666666</v>
      </c>
      <c r="Z7" s="252">
        <v>45444.194444444445</v>
      </c>
      <c r="AA7" s="252">
        <v>45445.130555555559</v>
      </c>
    </row>
    <row r="8" spans="1:27" ht="21" x14ac:dyDescent="0.5">
      <c r="A8" s="252">
        <v>45446.063888888886</v>
      </c>
      <c r="B8" s="252">
        <v>45446.997916666667</v>
      </c>
      <c r="C8" s="252">
        <v>45447.935416666667</v>
      </c>
      <c r="D8" s="252">
        <v>45448.880555555559</v>
      </c>
      <c r="E8" s="252">
        <v>45449.838888888888</v>
      </c>
      <c r="F8" s="252">
        <v>45450.81527777778</v>
      </c>
      <c r="G8" s="252">
        <v>45451.81527777778</v>
      </c>
      <c r="H8" s="252">
        <v>45452.841666666667</v>
      </c>
      <c r="I8" s="252">
        <v>45453.896527777775</v>
      </c>
      <c r="J8" s="252">
        <v>45454.979166666664</v>
      </c>
      <c r="K8" s="252">
        <v>45456.085416666669</v>
      </c>
      <c r="L8" s="252">
        <v>45457.207638888889</v>
      </c>
      <c r="M8" s="252">
        <v>45458.336111111108</v>
      </c>
      <c r="N8" s="252">
        <v>45459.460416666669</v>
      </c>
      <c r="O8" s="252">
        <v>45460.570138888892</v>
      </c>
      <c r="P8" s="252">
        <v>45461.657638888886</v>
      </c>
      <c r="Q8" s="252">
        <v>45462.718055555553</v>
      </c>
      <c r="R8" s="252">
        <v>45463.750694444447</v>
      </c>
      <c r="S8" s="252">
        <v>45464.756944444445</v>
      </c>
      <c r="T8" s="252">
        <v>45465.740277777775</v>
      </c>
      <c r="U8" s="252">
        <v>45466.704861111109</v>
      </c>
      <c r="V8" s="252">
        <v>45467.656944444447</v>
      </c>
      <c r="W8" s="252">
        <v>45468.6</v>
      </c>
      <c r="X8" s="252">
        <v>45469.539583333331</v>
      </c>
      <c r="Y8" s="252">
        <v>45470.478472222225</v>
      </c>
      <c r="Z8" s="252">
        <v>45471.418749999997</v>
      </c>
      <c r="AA8" s="252">
        <v>45472.361805555556</v>
      </c>
    </row>
    <row r="9" spans="1:27" ht="21" x14ac:dyDescent="0.5">
      <c r="A9" s="252">
        <v>45473.30972222222</v>
      </c>
      <c r="B9" s="252">
        <v>45474.262499999997</v>
      </c>
      <c r="C9" s="252">
        <v>45475.22152777778</v>
      </c>
      <c r="D9" s="252">
        <v>45476.188888888886</v>
      </c>
      <c r="E9" s="252">
        <v>45477.165972222225</v>
      </c>
      <c r="F9" s="252">
        <v>45478.156944444447</v>
      </c>
      <c r="G9" s="252">
        <v>45479.165277777778</v>
      </c>
      <c r="H9" s="252">
        <v>45480.193749999999</v>
      </c>
      <c r="I9" s="252">
        <v>45481.245833333334</v>
      </c>
      <c r="J9" s="252">
        <v>45482.321527777778</v>
      </c>
      <c r="K9" s="252">
        <v>45483.42083333333</v>
      </c>
      <c r="L9" s="252">
        <v>45484.538194444445</v>
      </c>
      <c r="M9" s="252">
        <v>45485.665972222225</v>
      </c>
      <c r="N9" s="252">
        <v>45486.795138888891</v>
      </c>
      <c r="O9" s="252">
        <v>45487.914583333331</v>
      </c>
      <c r="P9" s="252">
        <v>45489.013888888891</v>
      </c>
      <c r="Q9" s="252">
        <v>45490.086805555555</v>
      </c>
      <c r="R9" s="252">
        <v>45491.12777777778</v>
      </c>
      <c r="S9" s="252">
        <v>45492.136805555558</v>
      </c>
      <c r="T9" s="252">
        <v>45493.115972222222</v>
      </c>
      <c r="U9" s="252">
        <v>45494.070138888892</v>
      </c>
      <c r="V9" s="252">
        <v>45495.004166666666</v>
      </c>
      <c r="W9" s="252">
        <v>45495.925694444442</v>
      </c>
      <c r="X9" s="252">
        <v>45496.840277777781</v>
      </c>
      <c r="Y9" s="252">
        <v>45497.754166666666</v>
      </c>
      <c r="Z9" s="252">
        <v>45498.672222222223</v>
      </c>
      <c r="AA9" s="252">
        <v>45499.598611111112</v>
      </c>
    </row>
    <row r="10" spans="1:27" ht="21" x14ac:dyDescent="0.5">
      <c r="A10" s="252">
        <v>45500.536111111112</v>
      </c>
      <c r="B10" s="252">
        <v>45501.48541666667</v>
      </c>
      <c r="C10" s="252">
        <v>45502.449305555558</v>
      </c>
      <c r="D10" s="252">
        <v>45503.427083333336</v>
      </c>
      <c r="E10" s="252">
        <v>45504.419444444444</v>
      </c>
      <c r="F10" s="252">
        <v>45505.427083333336</v>
      </c>
      <c r="G10" s="252">
        <v>45506.451388888891</v>
      </c>
      <c r="H10" s="252">
        <v>45507.493055555555</v>
      </c>
      <c r="I10" s="252">
        <v>45508.553472222222</v>
      </c>
      <c r="J10" s="252">
        <v>45509.633333333331</v>
      </c>
      <c r="K10" s="252">
        <v>45510.731944444444</v>
      </c>
      <c r="L10" s="252">
        <v>45511.847916666666</v>
      </c>
      <c r="M10" s="252">
        <v>45512.974999999999</v>
      </c>
      <c r="N10" s="252">
        <v>45514.107638888891</v>
      </c>
      <c r="O10" s="252">
        <v>45515.23541666667</v>
      </c>
      <c r="P10" s="252">
        <v>45516.35</v>
      </c>
      <c r="Q10" s="252">
        <v>45517.440972222219</v>
      </c>
      <c r="R10" s="252">
        <v>45518.50277777778</v>
      </c>
      <c r="S10" s="252">
        <v>45519.530555555553</v>
      </c>
      <c r="T10" s="252">
        <v>45520.524305555555</v>
      </c>
      <c r="U10" s="252">
        <v>45521.486805555556</v>
      </c>
      <c r="V10" s="252">
        <v>45522.421527777777</v>
      </c>
      <c r="W10" s="252">
        <v>45523.334722222222</v>
      </c>
      <c r="X10" s="252">
        <v>45524.234027777777</v>
      </c>
      <c r="Y10" s="252">
        <v>45525.126388888886</v>
      </c>
      <c r="Z10" s="252">
        <v>45526.018055555556</v>
      </c>
      <c r="AA10" s="252">
        <v>45526.915277777778</v>
      </c>
    </row>
    <row r="11" spans="1:27" ht="21" x14ac:dyDescent="0.5">
      <c r="A11" s="252">
        <v>45527.823611111111</v>
      </c>
      <c r="B11" s="252">
        <v>45528.748611111114</v>
      </c>
      <c r="C11" s="252">
        <v>45529.692361111112</v>
      </c>
      <c r="D11" s="252">
        <v>45530.657638888886</v>
      </c>
      <c r="E11" s="252">
        <v>45531.645138888889</v>
      </c>
      <c r="F11" s="252">
        <v>45532.655555555553</v>
      </c>
      <c r="G11" s="252">
        <v>45533.688194444447</v>
      </c>
      <c r="H11" s="252">
        <v>45534.740972222222</v>
      </c>
      <c r="I11" s="252">
        <v>45535.729166666664</v>
      </c>
      <c r="J11" s="252">
        <v>45536.902083333334</v>
      </c>
      <c r="K11" s="252">
        <v>45538.007638888892</v>
      </c>
      <c r="L11" s="252">
        <v>45539.125694444447</v>
      </c>
      <c r="M11" s="252">
        <v>45540.253472222219</v>
      </c>
      <c r="N11" s="252">
        <v>45541.385416666664</v>
      </c>
      <c r="O11" s="252">
        <v>45542.51666666667</v>
      </c>
      <c r="P11" s="252">
        <v>45543.63958333333</v>
      </c>
      <c r="Q11" s="252">
        <v>45544.746527777781</v>
      </c>
      <c r="R11" s="252">
        <v>45545.829861111109</v>
      </c>
      <c r="S11" s="252">
        <v>45546.884027777778</v>
      </c>
      <c r="T11" s="252">
        <v>45547.905555555553</v>
      </c>
      <c r="U11" s="252">
        <v>45548.893750000003</v>
      </c>
      <c r="V11" s="252">
        <v>45549.85</v>
      </c>
      <c r="W11" s="252">
        <v>45550.77847222222</v>
      </c>
      <c r="X11" s="252">
        <v>45551.684027777781</v>
      </c>
      <c r="Y11" s="252">
        <v>45552.573611111111</v>
      </c>
      <c r="Z11" s="252">
        <v>45553.453472222223</v>
      </c>
      <c r="AA11" s="252">
        <v>45554.330555555556</v>
      </c>
    </row>
    <row r="12" spans="1:27" ht="21" x14ac:dyDescent="0.5">
      <c r="A12" s="252">
        <v>45555.213194444441</v>
      </c>
      <c r="B12" s="252">
        <v>45556.107638888891</v>
      </c>
      <c r="C12" s="252">
        <v>45557.019444444442</v>
      </c>
      <c r="D12" s="252">
        <v>45557.95416666667</v>
      </c>
      <c r="E12" s="252">
        <v>45558.915972222225</v>
      </c>
      <c r="F12" s="252">
        <v>45559.906944444447</v>
      </c>
      <c r="G12" s="252">
        <v>45560.927083333336</v>
      </c>
      <c r="H12" s="252">
        <v>45561.975694444445</v>
      </c>
      <c r="I12" s="252">
        <v>45563.049305555556</v>
      </c>
      <c r="J12" s="252">
        <v>45564.144444444442</v>
      </c>
      <c r="K12" s="252">
        <v>45565.256249999999</v>
      </c>
      <c r="L12" s="252">
        <v>45566.379166666666</v>
      </c>
      <c r="M12" s="252">
        <v>45567.509027777778</v>
      </c>
      <c r="N12" s="252">
        <v>45568.640972222223</v>
      </c>
      <c r="O12" s="252">
        <v>45569.686111111114</v>
      </c>
      <c r="P12" s="252">
        <v>45570.89166666667</v>
      </c>
      <c r="Q12" s="252">
        <v>45572.092361111114</v>
      </c>
      <c r="R12" s="252">
        <v>45573.094444444447</v>
      </c>
      <c r="S12" s="252">
        <v>45574.165972222225</v>
      </c>
      <c r="T12" s="252">
        <v>45575.212500000001</v>
      </c>
      <c r="U12" s="252">
        <v>45576.231249999997</v>
      </c>
      <c r="V12" s="252">
        <v>45577.220138888886</v>
      </c>
      <c r="W12" s="252">
        <v>45578.179861111108</v>
      </c>
      <c r="X12" s="252">
        <v>45579.113888888889</v>
      </c>
      <c r="Y12" s="252">
        <v>45580.024305555555</v>
      </c>
      <c r="Z12" s="252">
        <v>45580.917361111111</v>
      </c>
      <c r="AA12" s="252">
        <v>45581.715277777781</v>
      </c>
    </row>
    <row r="13" spans="1:27" ht="21" x14ac:dyDescent="0.5">
      <c r="A13" s="252">
        <v>45582.675694444442</v>
      </c>
      <c r="B13" s="252">
        <v>45583.554861111108</v>
      </c>
      <c r="C13" s="252">
        <v>45584.443749999999</v>
      </c>
      <c r="D13" s="252">
        <v>45585.35</v>
      </c>
      <c r="E13" s="252">
        <v>45586.279166666667</v>
      </c>
      <c r="F13" s="252">
        <v>45587.238194444442</v>
      </c>
      <c r="G13" s="252">
        <v>45588.229166666664</v>
      </c>
      <c r="H13" s="252">
        <v>45589.254861111112</v>
      </c>
      <c r="I13" s="252">
        <v>45590.313194444447</v>
      </c>
      <c r="J13" s="252">
        <v>45591.4</v>
      </c>
      <c r="K13" s="252">
        <v>45592.509722222225</v>
      </c>
      <c r="L13" s="252">
        <v>45593.634722222225</v>
      </c>
      <c r="M13" s="252">
        <v>45594.76666666667</v>
      </c>
      <c r="N13" s="252">
        <v>45595.898611111108</v>
      </c>
      <c r="O13" s="252">
        <v>45597.024305555555</v>
      </c>
      <c r="P13" s="252">
        <v>45598.13958333333</v>
      </c>
      <c r="Q13" s="252">
        <v>45599.242361111108</v>
      </c>
      <c r="R13" s="252">
        <v>45600.329861111109</v>
      </c>
      <c r="S13" s="252">
        <v>45601.4</v>
      </c>
      <c r="T13" s="252">
        <v>45602.45208333333</v>
      </c>
      <c r="U13" s="252">
        <v>45603.484722222223</v>
      </c>
      <c r="V13" s="252">
        <v>45604.496527777781</v>
      </c>
      <c r="W13" s="252">
        <v>45605.48541666667</v>
      </c>
      <c r="X13" s="252">
        <v>45606.45208333333</v>
      </c>
      <c r="Y13" s="252">
        <v>45607.397222222222</v>
      </c>
      <c r="Z13" s="252">
        <v>45608.322222222225</v>
      </c>
      <c r="AA13" s="252">
        <v>45609.230555555558</v>
      </c>
    </row>
    <row r="14" spans="1:27" ht="21" x14ac:dyDescent="0.5">
      <c r="A14" s="252">
        <v>45610.127083333333</v>
      </c>
      <c r="B14" s="252">
        <v>45611.017361111109</v>
      </c>
      <c r="C14" s="252">
        <v>45611.907638888886</v>
      </c>
      <c r="D14" s="252">
        <v>45612.805555555555</v>
      </c>
      <c r="E14" s="252">
        <v>45613.71875</v>
      </c>
      <c r="F14" s="252">
        <v>45614.65347222222</v>
      </c>
      <c r="G14" s="252">
        <v>45615.615972222222</v>
      </c>
      <c r="H14" s="252">
        <v>45616.612500000003</v>
      </c>
      <c r="I14" s="252">
        <v>45617.643055555556</v>
      </c>
      <c r="J14" s="252">
        <v>45618.709027777775</v>
      </c>
      <c r="K14" s="252">
        <v>45619.804166666669</v>
      </c>
      <c r="L14" s="252">
        <v>45620.921527777777</v>
      </c>
      <c r="M14" s="252">
        <v>45622.051388888889</v>
      </c>
      <c r="N14" s="252">
        <v>45623.184027777781</v>
      </c>
      <c r="O14" s="252">
        <v>45624.30972222222</v>
      </c>
      <c r="P14" s="252">
        <v>45625.422222222223</v>
      </c>
      <c r="Q14" s="252">
        <v>45626.517361111109</v>
      </c>
      <c r="R14" s="252">
        <v>45627.59375</v>
      </c>
      <c r="S14" s="252">
        <v>45628.650694444441</v>
      </c>
      <c r="T14" s="252">
        <v>45629.689583333333</v>
      </c>
      <c r="U14" s="252">
        <v>45630.712500000001</v>
      </c>
      <c r="V14" s="252">
        <v>45631.720833333333</v>
      </c>
      <c r="W14" s="252">
        <v>45632.715277777781</v>
      </c>
      <c r="X14" s="252">
        <v>45633.695833333331</v>
      </c>
      <c r="Y14" s="252">
        <v>45634.663194444445</v>
      </c>
      <c r="Z14" s="252">
        <v>45635.616666666669</v>
      </c>
      <c r="AA14" s="252">
        <v>45636.556944444441</v>
      </c>
    </row>
    <row r="15" spans="1:27" ht="21" x14ac:dyDescent="0.5">
      <c r="A15" s="252">
        <v>45637.486111111109</v>
      </c>
      <c r="B15" s="252">
        <v>45638.40625</v>
      </c>
      <c r="C15" s="252">
        <v>45639.320833333331</v>
      </c>
      <c r="D15" s="252">
        <v>45640.236111111109</v>
      </c>
      <c r="E15" s="252">
        <v>45641.156944444447</v>
      </c>
      <c r="F15" s="252">
        <v>45642.091666666667</v>
      </c>
      <c r="G15" s="252">
        <v>45643.045138888891</v>
      </c>
      <c r="H15" s="252">
        <v>45644.024305555555</v>
      </c>
      <c r="I15" s="252">
        <v>45645.03402777778</v>
      </c>
      <c r="J15" s="252">
        <v>45646.07708333333</v>
      </c>
      <c r="K15" s="252">
        <v>45647.151388888888</v>
      </c>
      <c r="L15" s="252">
        <v>45648.25277777778</v>
      </c>
      <c r="M15" s="252">
        <v>45649.374305555553</v>
      </c>
      <c r="N15" s="252">
        <v>45650.504861111112</v>
      </c>
      <c r="O15" s="252">
        <v>45651.633333333331</v>
      </c>
      <c r="P15" s="252">
        <v>45652.75</v>
      </c>
      <c r="Q15" s="252">
        <v>45653.84652777778</v>
      </c>
      <c r="R15" s="252">
        <v>45654.919444444444</v>
      </c>
      <c r="S15" s="252">
        <v>45655.967361111114</v>
      </c>
      <c r="T15" s="252">
        <v>45656.992361111108</v>
      </c>
      <c r="U15" s="252">
        <v>45657.996527777781</v>
      </c>
      <c r="V15" s="31"/>
      <c r="W15" s="31"/>
      <c r="X15" s="31"/>
      <c r="Y15" s="31"/>
      <c r="Z15" s="31"/>
      <c r="AA15" s="31"/>
    </row>
    <row r="16" spans="1:27" ht="21" x14ac:dyDescent="0.5">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row>
    <row r="17" spans="1:27" ht="21" x14ac:dyDescent="0.5">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row>
    <row r="18" spans="1:27" ht="21" x14ac:dyDescent="0.5">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row>
    <row r="19" spans="1:27" ht="21" x14ac:dyDescent="0.5">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row>
    <row r="20" spans="1:27" ht="21" x14ac:dyDescent="0.5">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row>
    <row r="21" spans="1:27" ht="21" x14ac:dyDescent="0.5">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spans="1:27" ht="21" x14ac:dyDescent="0.5">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3EF6-1568-4A7B-A693-8480978EC7DE}">
  <dimension ref="A1:AB65"/>
  <sheetViews>
    <sheetView workbookViewId="0">
      <pane xSplit="1" topLeftCell="O1" activePane="topRight" state="frozen"/>
      <selection activeCell="A14" sqref="A14"/>
      <selection pane="topRight" activeCell="P63" sqref="P63:Q63"/>
    </sheetView>
  </sheetViews>
  <sheetFormatPr defaultColWidth="9.1796875" defaultRowHeight="21" x14ac:dyDescent="0.5"/>
  <cols>
    <col min="1" max="1" width="107.54296875" style="31" bestFit="1" customWidth="1"/>
    <col min="2" max="28" width="23.81640625" style="31" bestFit="1" customWidth="1"/>
    <col min="29" max="16384" width="9.1796875" style="31"/>
  </cols>
  <sheetData>
    <row r="1" spans="1:1" x14ac:dyDescent="0.5">
      <c r="A1" s="55" t="s">
        <v>4008</v>
      </c>
    </row>
    <row r="2" spans="1:1" x14ac:dyDescent="0.5">
      <c r="A2" s="55" t="s">
        <v>3994</v>
      </c>
    </row>
    <row r="4" spans="1:1" x14ac:dyDescent="0.5">
      <c r="A4" s="31" t="s">
        <v>3995</v>
      </c>
    </row>
    <row r="5" spans="1:1" x14ac:dyDescent="0.5">
      <c r="A5" s="31" t="s">
        <v>3996</v>
      </c>
    </row>
    <row r="6" spans="1:1" x14ac:dyDescent="0.5">
      <c r="A6" s="31" t="s">
        <v>3997</v>
      </c>
    </row>
    <row r="7" spans="1:1" x14ac:dyDescent="0.5">
      <c r="A7" s="31" t="s">
        <v>3998</v>
      </c>
    </row>
    <row r="8" spans="1:1" x14ac:dyDescent="0.5">
      <c r="A8" s="31" t="s">
        <v>3999</v>
      </c>
    </row>
    <row r="9" spans="1:1" x14ac:dyDescent="0.5">
      <c r="A9" s="31" t="s">
        <v>4000</v>
      </c>
    </row>
    <row r="10" spans="1:1" x14ac:dyDescent="0.5">
      <c r="A10" s="31" t="s">
        <v>4001</v>
      </c>
    </row>
    <row r="11" spans="1:1" x14ac:dyDescent="0.5">
      <c r="A11" s="31" t="s">
        <v>4002</v>
      </c>
    </row>
    <row r="12" spans="1:1" x14ac:dyDescent="0.5">
      <c r="A12" s="31" t="s">
        <v>4003</v>
      </c>
    </row>
    <row r="13" spans="1:1" x14ac:dyDescent="0.5">
      <c r="A13" s="31" t="s">
        <v>4004</v>
      </c>
    </row>
    <row r="14" spans="1:1" x14ac:dyDescent="0.5">
      <c r="A14" s="31" t="s">
        <v>4005</v>
      </c>
    </row>
    <row r="15" spans="1:1" x14ac:dyDescent="0.5">
      <c r="A15" s="31" t="s">
        <v>4006</v>
      </c>
    </row>
    <row r="16" spans="1:1" x14ac:dyDescent="0.5">
      <c r="A16" s="31" t="s">
        <v>4007</v>
      </c>
    </row>
    <row r="18" spans="1:2" x14ac:dyDescent="0.5">
      <c r="A18" s="55" t="s">
        <v>4129</v>
      </c>
    </row>
    <row r="20" spans="1:2" x14ac:dyDescent="0.5">
      <c r="A20" s="55" t="s">
        <v>4130</v>
      </c>
    </row>
    <row r="21" spans="1:2" x14ac:dyDescent="0.5">
      <c r="A21" s="125" t="s">
        <v>4131</v>
      </c>
    </row>
    <row r="22" spans="1:2" x14ac:dyDescent="0.5">
      <c r="A22" s="253" t="s">
        <v>71</v>
      </c>
      <c r="B22" s="252">
        <v>45395.800694444442</v>
      </c>
    </row>
    <row r="23" spans="1:2" x14ac:dyDescent="0.5">
      <c r="A23" s="253" t="s">
        <v>72</v>
      </c>
      <c r="B23" s="252">
        <v>45409.461805555555</v>
      </c>
    </row>
    <row r="24" spans="1:2" x14ac:dyDescent="0.5">
      <c r="A24" s="253" t="s">
        <v>73</v>
      </c>
      <c r="B24" s="252">
        <v>45423.215277777781</v>
      </c>
    </row>
    <row r="25" spans="1:2" x14ac:dyDescent="0.5">
      <c r="A25" s="253" t="s">
        <v>74</v>
      </c>
      <c r="B25" s="252">
        <v>45437.057638888888</v>
      </c>
    </row>
    <row r="26" spans="1:2" x14ac:dyDescent="0.5">
      <c r="A26" s="253" t="s">
        <v>75</v>
      </c>
      <c r="B26" s="252">
        <v>45450.966666666667</v>
      </c>
    </row>
    <row r="27" spans="1:2" x14ac:dyDescent="0.5">
      <c r="A27" s="253" t="s">
        <v>76</v>
      </c>
      <c r="B27" s="252">
        <v>45464.924305555556</v>
      </c>
    </row>
    <row r="28" spans="1:2" x14ac:dyDescent="0.5">
      <c r="A28" s="253" t="s">
        <v>77</v>
      </c>
      <c r="B28" s="252">
        <v>45478.90625</v>
      </c>
    </row>
    <row r="29" spans="1:2" x14ac:dyDescent="0.5">
      <c r="A29" s="253" t="s">
        <v>78</v>
      </c>
      <c r="B29" s="252">
        <v>45492.886111111111</v>
      </c>
    </row>
    <row r="30" spans="1:2" x14ac:dyDescent="0.5">
      <c r="A30" s="253" t="s">
        <v>79</v>
      </c>
      <c r="B30" s="252">
        <v>45506.84097222222</v>
      </c>
    </row>
    <row r="31" spans="1:2" x14ac:dyDescent="0.5">
      <c r="A31" s="253" t="s">
        <v>80</v>
      </c>
      <c r="B31" s="252">
        <v>45520.742361111108</v>
      </c>
    </row>
    <row r="32" spans="1:2" x14ac:dyDescent="0.5">
      <c r="A32" s="253" t="s">
        <v>81</v>
      </c>
      <c r="B32" s="252">
        <v>45534.577777777777</v>
      </c>
    </row>
    <row r="33" spans="1:3" x14ac:dyDescent="0.5">
      <c r="A33" s="253" t="s">
        <v>82</v>
      </c>
      <c r="B33" s="252">
        <v>45548.320833333331</v>
      </c>
    </row>
    <row r="34" spans="1:3" x14ac:dyDescent="0.5">
      <c r="A34" s="253" t="s">
        <v>83</v>
      </c>
      <c r="B34" s="252">
        <v>45561.970833333333</v>
      </c>
    </row>
    <row r="35" spans="1:3" x14ac:dyDescent="0.5">
      <c r="A35" s="253" t="s">
        <v>84</v>
      </c>
      <c r="B35" s="252">
        <v>45575.510416666664</v>
      </c>
    </row>
    <row r="36" spans="1:3" x14ac:dyDescent="0.5">
      <c r="A36" s="253" t="s">
        <v>85</v>
      </c>
      <c r="B36" s="252">
        <v>45588.952777777777</v>
      </c>
    </row>
    <row r="37" spans="1:3" x14ac:dyDescent="0.5">
      <c r="A37" s="253" t="s">
        <v>86</v>
      </c>
      <c r="B37" s="252">
        <v>45602.289583333331</v>
      </c>
    </row>
    <row r="38" spans="1:3" x14ac:dyDescent="0.5">
      <c r="A38" s="253" t="s">
        <v>87</v>
      </c>
      <c r="B38" s="252">
        <v>45615.545138888891</v>
      </c>
    </row>
    <row r="39" spans="1:3" x14ac:dyDescent="0.5">
      <c r="A39" s="253" t="s">
        <v>88</v>
      </c>
      <c r="B39" s="252">
        <v>45628.722916666666</v>
      </c>
    </row>
    <row r="40" spans="1:3" x14ac:dyDescent="0.5">
      <c r="A40" s="253" t="s">
        <v>89</v>
      </c>
      <c r="B40" s="252">
        <v>45641.848611111112</v>
      </c>
    </row>
    <row r="41" spans="1:3" x14ac:dyDescent="0.5">
      <c r="A41" s="253" t="s">
        <v>90</v>
      </c>
      <c r="B41" s="252">
        <v>45292</v>
      </c>
      <c r="C41" s="252">
        <v>45654.942361111112</v>
      </c>
    </row>
    <row r="42" spans="1:3" x14ac:dyDescent="0.5">
      <c r="A42" s="253" t="s">
        <v>91</v>
      </c>
      <c r="B42" s="252">
        <v>45302.768750000003</v>
      </c>
    </row>
    <row r="43" spans="1:3" x14ac:dyDescent="0.5">
      <c r="A43" s="253" t="s">
        <v>92</v>
      </c>
      <c r="B43" s="252">
        <v>45315.863888888889</v>
      </c>
    </row>
    <row r="44" spans="1:3" x14ac:dyDescent="0.5">
      <c r="A44" s="253" t="s">
        <v>93</v>
      </c>
      <c r="B44" s="252">
        <v>45328.99722222222</v>
      </c>
    </row>
    <row r="45" spans="1:3" x14ac:dyDescent="0.5">
      <c r="A45" s="253" t="s">
        <v>94</v>
      </c>
      <c r="B45" s="252">
        <v>45342.181944444441</v>
      </c>
    </row>
    <row r="46" spans="1:3" x14ac:dyDescent="0.5">
      <c r="A46" s="253" t="s">
        <v>95</v>
      </c>
      <c r="B46" s="252">
        <v>45355.447916666664</v>
      </c>
    </row>
    <row r="47" spans="1:3" x14ac:dyDescent="0.5">
      <c r="A47" s="253" t="s">
        <v>96</v>
      </c>
      <c r="B47" s="252">
        <v>45368.712500000001</v>
      </c>
    </row>
    <row r="48" spans="1:3" x14ac:dyDescent="0.5">
      <c r="A48" s="253" t="s">
        <v>97</v>
      </c>
      <c r="B48" s="252">
        <v>45382.249305555553</v>
      </c>
    </row>
    <row r="51" spans="2:28" x14ac:dyDescent="0.5">
      <c r="B51" s="25" t="s">
        <v>71</v>
      </c>
      <c r="C51" s="25" t="s">
        <v>72</v>
      </c>
      <c r="D51" s="25" t="s">
        <v>73</v>
      </c>
      <c r="E51" s="25" t="s">
        <v>74</v>
      </c>
      <c r="F51" s="25" t="s">
        <v>75</v>
      </c>
      <c r="G51" s="25" t="s">
        <v>76</v>
      </c>
      <c r="H51" s="25" t="s">
        <v>77</v>
      </c>
      <c r="I51" s="25" t="s">
        <v>78</v>
      </c>
      <c r="J51" s="25" t="s">
        <v>79</v>
      </c>
      <c r="K51" s="25" t="s">
        <v>80</v>
      </c>
      <c r="L51" s="25" t="s">
        <v>81</v>
      </c>
      <c r="M51" s="25" t="s">
        <v>82</v>
      </c>
      <c r="N51" s="25" t="s">
        <v>83</v>
      </c>
      <c r="O51" s="25" t="s">
        <v>84</v>
      </c>
      <c r="P51" s="25" t="s">
        <v>85</v>
      </c>
      <c r="Q51" s="25" t="s">
        <v>86</v>
      </c>
      <c r="R51" s="25" t="s">
        <v>87</v>
      </c>
      <c r="S51" s="25" t="s">
        <v>88</v>
      </c>
      <c r="T51" s="25" t="s">
        <v>89</v>
      </c>
      <c r="U51" s="25" t="s">
        <v>90</v>
      </c>
      <c r="V51" s="25" t="s">
        <v>91</v>
      </c>
      <c r="W51" s="25" t="s">
        <v>92</v>
      </c>
      <c r="X51" s="25" t="s">
        <v>93</v>
      </c>
      <c r="Y51" s="25" t="s">
        <v>94</v>
      </c>
      <c r="Z51" s="25" t="s">
        <v>95</v>
      </c>
      <c r="AA51" s="25" t="s">
        <v>96</v>
      </c>
      <c r="AB51" s="25" t="s">
        <v>97</v>
      </c>
    </row>
    <row r="52" spans="2:28" x14ac:dyDescent="0.5">
      <c r="K52" s="252">
        <v>45292</v>
      </c>
      <c r="L52" s="252">
        <v>45292.352175925924</v>
      </c>
      <c r="M52" s="252">
        <v>45293.481249999997</v>
      </c>
      <c r="N52" s="252">
        <v>45294.609027777777</v>
      </c>
      <c r="O52" s="252">
        <v>45295.724999999999</v>
      </c>
      <c r="P52" s="252">
        <v>45296.819444444445</v>
      </c>
      <c r="Q52" s="252">
        <v>45297.884722222225</v>
      </c>
      <c r="R52" s="252">
        <v>45298.916666666664</v>
      </c>
      <c r="S52" s="252">
        <v>45299.913194444445</v>
      </c>
      <c r="T52" s="252">
        <v>45300.877083333333</v>
      </c>
      <c r="U52" s="252">
        <v>45301.813888888886</v>
      </c>
      <c r="V52" s="252">
        <v>45302.729861111111</v>
      </c>
      <c r="W52" s="252">
        <v>45303.632638888892</v>
      </c>
      <c r="X52" s="252">
        <v>45304.529166666667</v>
      </c>
      <c r="Y52" s="252">
        <v>45305.427083333336</v>
      </c>
      <c r="Z52" s="252">
        <v>45306.332638888889</v>
      </c>
      <c r="AA52" s="252">
        <v>45307.251388888886</v>
      </c>
      <c r="AB52" s="252">
        <v>45308.1875</v>
      </c>
    </row>
    <row r="53" spans="2:28" x14ac:dyDescent="0.5">
      <c r="B53" s="252">
        <v>45309.142361111109</v>
      </c>
      <c r="C53" s="252">
        <v>45310.118055555555</v>
      </c>
      <c r="D53" s="252">
        <v>45311.112500000003</v>
      </c>
      <c r="E53" s="252">
        <v>45312.125</v>
      </c>
      <c r="F53" s="252">
        <v>45313.154861111114</v>
      </c>
      <c r="G53" s="252">
        <v>45314.200694444444</v>
      </c>
      <c r="H53" s="252">
        <v>45315.261805555558</v>
      </c>
      <c r="I53" s="252">
        <v>45316.338194444441</v>
      </c>
      <c r="J53" s="252">
        <v>45317.429861111108</v>
      </c>
      <c r="K53" s="252">
        <v>45318.536111111112</v>
      </c>
      <c r="L53" s="252">
        <v>45319.654861111114</v>
      </c>
      <c r="M53" s="252">
        <v>45320.783333333333</v>
      </c>
      <c r="N53" s="252">
        <v>45321.913888888892</v>
      </c>
      <c r="O53" s="252">
        <v>45323.040277777778</v>
      </c>
      <c r="P53" s="252">
        <v>45324.152777777781</v>
      </c>
      <c r="Q53" s="252">
        <v>45325.241666666669</v>
      </c>
      <c r="R53" s="252">
        <v>45326.3</v>
      </c>
      <c r="S53" s="252">
        <v>45327.322916666664</v>
      </c>
      <c r="T53" s="252">
        <v>45328.310416666667</v>
      </c>
      <c r="U53" s="252">
        <v>45329.263194444444</v>
      </c>
      <c r="V53" s="252">
        <v>45330.186805555553</v>
      </c>
      <c r="W53" s="252">
        <v>45331.088194444441</v>
      </c>
      <c r="X53" s="252">
        <v>45331.973611111112</v>
      </c>
      <c r="Y53" s="252">
        <v>45332.851388888892</v>
      </c>
      <c r="Z53" s="252">
        <v>45333.730555555558</v>
      </c>
      <c r="AA53" s="252">
        <v>45334.617361111108</v>
      </c>
      <c r="AB53" s="252">
        <v>45335.518750000003</v>
      </c>
    </row>
    <row r="54" spans="2:28" x14ac:dyDescent="0.5">
      <c r="B54" s="252">
        <v>45336.440972222219</v>
      </c>
      <c r="C54" s="252">
        <v>45337.387499999997</v>
      </c>
      <c r="D54" s="252">
        <v>45338.359722222223</v>
      </c>
      <c r="E54" s="252">
        <v>45339.359027777777</v>
      </c>
      <c r="F54" s="252">
        <v>45340.384722222225</v>
      </c>
      <c r="G54" s="252">
        <v>45341.433333333334</v>
      </c>
      <c r="H54" s="252">
        <v>45342.50277777778</v>
      </c>
      <c r="I54" s="252">
        <v>45343.588888888888</v>
      </c>
      <c r="J54" s="252">
        <v>45344.69027777778</v>
      </c>
      <c r="K54" s="252">
        <v>45345.802777777775</v>
      </c>
      <c r="L54" s="252">
        <v>45346.924305555556</v>
      </c>
      <c r="M54" s="252">
        <v>45348.052083333336</v>
      </c>
      <c r="N54" s="252">
        <v>45349.181250000001</v>
      </c>
      <c r="O54" s="252">
        <v>45350.307638888888</v>
      </c>
      <c r="P54" s="252">
        <v>45351.425694444442</v>
      </c>
      <c r="Q54" s="252">
        <v>45352.527083333334</v>
      </c>
      <c r="R54" s="252">
        <v>45353.606249999997</v>
      </c>
      <c r="S54" s="252">
        <v>45354.656944444447</v>
      </c>
      <c r="T54" s="252">
        <v>45355.675694444442</v>
      </c>
      <c r="U54" s="252">
        <v>45356.660416666666</v>
      </c>
      <c r="V54" s="252">
        <v>45357.613888888889</v>
      </c>
      <c r="W54" s="252">
        <v>45358.538194444445</v>
      </c>
      <c r="X54" s="252">
        <v>45359.439583333333</v>
      </c>
      <c r="Y54" s="252">
        <v>52665.324305555558</v>
      </c>
      <c r="Z54" s="252">
        <v>45361.200694444444</v>
      </c>
      <c r="AA54" s="252">
        <v>45362.074305555558</v>
      </c>
      <c r="AB54" s="252">
        <v>45362.954861111109</v>
      </c>
    </row>
    <row r="55" spans="2:28" x14ac:dyDescent="0.5">
      <c r="B55" s="252">
        <v>45363.848611111112</v>
      </c>
      <c r="C55" s="252">
        <v>45364.761805555558</v>
      </c>
      <c r="D55" s="252">
        <v>45365.699305555558</v>
      </c>
      <c r="E55" s="252">
        <v>45366.666666666664</v>
      </c>
      <c r="F55" s="252">
        <v>45367.664583333331</v>
      </c>
      <c r="G55" s="252">
        <v>45368.693055555559</v>
      </c>
      <c r="H55" s="252">
        <v>45369.750694444447</v>
      </c>
      <c r="I55" s="252">
        <v>45370.834027777775</v>
      </c>
      <c r="J55" s="252">
        <v>45371.936805555553</v>
      </c>
      <c r="K55" s="252">
        <v>45373.053472222222</v>
      </c>
      <c r="L55" s="252">
        <v>45374.179166666669</v>
      </c>
      <c r="M55" s="252">
        <v>45375.308333333334</v>
      </c>
      <c r="N55" s="252">
        <v>45376.436111111114</v>
      </c>
      <c r="O55" s="252">
        <v>45377.558333333334</v>
      </c>
      <c r="P55" s="252">
        <v>45378.67083333333</v>
      </c>
      <c r="Q55" s="252">
        <v>45379.770138888889</v>
      </c>
      <c r="R55" s="252">
        <v>45380.852083333331</v>
      </c>
      <c r="S55" s="252">
        <v>45381.913194444445</v>
      </c>
      <c r="T55" s="252">
        <v>45382.95</v>
      </c>
      <c r="U55" s="252">
        <v>45383.961111111108</v>
      </c>
      <c r="V55" s="252">
        <v>45384.944444444445</v>
      </c>
      <c r="W55" s="252">
        <v>45385.902083333334</v>
      </c>
      <c r="X55" s="252">
        <v>45386.836111111108</v>
      </c>
      <c r="Y55" s="252">
        <v>45387.749305555553</v>
      </c>
      <c r="Z55" s="252">
        <v>45388.647222222222</v>
      </c>
      <c r="AA55" s="252">
        <v>45389.535416666666</v>
      </c>
      <c r="AB55" s="252">
        <v>45390.420138888891</v>
      </c>
    </row>
    <row r="56" spans="2:28" x14ac:dyDescent="0.5">
      <c r="B56" s="252">
        <v>45391.308333333334</v>
      </c>
      <c r="C56" s="252">
        <v>45392.207638888889</v>
      </c>
      <c r="D56" s="252">
        <v>45393.123611111114</v>
      </c>
      <c r="E56" s="252">
        <v>45394.0625</v>
      </c>
      <c r="F56" s="252">
        <v>45395.029166666667</v>
      </c>
      <c r="G56" s="252">
        <v>45396.027777777781</v>
      </c>
      <c r="H56" s="252">
        <v>45397.05972222222</v>
      </c>
      <c r="I56" s="252">
        <v>45398.12222222222</v>
      </c>
      <c r="J56" s="252">
        <v>45399.213194444441</v>
      </c>
      <c r="K56" s="252">
        <v>45400.324305555558</v>
      </c>
      <c r="L56" s="252">
        <v>45401.449305555558</v>
      </c>
      <c r="M56" s="252">
        <v>45402.579861111109</v>
      </c>
      <c r="N56" s="252">
        <v>45403.707638888889</v>
      </c>
      <c r="O56" s="252">
        <v>45404.826388888891</v>
      </c>
      <c r="P56" s="252">
        <v>45405.932638888888</v>
      </c>
      <c r="Q56" s="252">
        <v>45407.022222222222</v>
      </c>
      <c r="R56" s="252">
        <v>45408.09375</v>
      </c>
      <c r="S56" s="252">
        <v>45409.146527777775</v>
      </c>
      <c r="T56" s="252">
        <v>45410.179861111108</v>
      </c>
      <c r="U56" s="252">
        <v>45411.194444444445</v>
      </c>
      <c r="V56" s="252">
        <v>45412.19027777778</v>
      </c>
      <c r="W56" s="252">
        <v>45413.167361111111</v>
      </c>
      <c r="X56" s="252">
        <v>45414.127083333333</v>
      </c>
      <c r="Y56" s="252">
        <v>45415.070138888892</v>
      </c>
      <c r="Z56" s="252">
        <v>45415.998611111114</v>
      </c>
      <c r="AA56" s="252">
        <v>45416.915972222225</v>
      </c>
      <c r="AB56" s="252">
        <v>45417.825694444444</v>
      </c>
    </row>
    <row r="57" spans="2:28" x14ac:dyDescent="0.5">
      <c r="B57" s="252">
        <v>45418.732638888891</v>
      </c>
      <c r="C57" s="252">
        <v>45419.642361111109</v>
      </c>
      <c r="D57" s="252">
        <v>45420.55972222222</v>
      </c>
      <c r="E57" s="252">
        <v>45421.490972222222</v>
      </c>
      <c r="F57" s="252">
        <v>45422.443749999999</v>
      </c>
      <c r="G57" s="252">
        <v>45423.421527777777</v>
      </c>
      <c r="H57" s="252">
        <v>45424.429166666669</v>
      </c>
      <c r="I57" s="252">
        <v>45425.46875</v>
      </c>
      <c r="J57" s="252">
        <v>45426.538888888892</v>
      </c>
      <c r="K57" s="252">
        <v>45427.636111111111</v>
      </c>
      <c r="L57" s="252">
        <v>45428.75277777778</v>
      </c>
      <c r="M57" s="252">
        <v>45429.880555555559</v>
      </c>
      <c r="N57" s="252">
        <v>45431.009722222225</v>
      </c>
      <c r="O57" s="252">
        <v>45432.129861111112</v>
      </c>
      <c r="P57" s="252">
        <v>45433.234027777777</v>
      </c>
      <c r="Q57" s="252">
        <v>45434.318055555559</v>
      </c>
      <c r="R57" s="252">
        <v>45435.379166666666</v>
      </c>
      <c r="S57" s="252">
        <v>45436.417361111111</v>
      </c>
      <c r="T57" s="252">
        <v>45437.435416666667</v>
      </c>
      <c r="U57" s="252">
        <v>45438.435416666667</v>
      </c>
      <c r="V57" s="252">
        <v>45439.420138888891</v>
      </c>
      <c r="W57" s="252">
        <v>45440.392361111109</v>
      </c>
      <c r="X57" s="252">
        <v>45441.354166666664</v>
      </c>
      <c r="Y57" s="252">
        <v>45442.307638888888</v>
      </c>
      <c r="Z57" s="252">
        <v>45443.254166666666</v>
      </c>
      <c r="AA57" s="252">
        <v>45444.194444444445</v>
      </c>
      <c r="AB57" s="252">
        <v>45445.130555555559</v>
      </c>
    </row>
    <row r="58" spans="2:28" x14ac:dyDescent="0.5">
      <c r="B58" s="252">
        <v>45446.063888888886</v>
      </c>
      <c r="C58" s="252">
        <v>45446.997916666667</v>
      </c>
      <c r="D58" s="252">
        <v>45447.935416666667</v>
      </c>
      <c r="E58" s="252">
        <v>45448.880555555559</v>
      </c>
      <c r="F58" s="252">
        <v>45449.838888888888</v>
      </c>
      <c r="G58" s="252">
        <v>45450.81527777778</v>
      </c>
      <c r="H58" s="252">
        <v>45451.81527777778</v>
      </c>
      <c r="I58" s="252">
        <v>45452.841666666667</v>
      </c>
      <c r="J58" s="252">
        <v>45453.896527777775</v>
      </c>
      <c r="K58" s="252">
        <v>45454.979166666664</v>
      </c>
      <c r="L58" s="252">
        <v>45456.085416666669</v>
      </c>
      <c r="M58" s="252">
        <v>45457.207638888889</v>
      </c>
      <c r="N58" s="252">
        <v>45458.336111111108</v>
      </c>
      <c r="O58" s="252">
        <v>45459.460416666669</v>
      </c>
      <c r="P58" s="252">
        <v>45460.570138888892</v>
      </c>
      <c r="Q58" s="252">
        <v>45461.657638888886</v>
      </c>
      <c r="R58" s="252">
        <v>45462.718055555553</v>
      </c>
      <c r="S58" s="252">
        <v>45463.750694444447</v>
      </c>
      <c r="T58" s="252">
        <v>45464.756944444445</v>
      </c>
      <c r="U58" s="252">
        <v>45465.740277777775</v>
      </c>
      <c r="V58" s="252">
        <v>45466.704861111109</v>
      </c>
      <c r="W58" s="252">
        <v>45467.656944444447</v>
      </c>
      <c r="X58" s="252">
        <v>45468.6</v>
      </c>
      <c r="Y58" s="252">
        <v>45469.539583333331</v>
      </c>
      <c r="Z58" s="252">
        <v>45470.478472222225</v>
      </c>
      <c r="AA58" s="252">
        <v>45471.418749999997</v>
      </c>
      <c r="AB58" s="252">
        <v>45472.361805555556</v>
      </c>
    </row>
    <row r="59" spans="2:28" x14ac:dyDescent="0.5">
      <c r="B59" s="252">
        <v>45473.30972222222</v>
      </c>
      <c r="C59" s="252">
        <v>45474.262499999997</v>
      </c>
      <c r="D59" s="252">
        <v>45475.22152777778</v>
      </c>
      <c r="E59" s="252">
        <v>45476.188888888886</v>
      </c>
      <c r="F59" s="252">
        <v>45477.165972222225</v>
      </c>
      <c r="G59" s="252">
        <v>45478.156944444447</v>
      </c>
      <c r="H59" s="252">
        <v>45479.165277777778</v>
      </c>
      <c r="I59" s="252">
        <v>45480.193749999999</v>
      </c>
      <c r="J59" s="252">
        <v>45481.245833333334</v>
      </c>
      <c r="K59" s="252">
        <v>45482.321527777778</v>
      </c>
      <c r="L59" s="252">
        <v>45483.42083333333</v>
      </c>
      <c r="M59" s="252">
        <v>45484.538194444445</v>
      </c>
      <c r="N59" s="252">
        <v>45485.665972222225</v>
      </c>
      <c r="O59" s="252">
        <v>45486.795138888891</v>
      </c>
      <c r="P59" s="252">
        <v>45487.914583333331</v>
      </c>
      <c r="Q59" s="252">
        <v>45489.013888888891</v>
      </c>
      <c r="R59" s="252">
        <v>45490.086805555555</v>
      </c>
      <c r="S59" s="252">
        <v>45491.12777777778</v>
      </c>
      <c r="T59" s="252">
        <v>45492.136805555558</v>
      </c>
      <c r="U59" s="252">
        <v>45493.115972222222</v>
      </c>
      <c r="V59" s="252">
        <v>45494.070138888892</v>
      </c>
      <c r="W59" s="252">
        <v>45495.004166666666</v>
      </c>
      <c r="X59" s="252">
        <v>45495.925694444442</v>
      </c>
      <c r="Y59" s="252">
        <v>45496.840277777781</v>
      </c>
      <c r="Z59" s="252">
        <v>45497.754166666666</v>
      </c>
      <c r="AA59" s="252">
        <v>45498.672222222223</v>
      </c>
      <c r="AB59" s="252">
        <v>45499.598611111112</v>
      </c>
    </row>
    <row r="60" spans="2:28" x14ac:dyDescent="0.5">
      <c r="B60" s="252">
        <v>45500.536111111112</v>
      </c>
      <c r="C60" s="252">
        <v>45501.48541666667</v>
      </c>
      <c r="D60" s="252">
        <v>45502.449305555558</v>
      </c>
      <c r="E60" s="252">
        <v>45503.427083333336</v>
      </c>
      <c r="F60" s="252">
        <v>45504.419444444444</v>
      </c>
      <c r="G60" s="252">
        <v>45505.427083333336</v>
      </c>
      <c r="H60" s="252">
        <v>45506.451388888891</v>
      </c>
      <c r="I60" s="252">
        <v>45507.493055555555</v>
      </c>
      <c r="J60" s="252">
        <v>45508.553472222222</v>
      </c>
      <c r="K60" s="252">
        <v>45509.633333333331</v>
      </c>
      <c r="L60" s="252">
        <v>45510.731944444444</v>
      </c>
      <c r="M60" s="252">
        <v>45511.847916666666</v>
      </c>
      <c r="N60" s="252">
        <v>45512.974999999999</v>
      </c>
      <c r="O60" s="252">
        <v>45514.107638888891</v>
      </c>
      <c r="P60" s="252">
        <v>45515.23541666667</v>
      </c>
      <c r="Q60" s="252">
        <v>45516.35</v>
      </c>
      <c r="R60" s="252">
        <v>45517.440972222219</v>
      </c>
      <c r="S60" s="252">
        <v>45518.50277777778</v>
      </c>
      <c r="T60" s="252">
        <v>45519.530555555553</v>
      </c>
      <c r="U60" s="252">
        <v>45520.524305555555</v>
      </c>
      <c r="V60" s="252">
        <v>45521.486805555556</v>
      </c>
      <c r="W60" s="252">
        <v>45522.421527777777</v>
      </c>
      <c r="X60" s="252">
        <v>45523.334722222222</v>
      </c>
      <c r="Y60" s="252">
        <v>45524.234027777777</v>
      </c>
      <c r="Z60" s="252">
        <v>45525.126388888886</v>
      </c>
      <c r="AA60" s="252">
        <v>45526.018055555556</v>
      </c>
      <c r="AB60" s="252">
        <v>45526.915277777778</v>
      </c>
    </row>
    <row r="61" spans="2:28" x14ac:dyDescent="0.5">
      <c r="B61" s="252">
        <v>45527.823611111111</v>
      </c>
      <c r="C61" s="252">
        <v>45528.748611111114</v>
      </c>
      <c r="D61" s="252">
        <v>45529.692361111112</v>
      </c>
      <c r="E61" s="252">
        <v>45530.657638888886</v>
      </c>
      <c r="F61" s="252">
        <v>45531.645138888889</v>
      </c>
      <c r="G61" s="252">
        <v>45532.655555555553</v>
      </c>
      <c r="H61" s="252">
        <v>45533.688194444447</v>
      </c>
      <c r="I61" s="252">
        <v>45534.740972222222</v>
      </c>
      <c r="J61" s="252">
        <v>45535.729166666664</v>
      </c>
      <c r="K61" s="252">
        <v>45536.902083333334</v>
      </c>
      <c r="L61" s="252">
        <v>45538.007638888892</v>
      </c>
      <c r="M61" s="252">
        <v>45539.125694444447</v>
      </c>
      <c r="N61" s="252">
        <v>45540.253472222219</v>
      </c>
      <c r="O61" s="252">
        <v>45541.385416666664</v>
      </c>
      <c r="P61" s="252">
        <v>45542.51666666667</v>
      </c>
      <c r="Q61" s="252">
        <v>45543.63958333333</v>
      </c>
      <c r="R61" s="252">
        <v>45544.746527777781</v>
      </c>
      <c r="S61" s="252">
        <v>45545.829861111109</v>
      </c>
      <c r="T61" s="252">
        <v>45546.884027777778</v>
      </c>
      <c r="U61" s="252">
        <v>45547.905555555553</v>
      </c>
      <c r="V61" s="252">
        <v>45548.893750000003</v>
      </c>
      <c r="W61" s="252">
        <v>45549.85</v>
      </c>
      <c r="X61" s="252">
        <v>45550.77847222222</v>
      </c>
      <c r="Y61" s="252">
        <v>45551.684027777781</v>
      </c>
      <c r="Z61" s="252">
        <v>45552.573611111111</v>
      </c>
      <c r="AA61" s="252">
        <v>45553.453472222223</v>
      </c>
      <c r="AB61" s="252">
        <v>45554.330555555556</v>
      </c>
    </row>
    <row r="62" spans="2:28" x14ac:dyDescent="0.5">
      <c r="B62" s="252">
        <v>45555.213194444441</v>
      </c>
      <c r="C62" s="252">
        <v>45556.107638888891</v>
      </c>
      <c r="D62" s="252">
        <v>45557.019444444442</v>
      </c>
      <c r="E62" s="252">
        <v>45557.95416666667</v>
      </c>
      <c r="F62" s="252">
        <v>45558.915972222225</v>
      </c>
      <c r="G62" s="252">
        <v>45559.906944444447</v>
      </c>
      <c r="H62" s="252">
        <v>45560.927083333336</v>
      </c>
      <c r="I62" s="252">
        <v>45561.975694444445</v>
      </c>
      <c r="J62" s="252">
        <v>45563.049305555556</v>
      </c>
      <c r="K62" s="252">
        <v>45564.144444444442</v>
      </c>
      <c r="L62" s="252">
        <v>45565.256249999999</v>
      </c>
      <c r="M62" s="252">
        <v>45566.379166666666</v>
      </c>
      <c r="N62" s="252">
        <v>45567.509027777778</v>
      </c>
      <c r="O62" s="252">
        <v>45568.640972222223</v>
      </c>
      <c r="P62" s="252">
        <v>45569.686111111114</v>
      </c>
      <c r="Q62" s="252">
        <v>45570.89166666667</v>
      </c>
      <c r="R62" s="252">
        <v>45572.092361111114</v>
      </c>
      <c r="S62" s="252">
        <v>45573.094444444447</v>
      </c>
      <c r="T62" s="252">
        <v>45574.165972222225</v>
      </c>
      <c r="U62" s="252">
        <v>45575.212500000001</v>
      </c>
      <c r="V62" s="252">
        <v>45576.231249999997</v>
      </c>
      <c r="W62" s="252">
        <v>45577.220138888886</v>
      </c>
      <c r="X62" s="252">
        <v>45578.179861111108</v>
      </c>
      <c r="Y62" s="252">
        <v>45579.113888888889</v>
      </c>
      <c r="Z62" s="252">
        <v>45580.024305555555</v>
      </c>
      <c r="AA62" s="252">
        <v>45580.917361111111</v>
      </c>
      <c r="AB62" s="252">
        <v>45581.715277777781</v>
      </c>
    </row>
    <row r="63" spans="2:28" x14ac:dyDescent="0.5">
      <c r="B63" s="252">
        <v>45582.675694444442</v>
      </c>
      <c r="C63" s="252">
        <v>45583.554861111108</v>
      </c>
      <c r="D63" s="252">
        <v>45584.443749999999</v>
      </c>
      <c r="E63" s="252">
        <v>45585.35</v>
      </c>
      <c r="F63" s="252">
        <v>45586.279166666667</v>
      </c>
      <c r="G63" s="252">
        <v>45587.238194444442</v>
      </c>
      <c r="H63" s="252">
        <v>45588.229166666664</v>
      </c>
      <c r="I63" s="252">
        <v>45589.254861111112</v>
      </c>
      <c r="J63" s="252">
        <v>45590.313194444447</v>
      </c>
      <c r="K63" s="252">
        <v>45591.4</v>
      </c>
      <c r="L63" s="252">
        <v>45592.509722222225</v>
      </c>
      <c r="M63" s="252">
        <v>45593.634722222225</v>
      </c>
      <c r="N63" s="252">
        <v>45594.76666666667</v>
      </c>
      <c r="O63" s="252">
        <v>45595.898611111108</v>
      </c>
      <c r="P63" s="252">
        <v>45597.024305555555</v>
      </c>
      <c r="Q63" s="252">
        <v>45598.13958333333</v>
      </c>
      <c r="R63" s="252">
        <v>45599.242361111108</v>
      </c>
      <c r="S63" s="252">
        <v>45600.329861111109</v>
      </c>
      <c r="T63" s="252">
        <v>45601.4</v>
      </c>
      <c r="U63" s="252">
        <v>45602.45208333333</v>
      </c>
      <c r="V63" s="252">
        <v>45603.484722222223</v>
      </c>
      <c r="W63" s="252">
        <v>45604.496527777781</v>
      </c>
      <c r="X63" s="252">
        <v>45605.48541666667</v>
      </c>
      <c r="Y63" s="252">
        <v>45606.45208333333</v>
      </c>
      <c r="Z63" s="252">
        <v>45607.397222222222</v>
      </c>
      <c r="AA63" s="252">
        <v>45608.322222222225</v>
      </c>
      <c r="AB63" s="252">
        <v>45609.230555555558</v>
      </c>
    </row>
    <row r="64" spans="2:28" x14ac:dyDescent="0.5">
      <c r="B64" s="252">
        <v>45610.127083333333</v>
      </c>
      <c r="C64" s="252">
        <v>45611.017361111109</v>
      </c>
      <c r="D64" s="252">
        <v>45611.907638888886</v>
      </c>
      <c r="E64" s="252">
        <v>45612.805555555555</v>
      </c>
      <c r="F64" s="252">
        <v>45613.71875</v>
      </c>
      <c r="G64" s="252">
        <v>45614.65347222222</v>
      </c>
      <c r="H64" s="252">
        <v>45615.615972222222</v>
      </c>
      <c r="I64" s="252">
        <v>45616.612500000003</v>
      </c>
      <c r="J64" s="252">
        <v>45617.643055555556</v>
      </c>
      <c r="K64" s="252">
        <v>45618.709027777775</v>
      </c>
      <c r="L64" s="252">
        <v>45619.804166666669</v>
      </c>
      <c r="M64" s="252">
        <v>45620.921527777777</v>
      </c>
      <c r="N64" s="252">
        <v>45622.051388888889</v>
      </c>
      <c r="O64" s="252">
        <v>45623.184027777781</v>
      </c>
      <c r="P64" s="252">
        <v>45624.30972222222</v>
      </c>
      <c r="Q64" s="252">
        <v>45625.422222222223</v>
      </c>
      <c r="R64" s="252">
        <v>45626.517361111109</v>
      </c>
      <c r="S64" s="252">
        <v>45627.59375</v>
      </c>
      <c r="T64" s="252">
        <v>45628.650694444441</v>
      </c>
      <c r="U64" s="252">
        <v>45629.689583333333</v>
      </c>
      <c r="V64" s="252">
        <v>45630.712500000001</v>
      </c>
      <c r="W64" s="252">
        <v>45631.720833333333</v>
      </c>
      <c r="X64" s="252">
        <v>45632.715277777781</v>
      </c>
      <c r="Y64" s="252">
        <v>45633.695833333331</v>
      </c>
      <c r="Z64" s="252">
        <v>45634.663194444445</v>
      </c>
      <c r="AA64" s="252">
        <v>45635.616666666669</v>
      </c>
      <c r="AB64" s="252">
        <v>45636.556944444441</v>
      </c>
    </row>
    <row r="65" spans="2:22" x14ac:dyDescent="0.5">
      <c r="B65" s="252">
        <v>45637.486111111109</v>
      </c>
      <c r="C65" s="252">
        <v>45638.40625</v>
      </c>
      <c r="D65" s="252">
        <v>45639.320833333331</v>
      </c>
      <c r="E65" s="252">
        <v>45640.236111111109</v>
      </c>
      <c r="F65" s="252">
        <v>45641.156944444447</v>
      </c>
      <c r="G65" s="252">
        <v>45642.091666666667</v>
      </c>
      <c r="H65" s="252">
        <v>45643.045138888891</v>
      </c>
      <c r="I65" s="252">
        <v>45644.024305555555</v>
      </c>
      <c r="J65" s="252">
        <v>45645.03402777778</v>
      </c>
      <c r="K65" s="252">
        <v>45646.07708333333</v>
      </c>
      <c r="L65" s="252">
        <v>45647.151388888888</v>
      </c>
      <c r="M65" s="252">
        <v>45648.25277777778</v>
      </c>
      <c r="N65" s="252">
        <v>45649.374305555553</v>
      </c>
      <c r="O65" s="252">
        <v>45650.504861111112</v>
      </c>
      <c r="P65" s="252">
        <v>45651.633333333331</v>
      </c>
      <c r="Q65" s="252">
        <v>45652.75</v>
      </c>
      <c r="R65" s="252">
        <v>45653.84652777778</v>
      </c>
      <c r="S65" s="252">
        <v>45654.919444444444</v>
      </c>
      <c r="T65" s="252">
        <v>45655.967361111114</v>
      </c>
      <c r="U65" s="252">
        <v>45656.992361111108</v>
      </c>
      <c r="V65" s="252">
        <v>45657.996527777781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77F4-E344-4B33-8CDF-9C0AABC49D3D}">
  <dimension ref="A1:D9"/>
  <sheetViews>
    <sheetView workbookViewId="0">
      <selection activeCell="D11" sqref="D11"/>
    </sheetView>
  </sheetViews>
  <sheetFormatPr defaultRowHeight="14.5" x14ac:dyDescent="0.35"/>
  <cols>
    <col min="1" max="1" width="11.26953125" bestFit="1" customWidth="1"/>
    <col min="2" max="2" width="41.7265625" bestFit="1" customWidth="1"/>
    <col min="3" max="3" width="32.54296875" bestFit="1" customWidth="1"/>
    <col min="4" max="4" width="15.26953125" bestFit="1" customWidth="1"/>
  </cols>
  <sheetData>
    <row r="1" spans="1:4" ht="21" x14ac:dyDescent="0.5">
      <c r="A1" s="55" t="s">
        <v>3285</v>
      </c>
      <c r="B1" s="55" t="s">
        <v>3635</v>
      </c>
      <c r="C1" s="55" t="s">
        <v>3636</v>
      </c>
      <c r="D1" s="55" t="s">
        <v>3637</v>
      </c>
    </row>
    <row r="2" spans="1:4" ht="21" x14ac:dyDescent="0.5">
      <c r="A2" s="31" t="s">
        <v>43</v>
      </c>
      <c r="B2" s="31" t="s">
        <v>3615</v>
      </c>
      <c r="C2" s="31" t="s">
        <v>3616</v>
      </c>
      <c r="D2" s="31" t="s">
        <v>3617</v>
      </c>
    </row>
    <row r="3" spans="1:4" ht="21" x14ac:dyDescent="0.5">
      <c r="A3" s="31" t="s">
        <v>43</v>
      </c>
      <c r="B3" s="31" t="s">
        <v>3618</v>
      </c>
      <c r="C3" s="31" t="s">
        <v>3619</v>
      </c>
      <c r="D3" s="31" t="s">
        <v>3620</v>
      </c>
    </row>
    <row r="4" spans="1:4" ht="21" x14ac:dyDescent="0.5">
      <c r="A4" s="31" t="s">
        <v>43</v>
      </c>
      <c r="B4" s="31" t="s">
        <v>3621</v>
      </c>
      <c r="C4" s="31" t="s">
        <v>3622</v>
      </c>
      <c r="D4" s="31" t="s">
        <v>3620</v>
      </c>
    </row>
    <row r="5" spans="1:4" ht="21" x14ac:dyDescent="0.5">
      <c r="A5" s="31" t="s">
        <v>43</v>
      </c>
      <c r="B5" s="31" t="s">
        <v>3623</v>
      </c>
      <c r="C5" s="31" t="s">
        <v>3624</v>
      </c>
      <c r="D5" s="31" t="s">
        <v>3617</v>
      </c>
    </row>
    <row r="6" spans="1:4" ht="21" x14ac:dyDescent="0.5">
      <c r="A6" s="31" t="s">
        <v>38</v>
      </c>
      <c r="B6" s="31" t="s">
        <v>3625</v>
      </c>
      <c r="C6" s="31"/>
      <c r="D6" s="31"/>
    </row>
    <row r="7" spans="1:4" ht="21" x14ac:dyDescent="0.5">
      <c r="A7" s="31" t="s">
        <v>45</v>
      </c>
      <c r="B7" s="31" t="s">
        <v>3626</v>
      </c>
      <c r="C7" s="31" t="s">
        <v>3627</v>
      </c>
      <c r="D7" s="31" t="s">
        <v>3628</v>
      </c>
    </row>
    <row r="8" spans="1:4" ht="21" x14ac:dyDescent="0.5">
      <c r="A8" s="31" t="s">
        <v>41</v>
      </c>
      <c r="B8" s="31" t="s">
        <v>3629</v>
      </c>
      <c r="C8" s="31" t="s">
        <v>3630</v>
      </c>
      <c r="D8" s="31" t="s">
        <v>3631</v>
      </c>
    </row>
    <row r="9" spans="1:4" ht="21" x14ac:dyDescent="0.5">
      <c r="A9" s="31" t="s">
        <v>40</v>
      </c>
      <c r="B9" s="31" t="s">
        <v>3632</v>
      </c>
      <c r="C9" s="31" t="s">
        <v>3633</v>
      </c>
      <c r="D9" s="31" t="s">
        <v>3634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17562-C60B-4D00-A76F-4833E7068E4D}">
  <dimension ref="A1:C13"/>
  <sheetViews>
    <sheetView workbookViewId="0"/>
  </sheetViews>
  <sheetFormatPr defaultRowHeight="14.5" x14ac:dyDescent="0.35"/>
  <cols>
    <col min="1" max="1" width="20.26953125" bestFit="1" customWidth="1"/>
    <col min="2" max="2" width="33.54296875" bestFit="1" customWidth="1"/>
    <col min="3" max="3" width="47" bestFit="1" customWidth="1"/>
  </cols>
  <sheetData>
    <row r="1" spans="1:3" ht="26" x14ac:dyDescent="0.6">
      <c r="A1" s="72" t="s">
        <v>3638</v>
      </c>
      <c r="B1" s="72" t="s">
        <v>3639</v>
      </c>
      <c r="C1" s="72" t="s">
        <v>3640</v>
      </c>
    </row>
    <row r="2" spans="1:3" ht="26" x14ac:dyDescent="0.6">
      <c r="A2" s="2" t="s">
        <v>3641</v>
      </c>
      <c r="B2" s="2" t="s">
        <v>3642</v>
      </c>
      <c r="C2" s="2" t="s">
        <v>3643</v>
      </c>
    </row>
    <row r="3" spans="1:3" ht="26" x14ac:dyDescent="0.6">
      <c r="A3" s="2" t="s">
        <v>3644</v>
      </c>
      <c r="B3" s="2" t="s">
        <v>3645</v>
      </c>
      <c r="C3" s="2" t="s">
        <v>3646</v>
      </c>
    </row>
    <row r="4" spans="1:3" ht="26" x14ac:dyDescent="0.6">
      <c r="A4" s="2" t="s">
        <v>3647</v>
      </c>
      <c r="B4" s="2" t="s">
        <v>3648</v>
      </c>
      <c r="C4" s="2" t="s">
        <v>3649</v>
      </c>
    </row>
    <row r="5" spans="1:3" ht="26" x14ac:dyDescent="0.6">
      <c r="A5" s="2" t="s">
        <v>3650</v>
      </c>
      <c r="B5" s="2" t="s">
        <v>4134</v>
      </c>
      <c r="C5" s="2" t="s">
        <v>3651</v>
      </c>
    </row>
    <row r="6" spans="1:3" ht="26" x14ac:dyDescent="0.6">
      <c r="A6" s="2" t="s">
        <v>3652</v>
      </c>
      <c r="B6" s="2" t="s">
        <v>3653</v>
      </c>
      <c r="C6" s="2" t="s">
        <v>3654</v>
      </c>
    </row>
    <row r="7" spans="1:3" ht="26" x14ac:dyDescent="0.6">
      <c r="A7" s="2" t="s">
        <v>3655</v>
      </c>
      <c r="B7" s="2" t="s">
        <v>3656</v>
      </c>
      <c r="C7" s="2" t="s">
        <v>3657</v>
      </c>
    </row>
    <row r="8" spans="1:3" ht="26" x14ac:dyDescent="0.6">
      <c r="A8" s="2" t="s">
        <v>3658</v>
      </c>
      <c r="B8" s="2" t="s">
        <v>3659</v>
      </c>
      <c r="C8" s="2" t="s">
        <v>3660</v>
      </c>
    </row>
    <row r="9" spans="1:3" ht="26" x14ac:dyDescent="0.6">
      <c r="A9" s="2" t="s">
        <v>3661</v>
      </c>
      <c r="B9" s="2" t="s">
        <v>3662</v>
      </c>
      <c r="C9" s="2" t="s">
        <v>3663</v>
      </c>
    </row>
    <row r="10" spans="1:3" ht="26" x14ac:dyDescent="0.6">
      <c r="A10" s="2" t="s">
        <v>3664</v>
      </c>
      <c r="B10" s="2" t="s">
        <v>3665</v>
      </c>
      <c r="C10" s="2" t="s">
        <v>3666</v>
      </c>
    </row>
    <row r="11" spans="1:3" ht="26" x14ac:dyDescent="0.6">
      <c r="A11" s="2" t="s">
        <v>3667</v>
      </c>
      <c r="B11" s="2" t="s">
        <v>3668</v>
      </c>
      <c r="C11" s="2" t="s">
        <v>3669</v>
      </c>
    </row>
    <row r="12" spans="1:3" ht="26" x14ac:dyDescent="0.6">
      <c r="A12" s="2" t="s">
        <v>3670</v>
      </c>
      <c r="B12" s="2" t="s">
        <v>3671</v>
      </c>
      <c r="C12" s="2" t="s">
        <v>3672</v>
      </c>
    </row>
    <row r="13" spans="1:3" ht="26" x14ac:dyDescent="0.6">
      <c r="A13" s="2" t="s">
        <v>3673</v>
      </c>
      <c r="B13" s="2" t="s">
        <v>3674</v>
      </c>
      <c r="C13" s="2" t="s">
        <v>3675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22D49-1CBE-4EDE-97DC-80A9CD8A66EB}">
  <dimension ref="A1:H252"/>
  <sheetViews>
    <sheetView workbookViewId="0"/>
  </sheetViews>
  <sheetFormatPr defaultRowHeight="14.5" x14ac:dyDescent="0.35"/>
  <cols>
    <col min="1" max="1" width="7.26953125" bestFit="1" customWidth="1"/>
    <col min="2" max="2" width="10.26953125" bestFit="1" customWidth="1"/>
    <col min="3" max="3" width="17.54296875" bestFit="1" customWidth="1"/>
    <col min="4" max="4" width="15" bestFit="1" customWidth="1"/>
    <col min="5" max="5" width="8.26953125" bestFit="1" customWidth="1"/>
    <col min="6" max="6" width="7.81640625" bestFit="1" customWidth="1"/>
    <col min="7" max="7" width="7.7265625" bestFit="1" customWidth="1"/>
    <col min="8" max="8" width="44.7265625" customWidth="1"/>
  </cols>
  <sheetData>
    <row r="1" spans="1:8" x14ac:dyDescent="0.35">
      <c r="A1" s="34"/>
      <c r="B1" s="35"/>
      <c r="C1" s="299" t="s">
        <v>134</v>
      </c>
      <c r="D1" s="300"/>
      <c r="E1" s="301"/>
      <c r="F1" s="35"/>
      <c r="G1" s="35"/>
      <c r="H1" s="36"/>
    </row>
    <row r="2" spans="1:8" x14ac:dyDescent="0.35">
      <c r="A2" s="34" t="s">
        <v>135</v>
      </c>
      <c r="B2" s="35" t="s">
        <v>136</v>
      </c>
      <c r="C2" s="35" t="s">
        <v>137</v>
      </c>
      <c r="D2" s="35" t="s">
        <v>138</v>
      </c>
      <c r="E2" s="35" t="s">
        <v>55</v>
      </c>
      <c r="F2" s="35" t="s">
        <v>139</v>
      </c>
      <c r="G2" s="35" t="s">
        <v>140</v>
      </c>
      <c r="H2" s="37" t="s">
        <v>141</v>
      </c>
    </row>
    <row r="3" spans="1:8" ht="29" x14ac:dyDescent="0.35">
      <c r="A3" s="34">
        <v>1</v>
      </c>
      <c r="B3" s="35" t="s">
        <v>142</v>
      </c>
      <c r="C3" s="35" t="s">
        <v>143</v>
      </c>
      <c r="D3" s="35" t="s">
        <v>144</v>
      </c>
      <c r="E3" s="35" t="s">
        <v>45</v>
      </c>
      <c r="F3" s="35" t="s">
        <v>46</v>
      </c>
      <c r="G3" s="35" t="s">
        <v>46</v>
      </c>
      <c r="H3" s="36" t="s">
        <v>145</v>
      </c>
    </row>
    <row r="4" spans="1:8" ht="29" x14ac:dyDescent="0.35">
      <c r="A4" s="34">
        <v>2</v>
      </c>
      <c r="B4" s="35" t="s">
        <v>142</v>
      </c>
      <c r="C4" s="35" t="s">
        <v>144</v>
      </c>
      <c r="D4" s="35" t="s">
        <v>146</v>
      </c>
      <c r="E4" s="35" t="s">
        <v>45</v>
      </c>
      <c r="F4" s="35" t="s">
        <v>46</v>
      </c>
      <c r="G4" s="35" t="s">
        <v>38</v>
      </c>
      <c r="H4" s="36" t="s">
        <v>147</v>
      </c>
    </row>
    <row r="5" spans="1:8" ht="29" x14ac:dyDescent="0.35">
      <c r="A5" s="34">
        <v>3</v>
      </c>
      <c r="B5" s="35" t="s">
        <v>142</v>
      </c>
      <c r="C5" s="35" t="s">
        <v>148</v>
      </c>
      <c r="D5" s="35" t="s">
        <v>149</v>
      </c>
      <c r="E5" s="35" t="s">
        <v>45</v>
      </c>
      <c r="F5" s="35" t="s">
        <v>46</v>
      </c>
      <c r="G5" s="35" t="s">
        <v>9</v>
      </c>
      <c r="H5" s="36" t="s">
        <v>150</v>
      </c>
    </row>
    <row r="6" spans="1:8" ht="29" x14ac:dyDescent="0.35">
      <c r="A6" s="34">
        <v>4</v>
      </c>
      <c r="B6" s="35" t="s">
        <v>142</v>
      </c>
      <c r="C6" s="35" t="s">
        <v>149</v>
      </c>
      <c r="D6" s="35" t="s">
        <v>151</v>
      </c>
      <c r="E6" s="35" t="s">
        <v>45</v>
      </c>
      <c r="F6" s="35" t="s">
        <v>46</v>
      </c>
      <c r="G6" s="35" t="s">
        <v>44</v>
      </c>
      <c r="H6" s="36" t="s">
        <v>152</v>
      </c>
    </row>
    <row r="7" spans="1:8" x14ac:dyDescent="0.35">
      <c r="A7" s="34">
        <v>5</v>
      </c>
      <c r="B7" s="35" t="s">
        <v>142</v>
      </c>
      <c r="C7" s="35" t="s">
        <v>153</v>
      </c>
      <c r="D7" s="35" t="s">
        <v>154</v>
      </c>
      <c r="E7" s="35" t="s">
        <v>45</v>
      </c>
      <c r="F7" s="35" t="s">
        <v>46</v>
      </c>
      <c r="G7" s="35" t="s">
        <v>45</v>
      </c>
      <c r="H7" s="36" t="s">
        <v>155</v>
      </c>
    </row>
    <row r="8" spans="1:8" x14ac:dyDescent="0.35">
      <c r="A8" s="34">
        <v>6</v>
      </c>
      <c r="B8" s="35" t="s">
        <v>142</v>
      </c>
      <c r="C8" s="35" t="s">
        <v>154</v>
      </c>
      <c r="D8" s="35" t="s">
        <v>156</v>
      </c>
      <c r="E8" s="35" t="s">
        <v>45</v>
      </c>
      <c r="F8" s="35" t="s">
        <v>46</v>
      </c>
      <c r="G8" s="35" t="s">
        <v>39</v>
      </c>
      <c r="H8" s="36" t="s">
        <v>157</v>
      </c>
    </row>
    <row r="9" spans="1:8" x14ac:dyDescent="0.35">
      <c r="A9" s="34">
        <v>7</v>
      </c>
      <c r="B9" s="35" t="s">
        <v>142</v>
      </c>
      <c r="C9" s="35" t="s">
        <v>158</v>
      </c>
      <c r="D9" s="35" t="s">
        <v>159</v>
      </c>
      <c r="E9" s="35" t="s">
        <v>45</v>
      </c>
      <c r="F9" s="35" t="s">
        <v>46</v>
      </c>
      <c r="G9" s="35" t="s">
        <v>41</v>
      </c>
      <c r="H9" s="36" t="s">
        <v>160</v>
      </c>
    </row>
    <row r="10" spans="1:8" ht="58" x14ac:dyDescent="0.35">
      <c r="A10" s="34">
        <v>8</v>
      </c>
      <c r="B10" s="35" t="s">
        <v>142</v>
      </c>
      <c r="C10" s="35" t="s">
        <v>161</v>
      </c>
      <c r="D10" s="35" t="s">
        <v>162</v>
      </c>
      <c r="E10" s="35" t="s">
        <v>45</v>
      </c>
      <c r="F10" s="35" t="s">
        <v>46</v>
      </c>
      <c r="G10" s="35" t="s">
        <v>40</v>
      </c>
      <c r="H10" s="36" t="s">
        <v>163</v>
      </c>
    </row>
    <row r="11" spans="1:8" ht="29" x14ac:dyDescent="0.35">
      <c r="A11" s="34">
        <v>9</v>
      </c>
      <c r="B11" s="35" t="s">
        <v>142</v>
      </c>
      <c r="C11" s="35" t="s">
        <v>164</v>
      </c>
      <c r="D11" s="35" t="s">
        <v>165</v>
      </c>
      <c r="E11" s="35" t="s">
        <v>45</v>
      </c>
      <c r="F11" s="35" t="s">
        <v>46</v>
      </c>
      <c r="G11" s="35" t="s">
        <v>43</v>
      </c>
      <c r="H11" s="36" t="s">
        <v>166</v>
      </c>
    </row>
    <row r="12" spans="1:8" x14ac:dyDescent="0.35">
      <c r="A12" s="34">
        <v>10</v>
      </c>
      <c r="B12" s="35" t="s">
        <v>142</v>
      </c>
      <c r="C12" s="35" t="s">
        <v>167</v>
      </c>
      <c r="D12" s="35" t="s">
        <v>168</v>
      </c>
      <c r="E12" s="35" t="s">
        <v>45</v>
      </c>
      <c r="F12" s="35" t="s">
        <v>38</v>
      </c>
      <c r="G12" s="35" t="s">
        <v>38</v>
      </c>
      <c r="H12" s="36" t="s">
        <v>169</v>
      </c>
    </row>
    <row r="13" spans="1:8" x14ac:dyDescent="0.35">
      <c r="A13" s="34">
        <v>11</v>
      </c>
      <c r="B13" s="35" t="s">
        <v>142</v>
      </c>
      <c r="C13" s="35" t="s">
        <v>170</v>
      </c>
      <c r="D13" s="35" t="s">
        <v>171</v>
      </c>
      <c r="E13" s="35" t="s">
        <v>45</v>
      </c>
      <c r="F13" s="35" t="s">
        <v>38</v>
      </c>
      <c r="G13" s="35" t="s">
        <v>9</v>
      </c>
      <c r="H13" s="36" t="s">
        <v>172</v>
      </c>
    </row>
    <row r="14" spans="1:8" x14ac:dyDescent="0.35">
      <c r="A14" s="34">
        <v>12</v>
      </c>
      <c r="B14" s="35" t="s">
        <v>142</v>
      </c>
      <c r="C14" s="35" t="s">
        <v>173</v>
      </c>
      <c r="D14" s="35" t="s">
        <v>174</v>
      </c>
      <c r="E14" s="35" t="s">
        <v>45</v>
      </c>
      <c r="F14" s="35" t="s">
        <v>38</v>
      </c>
      <c r="G14" s="35" t="s">
        <v>44</v>
      </c>
      <c r="H14" s="36" t="s">
        <v>175</v>
      </c>
    </row>
    <row r="15" spans="1:8" x14ac:dyDescent="0.35">
      <c r="A15" s="34">
        <v>13</v>
      </c>
      <c r="B15" s="35" t="s">
        <v>142</v>
      </c>
      <c r="C15" s="35" t="s">
        <v>176</v>
      </c>
      <c r="D15" s="35" t="s">
        <v>177</v>
      </c>
      <c r="E15" s="35" t="s">
        <v>45</v>
      </c>
      <c r="F15" s="35" t="s">
        <v>38</v>
      </c>
      <c r="G15" s="35" t="s">
        <v>45</v>
      </c>
      <c r="H15" s="36" t="s">
        <v>178</v>
      </c>
    </row>
    <row r="16" spans="1:8" x14ac:dyDescent="0.35">
      <c r="A16" s="34">
        <v>14</v>
      </c>
      <c r="B16" s="35" t="s">
        <v>142</v>
      </c>
      <c r="C16" s="35" t="s">
        <v>177</v>
      </c>
      <c r="D16" s="35" t="s">
        <v>179</v>
      </c>
      <c r="E16" s="35" t="s">
        <v>45</v>
      </c>
      <c r="F16" s="35" t="s">
        <v>38</v>
      </c>
      <c r="G16" s="35" t="s">
        <v>39</v>
      </c>
      <c r="H16" s="36" t="s">
        <v>180</v>
      </c>
    </row>
    <row r="17" spans="1:8" x14ac:dyDescent="0.35">
      <c r="A17" s="34">
        <v>15</v>
      </c>
      <c r="B17" s="35" t="s">
        <v>142</v>
      </c>
      <c r="C17" s="35" t="s">
        <v>181</v>
      </c>
      <c r="D17" s="35" t="s">
        <v>182</v>
      </c>
      <c r="E17" s="35" t="s">
        <v>45</v>
      </c>
      <c r="F17" s="35" t="s">
        <v>38</v>
      </c>
      <c r="G17" s="35" t="s">
        <v>41</v>
      </c>
      <c r="H17" s="36" t="s">
        <v>183</v>
      </c>
    </row>
    <row r="18" spans="1:8" x14ac:dyDescent="0.35">
      <c r="A18" s="34">
        <v>16</v>
      </c>
      <c r="B18" s="35" t="s">
        <v>142</v>
      </c>
      <c r="C18" s="35" t="s">
        <v>182</v>
      </c>
      <c r="D18" s="35" t="s">
        <v>184</v>
      </c>
      <c r="E18" s="35" t="s">
        <v>45</v>
      </c>
      <c r="F18" s="35" t="s">
        <v>38</v>
      </c>
      <c r="G18" s="35" t="s">
        <v>40</v>
      </c>
      <c r="H18" s="36" t="s">
        <v>185</v>
      </c>
    </row>
    <row r="19" spans="1:8" x14ac:dyDescent="0.35">
      <c r="A19" s="34">
        <v>17</v>
      </c>
      <c r="B19" s="35" t="s">
        <v>142</v>
      </c>
      <c r="C19" s="35" t="s">
        <v>184</v>
      </c>
      <c r="D19" s="35" t="s">
        <v>186</v>
      </c>
      <c r="E19" s="35" t="s">
        <v>45</v>
      </c>
      <c r="F19" s="35" t="s">
        <v>38</v>
      </c>
      <c r="G19" s="35" t="s">
        <v>43</v>
      </c>
      <c r="H19" s="36" t="s">
        <v>187</v>
      </c>
    </row>
    <row r="20" spans="1:8" ht="29" x14ac:dyDescent="0.35">
      <c r="A20" s="34">
        <v>18</v>
      </c>
      <c r="B20" s="35" t="s">
        <v>142</v>
      </c>
      <c r="C20" s="35" t="s">
        <v>186</v>
      </c>
      <c r="D20" s="35" t="s">
        <v>188</v>
      </c>
      <c r="E20" s="35" t="s">
        <v>45</v>
      </c>
      <c r="F20" s="35" t="s">
        <v>38</v>
      </c>
      <c r="G20" s="35" t="s">
        <v>46</v>
      </c>
      <c r="H20" s="36" t="s">
        <v>189</v>
      </c>
    </row>
    <row r="21" spans="1:8" x14ac:dyDescent="0.35">
      <c r="A21" s="34">
        <v>19</v>
      </c>
      <c r="B21" s="35" t="s">
        <v>142</v>
      </c>
      <c r="C21" s="35" t="s">
        <v>190</v>
      </c>
      <c r="D21" s="35" t="s">
        <v>191</v>
      </c>
      <c r="E21" s="35" t="s">
        <v>45</v>
      </c>
      <c r="F21" s="35" t="s">
        <v>9</v>
      </c>
      <c r="G21" s="35" t="s">
        <v>9</v>
      </c>
      <c r="H21" s="36" t="s">
        <v>192</v>
      </c>
    </row>
    <row r="22" spans="1:8" x14ac:dyDescent="0.35">
      <c r="A22" s="34">
        <v>20</v>
      </c>
      <c r="B22" s="35" t="s">
        <v>142</v>
      </c>
      <c r="C22" s="35" t="s">
        <v>191</v>
      </c>
      <c r="D22" s="35" t="s">
        <v>193</v>
      </c>
      <c r="E22" s="35" t="s">
        <v>45</v>
      </c>
      <c r="F22" s="35" t="s">
        <v>9</v>
      </c>
      <c r="G22" s="35" t="s">
        <v>44</v>
      </c>
      <c r="H22" s="36" t="s">
        <v>194</v>
      </c>
    </row>
    <row r="23" spans="1:8" ht="29" x14ac:dyDescent="0.35">
      <c r="A23" s="34">
        <v>21</v>
      </c>
      <c r="B23" s="35" t="s">
        <v>142</v>
      </c>
      <c r="C23" s="35" t="s">
        <v>193</v>
      </c>
      <c r="D23" s="35" t="s">
        <v>195</v>
      </c>
      <c r="E23" s="35" t="s">
        <v>45</v>
      </c>
      <c r="F23" s="35" t="s">
        <v>9</v>
      </c>
      <c r="G23" s="35" t="s">
        <v>45</v>
      </c>
      <c r="H23" s="36" t="s">
        <v>196</v>
      </c>
    </row>
    <row r="24" spans="1:8" x14ac:dyDescent="0.35">
      <c r="A24" s="34">
        <v>22</v>
      </c>
      <c r="B24" s="35" t="s">
        <v>142</v>
      </c>
      <c r="C24" s="35" t="s">
        <v>195</v>
      </c>
      <c r="D24" s="35" t="s">
        <v>197</v>
      </c>
      <c r="E24" s="35" t="s">
        <v>45</v>
      </c>
      <c r="F24" s="35" t="s">
        <v>9</v>
      </c>
      <c r="G24" s="35" t="s">
        <v>39</v>
      </c>
      <c r="H24" s="36" t="s">
        <v>198</v>
      </c>
    </row>
    <row r="25" spans="1:8" x14ac:dyDescent="0.35">
      <c r="A25" s="34">
        <v>23</v>
      </c>
      <c r="B25" s="35" t="s">
        <v>199</v>
      </c>
      <c r="C25" s="35" t="s">
        <v>143</v>
      </c>
      <c r="D25" s="35" t="s">
        <v>200</v>
      </c>
      <c r="E25" s="35" t="s">
        <v>38</v>
      </c>
      <c r="F25" s="35" t="s">
        <v>9</v>
      </c>
      <c r="G25" s="35" t="s">
        <v>39</v>
      </c>
      <c r="H25" s="36" t="s">
        <v>201</v>
      </c>
    </row>
    <row r="26" spans="1:8" x14ac:dyDescent="0.35">
      <c r="A26" s="34">
        <v>24</v>
      </c>
      <c r="B26" s="35" t="s">
        <v>199</v>
      </c>
      <c r="C26" s="35" t="s">
        <v>200</v>
      </c>
      <c r="D26" s="35" t="s">
        <v>202</v>
      </c>
      <c r="E26" s="35" t="s">
        <v>38</v>
      </c>
      <c r="F26" s="35" t="s">
        <v>9</v>
      </c>
      <c r="G26" s="35" t="s">
        <v>41</v>
      </c>
      <c r="H26" s="36" t="s">
        <v>203</v>
      </c>
    </row>
    <row r="27" spans="1:8" x14ac:dyDescent="0.35">
      <c r="A27" s="34">
        <v>25</v>
      </c>
      <c r="B27" s="35" t="s">
        <v>199</v>
      </c>
      <c r="C27" s="35" t="s">
        <v>146</v>
      </c>
      <c r="D27" s="35" t="s">
        <v>204</v>
      </c>
      <c r="E27" s="35" t="s">
        <v>38</v>
      </c>
      <c r="F27" s="35" t="s">
        <v>9</v>
      </c>
      <c r="G27" s="35" t="s">
        <v>40</v>
      </c>
      <c r="H27" s="36" t="s">
        <v>205</v>
      </c>
    </row>
    <row r="28" spans="1:8" x14ac:dyDescent="0.35">
      <c r="A28" s="34">
        <v>26</v>
      </c>
      <c r="B28" s="35" t="s">
        <v>199</v>
      </c>
      <c r="C28" s="35" t="s">
        <v>206</v>
      </c>
      <c r="D28" s="35" t="s">
        <v>207</v>
      </c>
      <c r="E28" s="35" t="s">
        <v>38</v>
      </c>
      <c r="F28" s="35" t="s">
        <v>9</v>
      </c>
      <c r="G28" s="35" t="s">
        <v>43</v>
      </c>
      <c r="H28" s="36" t="s">
        <v>208</v>
      </c>
    </row>
    <row r="29" spans="1:8" x14ac:dyDescent="0.35">
      <c r="A29" s="34">
        <v>27</v>
      </c>
      <c r="B29" s="35" t="s">
        <v>199</v>
      </c>
      <c r="C29" s="35" t="s">
        <v>207</v>
      </c>
      <c r="D29" s="35" t="s">
        <v>209</v>
      </c>
      <c r="E29" s="35" t="s">
        <v>38</v>
      </c>
      <c r="F29" s="35" t="s">
        <v>9</v>
      </c>
      <c r="G29" s="35" t="s">
        <v>46</v>
      </c>
      <c r="H29" s="36" t="s">
        <v>210</v>
      </c>
    </row>
    <row r="30" spans="1:8" ht="29" x14ac:dyDescent="0.35">
      <c r="A30" s="34">
        <v>28</v>
      </c>
      <c r="B30" s="35" t="s">
        <v>199</v>
      </c>
      <c r="C30" s="35" t="s">
        <v>211</v>
      </c>
      <c r="D30" s="35" t="s">
        <v>212</v>
      </c>
      <c r="E30" s="35" t="s">
        <v>38</v>
      </c>
      <c r="F30" s="35" t="s">
        <v>9</v>
      </c>
      <c r="G30" s="35" t="s">
        <v>38</v>
      </c>
      <c r="H30" s="36" t="s">
        <v>213</v>
      </c>
    </row>
    <row r="31" spans="1:8" x14ac:dyDescent="0.35">
      <c r="A31" s="34">
        <v>29</v>
      </c>
      <c r="B31" s="35" t="s">
        <v>199</v>
      </c>
      <c r="C31" s="35" t="s">
        <v>212</v>
      </c>
      <c r="D31" s="35" t="s">
        <v>214</v>
      </c>
      <c r="E31" s="35" t="s">
        <v>38</v>
      </c>
      <c r="F31" s="35" t="s">
        <v>44</v>
      </c>
      <c r="G31" s="35" t="s">
        <v>44</v>
      </c>
      <c r="H31" s="36" t="s">
        <v>215</v>
      </c>
    </row>
    <row r="32" spans="1:8" ht="29" x14ac:dyDescent="0.35">
      <c r="A32" s="34">
        <v>30</v>
      </c>
      <c r="B32" s="35" t="s">
        <v>199</v>
      </c>
      <c r="C32" s="35" t="s">
        <v>216</v>
      </c>
      <c r="D32" s="35" t="s">
        <v>217</v>
      </c>
      <c r="E32" s="35" t="s">
        <v>38</v>
      </c>
      <c r="F32" s="35" t="s">
        <v>44</v>
      </c>
      <c r="G32" s="35" t="s">
        <v>45</v>
      </c>
      <c r="H32" s="36" t="s">
        <v>218</v>
      </c>
    </row>
    <row r="33" spans="1:8" x14ac:dyDescent="0.35">
      <c r="A33" s="34">
        <v>31</v>
      </c>
      <c r="B33" s="35" t="s">
        <v>199</v>
      </c>
      <c r="C33" s="35" t="s">
        <v>219</v>
      </c>
      <c r="D33" s="35" t="s">
        <v>220</v>
      </c>
      <c r="E33" s="35" t="s">
        <v>38</v>
      </c>
      <c r="F33" s="35" t="s">
        <v>44</v>
      </c>
      <c r="G33" s="35" t="s">
        <v>39</v>
      </c>
      <c r="H33" s="36" t="s">
        <v>221</v>
      </c>
    </row>
    <row r="34" spans="1:8" x14ac:dyDescent="0.35">
      <c r="A34" s="34">
        <v>32</v>
      </c>
      <c r="B34" s="35" t="s">
        <v>199</v>
      </c>
      <c r="C34" s="35" t="s">
        <v>222</v>
      </c>
      <c r="D34" s="35" t="s">
        <v>223</v>
      </c>
      <c r="E34" s="35" t="s">
        <v>38</v>
      </c>
      <c r="F34" s="35" t="s">
        <v>44</v>
      </c>
      <c r="G34" s="35" t="s">
        <v>41</v>
      </c>
      <c r="H34" s="36" t="s">
        <v>224</v>
      </c>
    </row>
    <row r="35" spans="1:8" x14ac:dyDescent="0.35">
      <c r="A35" s="34">
        <v>33</v>
      </c>
      <c r="B35" s="35" t="s">
        <v>199</v>
      </c>
      <c r="C35" s="35" t="s">
        <v>225</v>
      </c>
      <c r="D35" s="35" t="s">
        <v>226</v>
      </c>
      <c r="E35" s="35" t="s">
        <v>38</v>
      </c>
      <c r="F35" s="35" t="s">
        <v>44</v>
      </c>
      <c r="G35" s="35" t="s">
        <v>40</v>
      </c>
      <c r="H35" s="36" t="s">
        <v>227</v>
      </c>
    </row>
    <row r="36" spans="1:8" x14ac:dyDescent="0.35">
      <c r="A36" s="34">
        <v>34</v>
      </c>
      <c r="B36" s="35" t="s">
        <v>199</v>
      </c>
      <c r="C36" s="35" t="s">
        <v>228</v>
      </c>
      <c r="D36" s="35" t="s">
        <v>229</v>
      </c>
      <c r="E36" s="35" t="s">
        <v>38</v>
      </c>
      <c r="F36" s="35" t="s">
        <v>44</v>
      </c>
      <c r="G36" s="35" t="s">
        <v>43</v>
      </c>
      <c r="H36" s="36" t="s">
        <v>230</v>
      </c>
    </row>
    <row r="37" spans="1:8" x14ac:dyDescent="0.35">
      <c r="A37" s="34">
        <v>35</v>
      </c>
      <c r="B37" s="35" t="s">
        <v>199</v>
      </c>
      <c r="C37" s="35" t="s">
        <v>231</v>
      </c>
      <c r="D37" s="35" t="s">
        <v>232</v>
      </c>
      <c r="E37" s="35" t="s">
        <v>38</v>
      </c>
      <c r="F37" s="35" t="s">
        <v>44</v>
      </c>
      <c r="G37" s="35" t="s">
        <v>46</v>
      </c>
      <c r="H37" s="36" t="s">
        <v>233</v>
      </c>
    </row>
    <row r="38" spans="1:8" x14ac:dyDescent="0.35">
      <c r="A38" s="34">
        <v>36</v>
      </c>
      <c r="B38" s="35" t="s">
        <v>199</v>
      </c>
      <c r="C38" s="35" t="s">
        <v>234</v>
      </c>
      <c r="D38" s="35" t="s">
        <v>235</v>
      </c>
      <c r="E38" s="35" t="s">
        <v>38</v>
      </c>
      <c r="F38" s="35" t="s">
        <v>44</v>
      </c>
      <c r="G38" s="35" t="s">
        <v>38</v>
      </c>
      <c r="H38" s="36" t="s">
        <v>236</v>
      </c>
    </row>
    <row r="39" spans="1:8" x14ac:dyDescent="0.35">
      <c r="A39" s="34">
        <v>37</v>
      </c>
      <c r="B39" s="35" t="s">
        <v>199</v>
      </c>
      <c r="C39" s="35" t="s">
        <v>237</v>
      </c>
      <c r="D39" s="35" t="s">
        <v>238</v>
      </c>
      <c r="E39" s="35" t="s">
        <v>38</v>
      </c>
      <c r="F39" s="35" t="s">
        <v>44</v>
      </c>
      <c r="G39" s="35" t="s">
        <v>9</v>
      </c>
      <c r="H39" s="36" t="s">
        <v>239</v>
      </c>
    </row>
    <row r="40" spans="1:8" x14ac:dyDescent="0.35">
      <c r="A40" s="34">
        <v>38</v>
      </c>
      <c r="B40" s="35" t="s">
        <v>199</v>
      </c>
      <c r="C40" s="35" t="s">
        <v>238</v>
      </c>
      <c r="D40" s="35" t="s">
        <v>240</v>
      </c>
      <c r="E40" s="35" t="s">
        <v>38</v>
      </c>
      <c r="F40" s="35" t="s">
        <v>45</v>
      </c>
      <c r="G40" s="35" t="s">
        <v>45</v>
      </c>
      <c r="H40" s="36" t="s">
        <v>241</v>
      </c>
    </row>
    <row r="41" spans="1:8" x14ac:dyDescent="0.35">
      <c r="A41" s="34">
        <v>39</v>
      </c>
      <c r="B41" s="35" t="s">
        <v>199</v>
      </c>
      <c r="C41" s="35" t="s">
        <v>242</v>
      </c>
      <c r="D41" s="35" t="s">
        <v>243</v>
      </c>
      <c r="E41" s="35" t="s">
        <v>38</v>
      </c>
      <c r="F41" s="35" t="s">
        <v>45</v>
      </c>
      <c r="G41" s="35" t="s">
        <v>39</v>
      </c>
      <c r="H41" s="36" t="s">
        <v>244</v>
      </c>
    </row>
    <row r="42" spans="1:8" x14ac:dyDescent="0.35">
      <c r="A42" s="34">
        <v>40</v>
      </c>
      <c r="B42" s="35" t="s">
        <v>199</v>
      </c>
      <c r="C42" s="35" t="s">
        <v>245</v>
      </c>
      <c r="D42" s="35" t="s">
        <v>246</v>
      </c>
      <c r="E42" s="35" t="s">
        <v>38</v>
      </c>
      <c r="F42" s="35" t="s">
        <v>45</v>
      </c>
      <c r="G42" s="35" t="s">
        <v>41</v>
      </c>
      <c r="H42" s="36" t="s">
        <v>247</v>
      </c>
    </row>
    <row r="43" spans="1:8" ht="29" x14ac:dyDescent="0.35">
      <c r="A43" s="34">
        <v>41</v>
      </c>
      <c r="B43" s="35" t="s">
        <v>199</v>
      </c>
      <c r="C43" s="35" t="s">
        <v>248</v>
      </c>
      <c r="D43" s="35" t="s">
        <v>249</v>
      </c>
      <c r="E43" s="35" t="s">
        <v>38</v>
      </c>
      <c r="F43" s="35" t="s">
        <v>45</v>
      </c>
      <c r="G43" s="35" t="s">
        <v>40</v>
      </c>
      <c r="H43" s="36" t="s">
        <v>250</v>
      </c>
    </row>
    <row r="44" spans="1:8" x14ac:dyDescent="0.35">
      <c r="A44" s="34">
        <v>42</v>
      </c>
      <c r="B44" s="35" t="s">
        <v>251</v>
      </c>
      <c r="C44" s="35" t="s">
        <v>143</v>
      </c>
      <c r="D44" s="35" t="s">
        <v>252</v>
      </c>
      <c r="E44" s="35" t="s">
        <v>43</v>
      </c>
      <c r="F44" s="35" t="s">
        <v>45</v>
      </c>
      <c r="G44" s="35" t="s">
        <v>43</v>
      </c>
      <c r="H44" s="36" t="s">
        <v>253</v>
      </c>
    </row>
    <row r="45" spans="1:8" ht="29" x14ac:dyDescent="0.35">
      <c r="A45" s="34">
        <v>43</v>
      </c>
      <c r="B45" s="35" t="s">
        <v>251</v>
      </c>
      <c r="C45" s="35" t="s">
        <v>252</v>
      </c>
      <c r="D45" s="35" t="s">
        <v>254</v>
      </c>
      <c r="E45" s="35" t="s">
        <v>43</v>
      </c>
      <c r="F45" s="35" t="s">
        <v>45</v>
      </c>
      <c r="G45" s="35" t="s">
        <v>46</v>
      </c>
      <c r="H45" s="36" t="s">
        <v>255</v>
      </c>
    </row>
    <row r="46" spans="1:8" ht="43.5" x14ac:dyDescent="0.35">
      <c r="A46" s="34">
        <v>44</v>
      </c>
      <c r="B46" s="35" t="s">
        <v>251</v>
      </c>
      <c r="C46" s="35" t="s">
        <v>256</v>
      </c>
      <c r="D46" s="35" t="s">
        <v>257</v>
      </c>
      <c r="E46" s="35" t="s">
        <v>43</v>
      </c>
      <c r="F46" s="35" t="s">
        <v>45</v>
      </c>
      <c r="G46" s="35" t="s">
        <v>38</v>
      </c>
      <c r="H46" s="36" t="s">
        <v>258</v>
      </c>
    </row>
    <row r="47" spans="1:8" x14ac:dyDescent="0.35">
      <c r="A47" s="34">
        <v>45</v>
      </c>
      <c r="B47" s="35" t="s">
        <v>251</v>
      </c>
      <c r="C47" s="35" t="s">
        <v>259</v>
      </c>
      <c r="D47" s="35" t="s">
        <v>154</v>
      </c>
      <c r="E47" s="35" t="s">
        <v>43</v>
      </c>
      <c r="F47" s="35" t="s">
        <v>45</v>
      </c>
      <c r="G47" s="35" t="s">
        <v>9</v>
      </c>
      <c r="H47" s="36" t="s">
        <v>260</v>
      </c>
    </row>
    <row r="48" spans="1:8" ht="29" x14ac:dyDescent="0.35">
      <c r="A48" s="34">
        <v>46</v>
      </c>
      <c r="B48" s="35" t="s">
        <v>251</v>
      </c>
      <c r="C48" s="35" t="s">
        <v>261</v>
      </c>
      <c r="D48" s="35" t="s">
        <v>262</v>
      </c>
      <c r="E48" s="35" t="s">
        <v>43</v>
      </c>
      <c r="F48" s="35" t="s">
        <v>45</v>
      </c>
      <c r="G48" s="35" t="s">
        <v>44</v>
      </c>
      <c r="H48" s="36" t="s">
        <v>263</v>
      </c>
    </row>
    <row r="49" spans="1:8" x14ac:dyDescent="0.35">
      <c r="A49" s="34">
        <v>47</v>
      </c>
      <c r="B49" s="35" t="s">
        <v>251</v>
      </c>
      <c r="C49" s="35" t="s">
        <v>262</v>
      </c>
      <c r="D49" s="35" t="s">
        <v>264</v>
      </c>
      <c r="E49" s="35" t="s">
        <v>43</v>
      </c>
      <c r="F49" s="35" t="s">
        <v>39</v>
      </c>
      <c r="G49" s="35" t="s">
        <v>39</v>
      </c>
      <c r="H49" s="36" t="s">
        <v>265</v>
      </c>
    </row>
    <row r="50" spans="1:8" x14ac:dyDescent="0.35">
      <c r="A50" s="34">
        <v>48</v>
      </c>
      <c r="B50" s="35" t="s">
        <v>251</v>
      </c>
      <c r="C50" s="35" t="s">
        <v>266</v>
      </c>
      <c r="D50" s="35" t="s">
        <v>267</v>
      </c>
      <c r="E50" s="35" t="s">
        <v>43</v>
      </c>
      <c r="F50" s="35" t="s">
        <v>39</v>
      </c>
      <c r="G50" s="35" t="s">
        <v>41</v>
      </c>
      <c r="H50" s="36" t="s">
        <v>268</v>
      </c>
    </row>
    <row r="51" spans="1:8" x14ac:dyDescent="0.35">
      <c r="A51" s="34">
        <v>49</v>
      </c>
      <c r="B51" s="35" t="s">
        <v>251</v>
      </c>
      <c r="C51" s="35" t="s">
        <v>267</v>
      </c>
      <c r="D51" s="35" t="s">
        <v>269</v>
      </c>
      <c r="E51" s="35" t="s">
        <v>43</v>
      </c>
      <c r="F51" s="35" t="s">
        <v>39</v>
      </c>
      <c r="G51" s="35" t="s">
        <v>40</v>
      </c>
      <c r="H51" s="36" t="s">
        <v>270</v>
      </c>
    </row>
    <row r="52" spans="1:8" x14ac:dyDescent="0.35">
      <c r="A52" s="34">
        <v>50</v>
      </c>
      <c r="B52" s="35" t="s">
        <v>251</v>
      </c>
      <c r="C52" s="35" t="s">
        <v>271</v>
      </c>
      <c r="D52" s="35" t="s">
        <v>272</v>
      </c>
      <c r="E52" s="35" t="s">
        <v>43</v>
      </c>
      <c r="F52" s="35" t="s">
        <v>39</v>
      </c>
      <c r="G52" s="35" t="s">
        <v>43</v>
      </c>
      <c r="H52" s="36" t="s">
        <v>273</v>
      </c>
    </row>
    <row r="53" spans="1:8" x14ac:dyDescent="0.35">
      <c r="A53" s="34">
        <v>51</v>
      </c>
      <c r="B53" s="35" t="s">
        <v>251</v>
      </c>
      <c r="C53" s="35" t="s">
        <v>272</v>
      </c>
      <c r="D53" s="35" t="s">
        <v>274</v>
      </c>
      <c r="E53" s="35" t="s">
        <v>43</v>
      </c>
      <c r="F53" s="35" t="s">
        <v>39</v>
      </c>
      <c r="G53" s="35" t="s">
        <v>46</v>
      </c>
      <c r="H53" s="36" t="s">
        <v>275</v>
      </c>
    </row>
    <row r="54" spans="1:8" x14ac:dyDescent="0.35">
      <c r="A54" s="34">
        <v>52</v>
      </c>
      <c r="B54" s="35" t="s">
        <v>251</v>
      </c>
      <c r="C54" s="35" t="s">
        <v>274</v>
      </c>
      <c r="D54" s="35" t="s">
        <v>276</v>
      </c>
      <c r="E54" s="35" t="s">
        <v>43</v>
      </c>
      <c r="F54" s="35" t="s">
        <v>39</v>
      </c>
      <c r="G54" s="35" t="s">
        <v>38</v>
      </c>
      <c r="H54" s="36" t="s">
        <v>277</v>
      </c>
    </row>
    <row r="55" spans="1:8" x14ac:dyDescent="0.35">
      <c r="A55" s="34">
        <v>53</v>
      </c>
      <c r="B55" s="35" t="s">
        <v>251</v>
      </c>
      <c r="C55" s="35" t="s">
        <v>276</v>
      </c>
      <c r="D55" s="35" t="s">
        <v>177</v>
      </c>
      <c r="E55" s="35" t="s">
        <v>43</v>
      </c>
      <c r="F55" s="35" t="s">
        <v>39</v>
      </c>
      <c r="G55" s="35" t="s">
        <v>9</v>
      </c>
      <c r="H55" s="36" t="s">
        <v>278</v>
      </c>
    </row>
    <row r="56" spans="1:8" x14ac:dyDescent="0.35">
      <c r="A56" s="34">
        <v>54</v>
      </c>
      <c r="B56" s="35" t="s">
        <v>251</v>
      </c>
      <c r="C56" s="35" t="s">
        <v>279</v>
      </c>
      <c r="D56" s="35" t="s">
        <v>280</v>
      </c>
      <c r="E56" s="35" t="s">
        <v>43</v>
      </c>
      <c r="F56" s="35" t="s">
        <v>39</v>
      </c>
      <c r="G56" s="35" t="s">
        <v>44</v>
      </c>
      <c r="H56" s="36" t="s">
        <v>281</v>
      </c>
    </row>
    <row r="57" spans="1:8" x14ac:dyDescent="0.35">
      <c r="A57" s="34">
        <v>55</v>
      </c>
      <c r="B57" s="35" t="s">
        <v>251</v>
      </c>
      <c r="C57" s="35" t="s">
        <v>282</v>
      </c>
      <c r="D57" s="35" t="s">
        <v>283</v>
      </c>
      <c r="E57" s="35" t="s">
        <v>43</v>
      </c>
      <c r="F57" s="35" t="s">
        <v>39</v>
      </c>
      <c r="G57" s="35" t="s">
        <v>45</v>
      </c>
      <c r="H57" s="36" t="s">
        <v>284</v>
      </c>
    </row>
    <row r="58" spans="1:8" x14ac:dyDescent="0.35">
      <c r="A58" s="34">
        <v>56</v>
      </c>
      <c r="B58" s="35" t="s">
        <v>251</v>
      </c>
      <c r="C58" s="35" t="s">
        <v>283</v>
      </c>
      <c r="D58" s="35" t="s">
        <v>285</v>
      </c>
      <c r="E58" s="35" t="s">
        <v>43</v>
      </c>
      <c r="F58" s="35" t="s">
        <v>41</v>
      </c>
      <c r="G58" s="35" t="s">
        <v>41</v>
      </c>
      <c r="H58" s="36" t="s">
        <v>286</v>
      </c>
    </row>
    <row r="59" spans="1:8" ht="43.5" x14ac:dyDescent="0.35">
      <c r="A59" s="34">
        <v>57</v>
      </c>
      <c r="B59" s="35" t="s">
        <v>251</v>
      </c>
      <c r="C59" s="35" t="s">
        <v>287</v>
      </c>
      <c r="D59" s="35" t="s">
        <v>288</v>
      </c>
      <c r="E59" s="35" t="s">
        <v>43</v>
      </c>
      <c r="F59" s="35" t="s">
        <v>41</v>
      </c>
      <c r="G59" s="35" t="s">
        <v>40</v>
      </c>
      <c r="H59" s="36" t="s">
        <v>289</v>
      </c>
    </row>
    <row r="60" spans="1:8" x14ac:dyDescent="0.35">
      <c r="A60" s="34">
        <v>58</v>
      </c>
      <c r="B60" s="35" t="s">
        <v>251</v>
      </c>
      <c r="C60" s="35" t="s">
        <v>290</v>
      </c>
      <c r="D60" s="35" t="s">
        <v>291</v>
      </c>
      <c r="E60" s="35" t="s">
        <v>43</v>
      </c>
      <c r="F60" s="35" t="s">
        <v>41</v>
      </c>
      <c r="G60" s="35" t="s">
        <v>43</v>
      </c>
      <c r="H60" s="36" t="s">
        <v>292</v>
      </c>
    </row>
    <row r="61" spans="1:8" x14ac:dyDescent="0.35">
      <c r="A61" s="34">
        <v>59</v>
      </c>
      <c r="B61" s="35" t="s">
        <v>251</v>
      </c>
      <c r="C61" s="35" t="s">
        <v>293</v>
      </c>
      <c r="D61" s="35" t="s">
        <v>294</v>
      </c>
      <c r="E61" s="35" t="s">
        <v>43</v>
      </c>
      <c r="F61" s="35" t="s">
        <v>41</v>
      </c>
      <c r="G61" s="35" t="s">
        <v>46</v>
      </c>
      <c r="H61" s="36" t="s">
        <v>295</v>
      </c>
    </row>
    <row r="62" spans="1:8" x14ac:dyDescent="0.35">
      <c r="A62" s="34">
        <v>60</v>
      </c>
      <c r="B62" s="35" t="s">
        <v>251</v>
      </c>
      <c r="C62" s="35" t="s">
        <v>296</v>
      </c>
      <c r="D62" s="35" t="s">
        <v>297</v>
      </c>
      <c r="E62" s="35" t="s">
        <v>43</v>
      </c>
      <c r="F62" s="35" t="s">
        <v>41</v>
      </c>
      <c r="G62" s="35" t="s">
        <v>38</v>
      </c>
      <c r="H62" s="36" t="s">
        <v>298</v>
      </c>
    </row>
    <row r="63" spans="1:8" ht="29" x14ac:dyDescent="0.35">
      <c r="A63" s="34">
        <v>61</v>
      </c>
      <c r="B63" s="35" t="s">
        <v>251</v>
      </c>
      <c r="C63" s="35" t="s">
        <v>297</v>
      </c>
      <c r="D63" s="35" t="s">
        <v>299</v>
      </c>
      <c r="E63" s="35" t="s">
        <v>43</v>
      </c>
      <c r="F63" s="35" t="s">
        <v>41</v>
      </c>
      <c r="G63" s="35" t="s">
        <v>9</v>
      </c>
      <c r="H63" s="36" t="s">
        <v>300</v>
      </c>
    </row>
    <row r="64" spans="1:8" x14ac:dyDescent="0.35">
      <c r="A64" s="34">
        <v>62</v>
      </c>
      <c r="B64" s="35" t="s">
        <v>251</v>
      </c>
      <c r="C64" s="35" t="s">
        <v>299</v>
      </c>
      <c r="D64" s="35" t="s">
        <v>197</v>
      </c>
      <c r="E64" s="35" t="s">
        <v>43</v>
      </c>
      <c r="F64" s="35" t="s">
        <v>41</v>
      </c>
      <c r="G64" s="35" t="s">
        <v>44</v>
      </c>
      <c r="H64" s="36" t="s">
        <v>301</v>
      </c>
    </row>
    <row r="65" spans="1:8" ht="29" x14ac:dyDescent="0.35">
      <c r="A65" s="34">
        <v>63</v>
      </c>
      <c r="B65" s="35" t="s">
        <v>302</v>
      </c>
      <c r="C65" s="35" t="s">
        <v>143</v>
      </c>
      <c r="D65" s="35" t="s">
        <v>303</v>
      </c>
      <c r="E65" s="35" t="s">
        <v>44</v>
      </c>
      <c r="F65" s="35" t="s">
        <v>41</v>
      </c>
      <c r="G65" s="35" t="s">
        <v>44</v>
      </c>
      <c r="H65" s="36" t="s">
        <v>304</v>
      </c>
    </row>
    <row r="66" spans="1:8" ht="29" x14ac:dyDescent="0.35">
      <c r="A66" s="34">
        <v>64</v>
      </c>
      <c r="B66" s="35" t="s">
        <v>302</v>
      </c>
      <c r="C66" s="35" t="s">
        <v>303</v>
      </c>
      <c r="D66" s="35" t="s">
        <v>305</v>
      </c>
      <c r="E66" s="35" t="s">
        <v>44</v>
      </c>
      <c r="F66" s="35" t="s">
        <v>41</v>
      </c>
      <c r="G66" s="35" t="s">
        <v>45</v>
      </c>
      <c r="H66" s="36" t="s">
        <v>306</v>
      </c>
    </row>
    <row r="67" spans="1:8" ht="29" x14ac:dyDescent="0.35">
      <c r="A67" s="34">
        <v>65</v>
      </c>
      <c r="B67" s="35" t="s">
        <v>302</v>
      </c>
      <c r="C67" s="35" t="s">
        <v>307</v>
      </c>
      <c r="D67" s="35" t="s">
        <v>308</v>
      </c>
      <c r="E67" s="35" t="s">
        <v>44</v>
      </c>
      <c r="F67" s="35" t="s">
        <v>41</v>
      </c>
      <c r="G67" s="35" t="s">
        <v>39</v>
      </c>
      <c r="H67" s="36" t="s">
        <v>309</v>
      </c>
    </row>
    <row r="68" spans="1:8" ht="29" x14ac:dyDescent="0.35">
      <c r="A68" s="34">
        <v>66</v>
      </c>
      <c r="B68" s="35" t="s">
        <v>302</v>
      </c>
      <c r="C68" s="35" t="s">
        <v>310</v>
      </c>
      <c r="D68" s="35" t="s">
        <v>311</v>
      </c>
      <c r="E68" s="35" t="s">
        <v>44</v>
      </c>
      <c r="F68" s="35" t="s">
        <v>40</v>
      </c>
      <c r="G68" s="35" t="s">
        <v>40</v>
      </c>
      <c r="H68" s="36" t="s">
        <v>312</v>
      </c>
    </row>
    <row r="69" spans="1:8" x14ac:dyDescent="0.35">
      <c r="A69" s="34">
        <v>67</v>
      </c>
      <c r="B69" s="35" t="s">
        <v>302</v>
      </c>
      <c r="C69" s="35" t="s">
        <v>311</v>
      </c>
      <c r="D69" s="35" t="s">
        <v>307</v>
      </c>
      <c r="E69" s="35" t="s">
        <v>44</v>
      </c>
      <c r="F69" s="35" t="s">
        <v>40</v>
      </c>
      <c r="G69" s="35" t="s">
        <v>43</v>
      </c>
      <c r="H69" s="36" t="s">
        <v>313</v>
      </c>
    </row>
    <row r="70" spans="1:8" ht="29" x14ac:dyDescent="0.35">
      <c r="A70" s="34">
        <v>68</v>
      </c>
      <c r="B70" s="35" t="s">
        <v>302</v>
      </c>
      <c r="C70" s="35" t="s">
        <v>307</v>
      </c>
      <c r="D70" s="35" t="s">
        <v>314</v>
      </c>
      <c r="E70" s="35" t="s">
        <v>44</v>
      </c>
      <c r="F70" s="35" t="s">
        <v>40</v>
      </c>
      <c r="G70" s="35" t="s">
        <v>46</v>
      </c>
      <c r="H70" s="36" t="s">
        <v>315</v>
      </c>
    </row>
    <row r="71" spans="1:8" x14ac:dyDescent="0.35">
      <c r="A71" s="34">
        <v>69</v>
      </c>
      <c r="B71" s="35" t="s">
        <v>302</v>
      </c>
      <c r="C71" s="35" t="s">
        <v>316</v>
      </c>
      <c r="D71" s="35" t="s">
        <v>317</v>
      </c>
      <c r="E71" s="35" t="s">
        <v>44</v>
      </c>
      <c r="F71" s="35" t="s">
        <v>40</v>
      </c>
      <c r="G71" s="35" t="s">
        <v>38</v>
      </c>
      <c r="H71" s="36" t="s">
        <v>318</v>
      </c>
    </row>
    <row r="72" spans="1:8" x14ac:dyDescent="0.35">
      <c r="A72" s="34">
        <v>70</v>
      </c>
      <c r="B72" s="35" t="s">
        <v>302</v>
      </c>
      <c r="C72" s="35" t="s">
        <v>319</v>
      </c>
      <c r="D72" s="35" t="s">
        <v>320</v>
      </c>
      <c r="E72" s="35" t="s">
        <v>44</v>
      </c>
      <c r="F72" s="35" t="s">
        <v>40</v>
      </c>
      <c r="G72" s="35" t="s">
        <v>9</v>
      </c>
      <c r="H72" s="36" t="s">
        <v>321</v>
      </c>
    </row>
    <row r="73" spans="1:8" x14ac:dyDescent="0.35">
      <c r="A73" s="34">
        <v>71</v>
      </c>
      <c r="B73" s="35" t="s">
        <v>302</v>
      </c>
      <c r="C73" s="35" t="s">
        <v>322</v>
      </c>
      <c r="D73" s="35" t="s">
        <v>323</v>
      </c>
      <c r="E73" s="35" t="s">
        <v>44</v>
      </c>
      <c r="F73" s="35" t="s">
        <v>40</v>
      </c>
      <c r="G73" s="35" t="s">
        <v>44</v>
      </c>
      <c r="H73" s="36" t="s">
        <v>324</v>
      </c>
    </row>
    <row r="74" spans="1:8" ht="29" x14ac:dyDescent="0.35">
      <c r="A74" s="34">
        <v>72</v>
      </c>
      <c r="B74" s="35" t="s">
        <v>302</v>
      </c>
      <c r="C74" s="35" t="s">
        <v>325</v>
      </c>
      <c r="D74" s="35" t="s">
        <v>326</v>
      </c>
      <c r="E74" s="35" t="s">
        <v>44</v>
      </c>
      <c r="F74" s="35" t="s">
        <v>40</v>
      </c>
      <c r="G74" s="35" t="s">
        <v>45</v>
      </c>
      <c r="H74" s="36" t="s">
        <v>327</v>
      </c>
    </row>
    <row r="75" spans="1:8" x14ac:dyDescent="0.35">
      <c r="A75" s="34">
        <v>73</v>
      </c>
      <c r="B75" s="35" t="s">
        <v>302</v>
      </c>
      <c r="C75" s="35" t="s">
        <v>328</v>
      </c>
      <c r="D75" s="35" t="s">
        <v>329</v>
      </c>
      <c r="E75" s="35" t="s">
        <v>44</v>
      </c>
      <c r="F75" s="35" t="s">
        <v>40</v>
      </c>
      <c r="G75" s="35" t="s">
        <v>39</v>
      </c>
      <c r="H75" s="36" t="s">
        <v>330</v>
      </c>
    </row>
    <row r="76" spans="1:8" x14ac:dyDescent="0.35">
      <c r="A76" s="34">
        <v>74</v>
      </c>
      <c r="B76" s="35" t="s">
        <v>302</v>
      </c>
      <c r="C76" s="35" t="s">
        <v>329</v>
      </c>
      <c r="D76" s="35" t="s">
        <v>331</v>
      </c>
      <c r="E76" s="35" t="s">
        <v>44</v>
      </c>
      <c r="F76" s="35" t="s">
        <v>40</v>
      </c>
      <c r="G76" s="35" t="s">
        <v>41</v>
      </c>
      <c r="H76" s="36" t="s">
        <v>332</v>
      </c>
    </row>
    <row r="77" spans="1:8" ht="29" x14ac:dyDescent="0.35">
      <c r="A77" s="34">
        <v>75</v>
      </c>
      <c r="B77" s="35" t="s">
        <v>302</v>
      </c>
      <c r="C77" s="35" t="s">
        <v>333</v>
      </c>
      <c r="D77" s="35" t="s">
        <v>334</v>
      </c>
      <c r="E77" s="35" t="s">
        <v>44</v>
      </c>
      <c r="F77" s="35" t="s">
        <v>43</v>
      </c>
      <c r="G77" s="35" t="s">
        <v>43</v>
      </c>
      <c r="H77" s="36" t="s">
        <v>335</v>
      </c>
    </row>
    <row r="78" spans="1:8" x14ac:dyDescent="0.35">
      <c r="A78" s="34">
        <v>76</v>
      </c>
      <c r="B78" s="35" t="s">
        <v>302</v>
      </c>
      <c r="C78" s="35" t="s">
        <v>336</v>
      </c>
      <c r="D78" s="35" t="s">
        <v>337</v>
      </c>
      <c r="E78" s="35" t="s">
        <v>44</v>
      </c>
      <c r="F78" s="35" t="s">
        <v>43</v>
      </c>
      <c r="G78" s="35" t="s">
        <v>46</v>
      </c>
      <c r="H78" s="36" t="s">
        <v>338</v>
      </c>
    </row>
    <row r="79" spans="1:8" x14ac:dyDescent="0.35">
      <c r="A79" s="34">
        <v>77</v>
      </c>
      <c r="B79" s="35" t="s">
        <v>302</v>
      </c>
      <c r="C79" s="35" t="s">
        <v>337</v>
      </c>
      <c r="D79" s="35" t="s">
        <v>339</v>
      </c>
      <c r="E79" s="35" t="s">
        <v>44</v>
      </c>
      <c r="F79" s="35" t="s">
        <v>43</v>
      </c>
      <c r="G79" s="35" t="s">
        <v>38</v>
      </c>
      <c r="H79" s="36" t="s">
        <v>340</v>
      </c>
    </row>
    <row r="80" spans="1:8" x14ac:dyDescent="0.35">
      <c r="A80" s="34">
        <v>78</v>
      </c>
      <c r="B80" s="35" t="s">
        <v>302</v>
      </c>
      <c r="C80" s="35" t="s">
        <v>339</v>
      </c>
      <c r="D80" s="35" t="s">
        <v>341</v>
      </c>
      <c r="E80" s="35" t="s">
        <v>44</v>
      </c>
      <c r="F80" s="35" t="s">
        <v>43</v>
      </c>
      <c r="G80" s="35" t="s">
        <v>9</v>
      </c>
      <c r="H80" s="36" t="s">
        <v>342</v>
      </c>
    </row>
    <row r="81" spans="1:8" x14ac:dyDescent="0.35">
      <c r="A81" s="34">
        <v>79</v>
      </c>
      <c r="B81" s="35" t="s">
        <v>302</v>
      </c>
      <c r="C81" s="35" t="s">
        <v>341</v>
      </c>
      <c r="D81" s="35" t="s">
        <v>343</v>
      </c>
      <c r="E81" s="35" t="s">
        <v>44</v>
      </c>
      <c r="F81" s="35" t="s">
        <v>43</v>
      </c>
      <c r="G81" s="35" t="s">
        <v>44</v>
      </c>
      <c r="H81" s="36" t="s">
        <v>344</v>
      </c>
    </row>
    <row r="82" spans="1:8" x14ac:dyDescent="0.35">
      <c r="A82" s="34">
        <v>80</v>
      </c>
      <c r="B82" s="35" t="s">
        <v>302</v>
      </c>
      <c r="C82" s="35" t="s">
        <v>343</v>
      </c>
      <c r="D82" s="35" t="s">
        <v>345</v>
      </c>
      <c r="E82" s="35" t="s">
        <v>44</v>
      </c>
      <c r="F82" s="35" t="s">
        <v>43</v>
      </c>
      <c r="G82" s="35" t="s">
        <v>45</v>
      </c>
      <c r="H82" s="36" t="s">
        <v>346</v>
      </c>
    </row>
    <row r="83" spans="1:8" x14ac:dyDescent="0.35">
      <c r="A83" s="34">
        <v>81</v>
      </c>
      <c r="B83" s="35" t="s">
        <v>302</v>
      </c>
      <c r="C83" s="35" t="s">
        <v>345</v>
      </c>
      <c r="D83" s="35" t="s">
        <v>245</v>
      </c>
      <c r="E83" s="35" t="s">
        <v>44</v>
      </c>
      <c r="F83" s="35" t="s">
        <v>43</v>
      </c>
      <c r="G83" s="35" t="s">
        <v>39</v>
      </c>
      <c r="H83" s="36" t="s">
        <v>347</v>
      </c>
    </row>
    <row r="84" spans="1:8" ht="29" x14ac:dyDescent="0.35">
      <c r="A84" s="34">
        <v>82</v>
      </c>
      <c r="B84" s="35" t="s">
        <v>302</v>
      </c>
      <c r="C84" s="35" t="s">
        <v>243</v>
      </c>
      <c r="D84" s="35" t="s">
        <v>248</v>
      </c>
      <c r="E84" s="35" t="s">
        <v>44</v>
      </c>
      <c r="F84" s="35" t="s">
        <v>43</v>
      </c>
      <c r="G84" s="35" t="s">
        <v>41</v>
      </c>
      <c r="H84" s="36" t="s">
        <v>348</v>
      </c>
    </row>
    <row r="85" spans="1:8" ht="29" x14ac:dyDescent="0.35">
      <c r="A85" s="34">
        <v>83</v>
      </c>
      <c r="B85" s="35" t="s">
        <v>302</v>
      </c>
      <c r="C85" s="35" t="s">
        <v>248</v>
      </c>
      <c r="D85" s="35" t="s">
        <v>249</v>
      </c>
      <c r="E85" s="35" t="s">
        <v>44</v>
      </c>
      <c r="F85" s="35" t="s">
        <v>43</v>
      </c>
      <c r="G85" s="35" t="s">
        <v>40</v>
      </c>
      <c r="H85" s="36" t="s">
        <v>349</v>
      </c>
    </row>
    <row r="86" spans="1:8" x14ac:dyDescent="0.35">
      <c r="A86" s="34">
        <v>84</v>
      </c>
      <c r="B86" s="35" t="s">
        <v>350</v>
      </c>
      <c r="C86" s="35" t="s">
        <v>143</v>
      </c>
      <c r="D86" s="35" t="s">
        <v>144</v>
      </c>
      <c r="E86" s="35" t="s">
        <v>9</v>
      </c>
      <c r="F86" s="35" t="s">
        <v>46</v>
      </c>
      <c r="G86" s="35" t="s">
        <v>46</v>
      </c>
      <c r="H86" s="36" t="s">
        <v>351</v>
      </c>
    </row>
    <row r="87" spans="1:8" ht="29" x14ac:dyDescent="0.35">
      <c r="A87" s="34">
        <v>85</v>
      </c>
      <c r="B87" s="35" t="s">
        <v>350</v>
      </c>
      <c r="C87" s="35" t="s">
        <v>144</v>
      </c>
      <c r="D87" s="35" t="s">
        <v>146</v>
      </c>
      <c r="E87" s="35" t="s">
        <v>9</v>
      </c>
      <c r="F87" s="35" t="s">
        <v>46</v>
      </c>
      <c r="G87" s="35" t="s">
        <v>38</v>
      </c>
      <c r="H87" s="36" t="s">
        <v>352</v>
      </c>
    </row>
    <row r="88" spans="1:8" ht="29" x14ac:dyDescent="0.35">
      <c r="A88" s="34">
        <v>86</v>
      </c>
      <c r="B88" s="35" t="s">
        <v>350</v>
      </c>
      <c r="C88" s="35" t="s">
        <v>146</v>
      </c>
      <c r="D88" s="35" t="s">
        <v>149</v>
      </c>
      <c r="E88" s="35" t="s">
        <v>9</v>
      </c>
      <c r="F88" s="35" t="s">
        <v>46</v>
      </c>
      <c r="G88" s="35" t="s">
        <v>9</v>
      </c>
      <c r="H88" s="36" t="s">
        <v>353</v>
      </c>
    </row>
    <row r="89" spans="1:8" ht="29" x14ac:dyDescent="0.35">
      <c r="A89" s="34">
        <v>87</v>
      </c>
      <c r="B89" s="35" t="s">
        <v>350</v>
      </c>
      <c r="C89" s="35" t="s">
        <v>354</v>
      </c>
      <c r="D89" s="35" t="s">
        <v>355</v>
      </c>
      <c r="E89" s="35" t="s">
        <v>9</v>
      </c>
      <c r="F89" s="35" t="s">
        <v>46</v>
      </c>
      <c r="G89" s="35" t="s">
        <v>44</v>
      </c>
      <c r="H89" s="36" t="s">
        <v>356</v>
      </c>
    </row>
    <row r="90" spans="1:8" ht="29" x14ac:dyDescent="0.35">
      <c r="A90" s="34">
        <v>88</v>
      </c>
      <c r="B90" s="35" t="s">
        <v>350</v>
      </c>
      <c r="C90" s="35" t="s">
        <v>357</v>
      </c>
      <c r="D90" s="35" t="s">
        <v>261</v>
      </c>
      <c r="E90" s="35" t="s">
        <v>9</v>
      </c>
      <c r="F90" s="35" t="s">
        <v>46</v>
      </c>
      <c r="G90" s="35" t="s">
        <v>45</v>
      </c>
      <c r="H90" s="36" t="s">
        <v>358</v>
      </c>
    </row>
    <row r="91" spans="1:8" x14ac:dyDescent="0.35">
      <c r="A91" s="34">
        <v>89</v>
      </c>
      <c r="B91" s="35" t="s">
        <v>350</v>
      </c>
      <c r="C91" s="35" t="s">
        <v>154</v>
      </c>
      <c r="D91" s="35" t="s">
        <v>156</v>
      </c>
      <c r="E91" s="35" t="s">
        <v>9</v>
      </c>
      <c r="F91" s="35" t="s">
        <v>46</v>
      </c>
      <c r="G91" s="35" t="s">
        <v>39</v>
      </c>
      <c r="H91" s="36" t="s">
        <v>359</v>
      </c>
    </row>
    <row r="92" spans="1:8" ht="29" x14ac:dyDescent="0.35">
      <c r="A92" s="34">
        <v>90</v>
      </c>
      <c r="B92" s="35" t="s">
        <v>350</v>
      </c>
      <c r="C92" s="35" t="s">
        <v>158</v>
      </c>
      <c r="D92" s="35" t="s">
        <v>159</v>
      </c>
      <c r="E92" s="35" t="s">
        <v>9</v>
      </c>
      <c r="F92" s="35" t="s">
        <v>46</v>
      </c>
      <c r="G92" s="35" t="s">
        <v>41</v>
      </c>
      <c r="H92" s="36" t="s">
        <v>360</v>
      </c>
    </row>
    <row r="93" spans="1:8" ht="58" x14ac:dyDescent="0.35">
      <c r="A93" s="34">
        <v>91</v>
      </c>
      <c r="B93" s="35" t="s">
        <v>350</v>
      </c>
      <c r="C93" s="35" t="s">
        <v>159</v>
      </c>
      <c r="D93" s="35" t="s">
        <v>162</v>
      </c>
      <c r="E93" s="35" t="s">
        <v>9</v>
      </c>
      <c r="F93" s="35" t="s">
        <v>46</v>
      </c>
      <c r="G93" s="35" t="s">
        <v>40</v>
      </c>
      <c r="H93" s="36" t="s">
        <v>361</v>
      </c>
    </row>
    <row r="94" spans="1:8" ht="29" x14ac:dyDescent="0.35">
      <c r="A94" s="34">
        <v>92</v>
      </c>
      <c r="B94" s="35" t="s">
        <v>350</v>
      </c>
      <c r="C94" s="35" t="s">
        <v>362</v>
      </c>
      <c r="D94" s="35" t="s">
        <v>167</v>
      </c>
      <c r="E94" s="35" t="s">
        <v>9</v>
      </c>
      <c r="F94" s="35" t="s">
        <v>46</v>
      </c>
      <c r="G94" s="35" t="s">
        <v>43</v>
      </c>
      <c r="H94" s="36" t="s">
        <v>363</v>
      </c>
    </row>
    <row r="95" spans="1:8" x14ac:dyDescent="0.35">
      <c r="A95" s="34">
        <v>93</v>
      </c>
      <c r="B95" s="35" t="s">
        <v>350</v>
      </c>
      <c r="C95" s="35" t="s">
        <v>165</v>
      </c>
      <c r="D95" s="35" t="s">
        <v>168</v>
      </c>
      <c r="E95" s="35" t="s">
        <v>9</v>
      </c>
      <c r="F95" s="35" t="s">
        <v>38</v>
      </c>
      <c r="G95" s="35" t="s">
        <v>38</v>
      </c>
      <c r="H95" s="36" t="s">
        <v>364</v>
      </c>
    </row>
    <row r="96" spans="1:8" x14ac:dyDescent="0.35">
      <c r="A96" s="34">
        <v>94</v>
      </c>
      <c r="B96" s="35" t="s">
        <v>350</v>
      </c>
      <c r="C96" s="35" t="s">
        <v>168</v>
      </c>
      <c r="D96" s="35" t="s">
        <v>173</v>
      </c>
      <c r="E96" s="35" t="s">
        <v>9</v>
      </c>
      <c r="F96" s="35" t="s">
        <v>38</v>
      </c>
      <c r="G96" s="35" t="s">
        <v>9</v>
      </c>
      <c r="H96" s="36" t="s">
        <v>365</v>
      </c>
    </row>
    <row r="97" spans="1:8" ht="29" x14ac:dyDescent="0.35">
      <c r="A97" s="34">
        <v>95</v>
      </c>
      <c r="B97" s="35" t="s">
        <v>350</v>
      </c>
      <c r="C97" s="35" t="s">
        <v>171</v>
      </c>
      <c r="D97" s="35" t="s">
        <v>366</v>
      </c>
      <c r="E97" s="35" t="s">
        <v>9</v>
      </c>
      <c r="F97" s="35" t="s">
        <v>38</v>
      </c>
      <c r="G97" s="35" t="s">
        <v>44</v>
      </c>
      <c r="H97" s="36" t="s">
        <v>367</v>
      </c>
    </row>
    <row r="98" spans="1:8" x14ac:dyDescent="0.35">
      <c r="A98" s="34">
        <v>96</v>
      </c>
      <c r="B98" s="35" t="s">
        <v>350</v>
      </c>
      <c r="C98" s="35" t="s">
        <v>368</v>
      </c>
      <c r="D98" s="35" t="s">
        <v>177</v>
      </c>
      <c r="E98" s="35" t="s">
        <v>9</v>
      </c>
      <c r="F98" s="35" t="s">
        <v>38</v>
      </c>
      <c r="G98" s="35" t="s">
        <v>45</v>
      </c>
      <c r="H98" s="36" t="s">
        <v>369</v>
      </c>
    </row>
    <row r="99" spans="1:8" x14ac:dyDescent="0.35">
      <c r="A99" s="34">
        <v>97</v>
      </c>
      <c r="B99" s="35" t="s">
        <v>350</v>
      </c>
      <c r="C99" s="35" t="s">
        <v>177</v>
      </c>
      <c r="D99" s="35" t="s">
        <v>179</v>
      </c>
      <c r="E99" s="35" t="s">
        <v>9</v>
      </c>
      <c r="F99" s="35" t="s">
        <v>38</v>
      </c>
      <c r="G99" s="35" t="s">
        <v>39</v>
      </c>
      <c r="H99" s="36" t="s">
        <v>370</v>
      </c>
    </row>
    <row r="100" spans="1:8" ht="29" x14ac:dyDescent="0.35">
      <c r="A100" s="34">
        <v>98</v>
      </c>
      <c r="B100" s="35" t="s">
        <v>350</v>
      </c>
      <c r="C100" s="35" t="s">
        <v>179</v>
      </c>
      <c r="D100" s="35" t="s">
        <v>182</v>
      </c>
      <c r="E100" s="35" t="s">
        <v>9</v>
      </c>
      <c r="F100" s="35" t="s">
        <v>38</v>
      </c>
      <c r="G100" s="35" t="s">
        <v>41</v>
      </c>
      <c r="H100" s="36" t="s">
        <v>371</v>
      </c>
    </row>
    <row r="101" spans="1:8" x14ac:dyDescent="0.35">
      <c r="A101" s="34">
        <v>99</v>
      </c>
      <c r="B101" s="35" t="s">
        <v>350</v>
      </c>
      <c r="C101" s="35" t="s">
        <v>372</v>
      </c>
      <c r="D101" s="35" t="s">
        <v>184</v>
      </c>
      <c r="E101" s="35" t="s">
        <v>9</v>
      </c>
      <c r="F101" s="35" t="s">
        <v>38</v>
      </c>
      <c r="G101" s="35" t="s">
        <v>40</v>
      </c>
      <c r="H101" s="36" t="s">
        <v>373</v>
      </c>
    </row>
    <row r="102" spans="1:8" ht="29" x14ac:dyDescent="0.35">
      <c r="A102" s="34">
        <v>100</v>
      </c>
      <c r="B102" s="35" t="s">
        <v>350</v>
      </c>
      <c r="C102" s="35" t="s">
        <v>374</v>
      </c>
      <c r="D102" s="35" t="s">
        <v>375</v>
      </c>
      <c r="E102" s="35" t="s">
        <v>9</v>
      </c>
      <c r="F102" s="35" t="s">
        <v>38</v>
      </c>
      <c r="G102" s="35" t="s">
        <v>43</v>
      </c>
      <c r="H102" s="36" t="s">
        <v>376</v>
      </c>
    </row>
    <row r="103" spans="1:8" x14ac:dyDescent="0.35">
      <c r="A103" s="34">
        <v>101</v>
      </c>
      <c r="B103" s="35" t="s">
        <v>350</v>
      </c>
      <c r="C103" s="35" t="s">
        <v>186</v>
      </c>
      <c r="D103" s="35" t="s">
        <v>188</v>
      </c>
      <c r="E103" s="35" t="s">
        <v>9</v>
      </c>
      <c r="F103" s="35" t="s">
        <v>38</v>
      </c>
      <c r="G103" s="35" t="s">
        <v>46</v>
      </c>
      <c r="H103" s="36" t="s">
        <v>377</v>
      </c>
    </row>
    <row r="104" spans="1:8" ht="43.5" x14ac:dyDescent="0.35">
      <c r="A104" s="34">
        <v>102</v>
      </c>
      <c r="B104" s="35" t="s">
        <v>350</v>
      </c>
      <c r="C104" s="35" t="s">
        <v>188</v>
      </c>
      <c r="D104" s="35" t="s">
        <v>191</v>
      </c>
      <c r="E104" s="35" t="s">
        <v>9</v>
      </c>
      <c r="F104" s="35" t="s">
        <v>9</v>
      </c>
      <c r="G104" s="35" t="s">
        <v>9</v>
      </c>
      <c r="H104" s="36" t="s">
        <v>378</v>
      </c>
    </row>
    <row r="105" spans="1:8" ht="29" x14ac:dyDescent="0.35">
      <c r="A105" s="34">
        <v>103</v>
      </c>
      <c r="B105" s="35" t="s">
        <v>350</v>
      </c>
      <c r="C105" s="35" t="s">
        <v>379</v>
      </c>
      <c r="D105" s="35" t="s">
        <v>380</v>
      </c>
      <c r="E105" s="35" t="s">
        <v>9</v>
      </c>
      <c r="F105" s="35" t="s">
        <v>9</v>
      </c>
      <c r="G105" s="35" t="s">
        <v>44</v>
      </c>
      <c r="H105" s="36" t="s">
        <v>381</v>
      </c>
    </row>
    <row r="106" spans="1:8" ht="43.5" x14ac:dyDescent="0.35">
      <c r="A106" s="34">
        <v>104</v>
      </c>
      <c r="B106" s="35" t="s">
        <v>350</v>
      </c>
      <c r="C106" s="35" t="s">
        <v>193</v>
      </c>
      <c r="D106" s="35" t="s">
        <v>382</v>
      </c>
      <c r="E106" s="35" t="s">
        <v>9</v>
      </c>
      <c r="F106" s="35" t="s">
        <v>9</v>
      </c>
      <c r="G106" s="35" t="s">
        <v>45</v>
      </c>
      <c r="H106" s="36" t="s">
        <v>383</v>
      </c>
    </row>
    <row r="107" spans="1:8" ht="29" x14ac:dyDescent="0.35">
      <c r="A107" s="34">
        <v>105</v>
      </c>
      <c r="B107" s="35" t="s">
        <v>350</v>
      </c>
      <c r="C107" s="35" t="s">
        <v>384</v>
      </c>
      <c r="D107" s="35" t="s">
        <v>197</v>
      </c>
      <c r="E107" s="35" t="s">
        <v>9</v>
      </c>
      <c r="F107" s="35" t="s">
        <v>9</v>
      </c>
      <c r="G107" s="35" t="s">
        <v>39</v>
      </c>
      <c r="H107" s="36" t="s">
        <v>385</v>
      </c>
    </row>
    <row r="108" spans="1:8" ht="29" x14ac:dyDescent="0.35">
      <c r="A108" s="34">
        <v>106</v>
      </c>
      <c r="B108" s="35" t="s">
        <v>386</v>
      </c>
      <c r="C108" s="35" t="s">
        <v>387</v>
      </c>
      <c r="D108" s="35" t="s">
        <v>388</v>
      </c>
      <c r="E108" s="35" t="s">
        <v>43</v>
      </c>
      <c r="F108" s="35" t="s">
        <v>9</v>
      </c>
      <c r="G108" s="35" t="s">
        <v>39</v>
      </c>
      <c r="H108" s="36" t="s">
        <v>389</v>
      </c>
    </row>
    <row r="109" spans="1:8" x14ac:dyDescent="0.35">
      <c r="A109" s="34" t="s">
        <v>390</v>
      </c>
      <c r="B109" s="35" t="s">
        <v>386</v>
      </c>
      <c r="C109" s="35" t="s">
        <v>391</v>
      </c>
      <c r="D109" s="35" t="s">
        <v>148</v>
      </c>
      <c r="E109" s="35" t="s">
        <v>43</v>
      </c>
      <c r="F109" s="35" t="s">
        <v>9</v>
      </c>
      <c r="G109" s="35" t="s">
        <v>41</v>
      </c>
      <c r="H109" s="36" t="s">
        <v>392</v>
      </c>
    </row>
    <row r="110" spans="1:8" x14ac:dyDescent="0.35">
      <c r="A110" s="34">
        <v>108</v>
      </c>
      <c r="B110" s="35" t="s">
        <v>386</v>
      </c>
      <c r="C110" s="35" t="s">
        <v>146</v>
      </c>
      <c r="D110" s="35" t="s">
        <v>206</v>
      </c>
      <c r="E110" s="35" t="s">
        <v>43</v>
      </c>
      <c r="F110" s="35" t="s">
        <v>9</v>
      </c>
      <c r="G110" s="35" t="s">
        <v>40</v>
      </c>
      <c r="H110" s="36" t="s">
        <v>393</v>
      </c>
    </row>
    <row r="111" spans="1:8" ht="29" x14ac:dyDescent="0.35">
      <c r="A111" s="34">
        <v>109</v>
      </c>
      <c r="B111" s="35" t="s">
        <v>386</v>
      </c>
      <c r="C111" s="35" t="s">
        <v>206</v>
      </c>
      <c r="D111" s="35" t="s">
        <v>207</v>
      </c>
      <c r="E111" s="35" t="s">
        <v>43</v>
      </c>
      <c r="F111" s="35" t="s">
        <v>9</v>
      </c>
      <c r="G111" s="35" t="s">
        <v>43</v>
      </c>
      <c r="H111" s="36" t="s">
        <v>394</v>
      </c>
    </row>
    <row r="112" spans="1:8" x14ac:dyDescent="0.35">
      <c r="A112" s="34">
        <v>110</v>
      </c>
      <c r="B112" s="35" t="s">
        <v>386</v>
      </c>
      <c r="C112" s="35" t="s">
        <v>207</v>
      </c>
      <c r="D112" s="35" t="s">
        <v>395</v>
      </c>
      <c r="E112" s="35" t="s">
        <v>43</v>
      </c>
      <c r="F112" s="35" t="s">
        <v>9</v>
      </c>
      <c r="G112" s="35" t="s">
        <v>46</v>
      </c>
      <c r="H112" s="36" t="s">
        <v>396</v>
      </c>
    </row>
    <row r="113" spans="1:8" ht="29" x14ac:dyDescent="0.35">
      <c r="A113" s="34">
        <v>111</v>
      </c>
      <c r="B113" s="35" t="s">
        <v>386</v>
      </c>
      <c r="C113" s="35" t="s">
        <v>397</v>
      </c>
      <c r="D113" s="35" t="s">
        <v>398</v>
      </c>
      <c r="E113" s="35" t="s">
        <v>43</v>
      </c>
      <c r="F113" s="35" t="s">
        <v>9</v>
      </c>
      <c r="G113" s="35" t="s">
        <v>38</v>
      </c>
      <c r="H113" s="36" t="s">
        <v>399</v>
      </c>
    </row>
    <row r="114" spans="1:8" ht="29" x14ac:dyDescent="0.35">
      <c r="A114" s="34">
        <v>112</v>
      </c>
      <c r="B114" s="35" t="s">
        <v>386</v>
      </c>
      <c r="C114" s="35" t="s">
        <v>398</v>
      </c>
      <c r="D114" s="35" t="s">
        <v>216</v>
      </c>
      <c r="E114" s="35" t="s">
        <v>43</v>
      </c>
      <c r="F114" s="35" t="s">
        <v>44</v>
      </c>
      <c r="G114" s="35" t="s">
        <v>44</v>
      </c>
      <c r="H114" s="36" t="s">
        <v>400</v>
      </c>
    </row>
    <row r="115" spans="1:8" x14ac:dyDescent="0.35">
      <c r="A115" s="34">
        <v>113</v>
      </c>
      <c r="B115" s="35" t="s">
        <v>386</v>
      </c>
      <c r="C115" s="35" t="s">
        <v>401</v>
      </c>
      <c r="D115" s="35" t="s">
        <v>219</v>
      </c>
      <c r="E115" s="35" t="s">
        <v>43</v>
      </c>
      <c r="F115" s="35" t="s">
        <v>44</v>
      </c>
      <c r="G115" s="35" t="s">
        <v>45</v>
      </c>
      <c r="H115" s="36" t="s">
        <v>402</v>
      </c>
    </row>
    <row r="116" spans="1:8" x14ac:dyDescent="0.35">
      <c r="A116" s="34">
        <v>114</v>
      </c>
      <c r="B116" s="35" t="s">
        <v>386</v>
      </c>
      <c r="C116" s="35" t="s">
        <v>219</v>
      </c>
      <c r="D116" s="35" t="s">
        <v>222</v>
      </c>
      <c r="E116" s="35" t="s">
        <v>43</v>
      </c>
      <c r="F116" s="35" t="s">
        <v>44</v>
      </c>
      <c r="G116" s="35" t="s">
        <v>39</v>
      </c>
      <c r="H116" s="36" t="s">
        <v>403</v>
      </c>
    </row>
    <row r="117" spans="1:8" x14ac:dyDescent="0.35">
      <c r="A117" s="34">
        <v>115</v>
      </c>
      <c r="B117" s="35" t="s">
        <v>386</v>
      </c>
      <c r="C117" s="35" t="s">
        <v>222</v>
      </c>
      <c r="D117" s="35" t="s">
        <v>225</v>
      </c>
      <c r="E117" s="35" t="s">
        <v>43</v>
      </c>
      <c r="F117" s="35" t="s">
        <v>44</v>
      </c>
      <c r="G117" s="35" t="s">
        <v>41</v>
      </c>
      <c r="H117" s="36" t="s">
        <v>404</v>
      </c>
    </row>
    <row r="118" spans="1:8" ht="29" x14ac:dyDescent="0.35">
      <c r="A118" s="34">
        <v>116</v>
      </c>
      <c r="B118" s="35" t="s">
        <v>386</v>
      </c>
      <c r="C118" s="35" t="s">
        <v>223</v>
      </c>
      <c r="D118" s="35" t="s">
        <v>405</v>
      </c>
      <c r="E118" s="35" t="s">
        <v>43</v>
      </c>
      <c r="F118" s="35" t="s">
        <v>44</v>
      </c>
      <c r="G118" s="35" t="s">
        <v>40</v>
      </c>
      <c r="H118" s="36" t="s">
        <v>406</v>
      </c>
    </row>
    <row r="119" spans="1:8" x14ac:dyDescent="0.35">
      <c r="A119" s="34">
        <v>117</v>
      </c>
      <c r="B119" s="35" t="s">
        <v>386</v>
      </c>
      <c r="C119" s="35" t="s">
        <v>228</v>
      </c>
      <c r="D119" s="35" t="s">
        <v>229</v>
      </c>
      <c r="E119" s="35" t="s">
        <v>43</v>
      </c>
      <c r="F119" s="35" t="s">
        <v>44</v>
      </c>
      <c r="G119" s="35" t="s">
        <v>43</v>
      </c>
      <c r="H119" s="36" t="s">
        <v>407</v>
      </c>
    </row>
    <row r="120" spans="1:8" x14ac:dyDescent="0.35">
      <c r="A120" s="34">
        <v>118</v>
      </c>
      <c r="B120" s="35" t="s">
        <v>386</v>
      </c>
      <c r="C120" s="35" t="s">
        <v>229</v>
      </c>
      <c r="D120" s="35" t="s">
        <v>408</v>
      </c>
      <c r="E120" s="35" t="s">
        <v>43</v>
      </c>
      <c r="F120" s="35" t="s">
        <v>44</v>
      </c>
      <c r="G120" s="35" t="s">
        <v>46</v>
      </c>
      <c r="H120" s="36" t="s">
        <v>409</v>
      </c>
    </row>
    <row r="121" spans="1:8" x14ac:dyDescent="0.35">
      <c r="A121" s="34">
        <v>119</v>
      </c>
      <c r="B121" s="35" t="s">
        <v>386</v>
      </c>
      <c r="C121" s="35" t="s">
        <v>234</v>
      </c>
      <c r="D121" s="35" t="s">
        <v>235</v>
      </c>
      <c r="E121" s="35" t="s">
        <v>43</v>
      </c>
      <c r="F121" s="35" t="s">
        <v>44</v>
      </c>
      <c r="G121" s="35" t="s">
        <v>38</v>
      </c>
      <c r="H121" s="36" t="s">
        <v>410</v>
      </c>
    </row>
    <row r="122" spans="1:8" x14ac:dyDescent="0.35">
      <c r="A122" s="34">
        <v>120</v>
      </c>
      <c r="B122" s="35" t="s">
        <v>386</v>
      </c>
      <c r="C122" s="35" t="s">
        <v>237</v>
      </c>
      <c r="D122" s="35" t="s">
        <v>411</v>
      </c>
      <c r="E122" s="35" t="s">
        <v>43</v>
      </c>
      <c r="F122" s="35" t="s">
        <v>44</v>
      </c>
      <c r="G122" s="35" t="s">
        <v>9</v>
      </c>
      <c r="H122" s="36" t="s">
        <v>412</v>
      </c>
    </row>
    <row r="123" spans="1:8" x14ac:dyDescent="0.35">
      <c r="A123" s="34">
        <v>121</v>
      </c>
      <c r="B123" s="35" t="s">
        <v>386</v>
      </c>
      <c r="C123" s="35" t="s">
        <v>413</v>
      </c>
      <c r="D123" s="35" t="s">
        <v>345</v>
      </c>
      <c r="E123" s="35" t="s">
        <v>43</v>
      </c>
      <c r="F123" s="35" t="s">
        <v>45</v>
      </c>
      <c r="G123" s="35" t="s">
        <v>45</v>
      </c>
      <c r="H123" s="36" t="s">
        <v>414</v>
      </c>
    </row>
    <row r="124" spans="1:8" x14ac:dyDescent="0.35">
      <c r="A124" s="34">
        <v>122</v>
      </c>
      <c r="B124" s="35" t="s">
        <v>386</v>
      </c>
      <c r="C124" s="35" t="s">
        <v>415</v>
      </c>
      <c r="D124" s="35" t="s">
        <v>416</v>
      </c>
      <c r="E124" s="35" t="s">
        <v>43</v>
      </c>
      <c r="F124" s="35" t="s">
        <v>45</v>
      </c>
      <c r="G124" s="35" t="s">
        <v>39</v>
      </c>
      <c r="H124" s="36" t="s">
        <v>417</v>
      </c>
    </row>
    <row r="125" spans="1:8" x14ac:dyDescent="0.35">
      <c r="A125" s="34">
        <v>123</v>
      </c>
      <c r="B125" s="35" t="s">
        <v>386</v>
      </c>
      <c r="C125" s="35" t="s">
        <v>243</v>
      </c>
      <c r="D125" s="35" t="s">
        <v>418</v>
      </c>
      <c r="E125" s="35" t="s">
        <v>43</v>
      </c>
      <c r="F125" s="35" t="s">
        <v>45</v>
      </c>
      <c r="G125" s="35" t="s">
        <v>41</v>
      </c>
      <c r="H125" s="36" t="s">
        <v>419</v>
      </c>
    </row>
    <row r="126" spans="1:8" ht="29" x14ac:dyDescent="0.35">
      <c r="A126" s="34">
        <v>124</v>
      </c>
      <c r="B126" s="35" t="s">
        <v>386</v>
      </c>
      <c r="C126" s="35" t="s">
        <v>248</v>
      </c>
      <c r="D126" s="35" t="s">
        <v>249</v>
      </c>
      <c r="E126" s="35" t="s">
        <v>43</v>
      </c>
      <c r="F126" s="35" t="s">
        <v>45</v>
      </c>
      <c r="G126" s="35" t="s">
        <v>40</v>
      </c>
      <c r="H126" s="36" t="s">
        <v>420</v>
      </c>
    </row>
    <row r="127" spans="1:8" x14ac:dyDescent="0.35">
      <c r="A127" s="34">
        <v>125</v>
      </c>
      <c r="B127" s="35" t="s">
        <v>421</v>
      </c>
      <c r="C127" s="35" t="s">
        <v>387</v>
      </c>
      <c r="D127" s="35" t="s">
        <v>422</v>
      </c>
      <c r="E127" s="35" t="s">
        <v>38</v>
      </c>
      <c r="F127" s="35" t="s">
        <v>45</v>
      </c>
      <c r="G127" s="35" t="s">
        <v>43</v>
      </c>
      <c r="H127" s="36" t="s">
        <v>423</v>
      </c>
    </row>
    <row r="128" spans="1:8" x14ac:dyDescent="0.35">
      <c r="A128" s="34">
        <v>126</v>
      </c>
      <c r="B128" s="35" t="s">
        <v>421</v>
      </c>
      <c r="C128" s="35" t="s">
        <v>252</v>
      </c>
      <c r="D128" s="35" t="s">
        <v>256</v>
      </c>
      <c r="E128" s="35" t="s">
        <v>38</v>
      </c>
      <c r="F128" s="35" t="s">
        <v>45</v>
      </c>
      <c r="G128" s="35" t="s">
        <v>46</v>
      </c>
      <c r="H128" s="36" t="s">
        <v>424</v>
      </c>
    </row>
    <row r="129" spans="1:8" x14ac:dyDescent="0.35">
      <c r="A129" s="34">
        <v>127</v>
      </c>
      <c r="B129" s="35" t="s">
        <v>421</v>
      </c>
      <c r="C129" s="35" t="s">
        <v>256</v>
      </c>
      <c r="D129" s="35" t="s">
        <v>257</v>
      </c>
      <c r="E129" s="35" t="s">
        <v>38</v>
      </c>
      <c r="F129" s="35" t="s">
        <v>45</v>
      </c>
      <c r="G129" s="35" t="s">
        <v>38</v>
      </c>
      <c r="H129" s="36" t="s">
        <v>425</v>
      </c>
    </row>
    <row r="130" spans="1:8" x14ac:dyDescent="0.35">
      <c r="A130" s="34">
        <v>128</v>
      </c>
      <c r="B130" s="35" t="s">
        <v>421</v>
      </c>
      <c r="C130" s="35" t="s">
        <v>426</v>
      </c>
      <c r="D130" s="35" t="s">
        <v>261</v>
      </c>
      <c r="E130" s="35" t="s">
        <v>38</v>
      </c>
      <c r="F130" s="35" t="s">
        <v>45</v>
      </c>
      <c r="G130" s="35" t="s">
        <v>9</v>
      </c>
      <c r="H130" s="36" t="s">
        <v>427</v>
      </c>
    </row>
    <row r="131" spans="1:8" ht="29" x14ac:dyDescent="0.35">
      <c r="A131" s="34">
        <v>129</v>
      </c>
      <c r="B131" s="35" t="s">
        <v>421</v>
      </c>
      <c r="C131" s="35" t="s">
        <v>154</v>
      </c>
      <c r="D131" s="35" t="s">
        <v>428</v>
      </c>
      <c r="E131" s="35" t="s">
        <v>38</v>
      </c>
      <c r="F131" s="35" t="s">
        <v>45</v>
      </c>
      <c r="G131" s="35" t="s">
        <v>44</v>
      </c>
      <c r="H131" s="36" t="s">
        <v>429</v>
      </c>
    </row>
    <row r="132" spans="1:8" x14ac:dyDescent="0.35">
      <c r="A132" s="34">
        <v>130</v>
      </c>
      <c r="B132" s="35" t="s">
        <v>421</v>
      </c>
      <c r="C132" s="35" t="s">
        <v>428</v>
      </c>
      <c r="D132" s="35" t="s">
        <v>430</v>
      </c>
      <c r="E132" s="35" t="s">
        <v>38</v>
      </c>
      <c r="F132" s="35" t="s">
        <v>39</v>
      </c>
      <c r="G132" s="35" t="s">
        <v>39</v>
      </c>
      <c r="H132" s="36" t="s">
        <v>431</v>
      </c>
    </row>
    <row r="133" spans="1:8" x14ac:dyDescent="0.35">
      <c r="A133" s="34">
        <v>131</v>
      </c>
      <c r="B133" s="35" t="s">
        <v>421</v>
      </c>
      <c r="C133" s="35" t="s">
        <v>432</v>
      </c>
      <c r="D133" s="35" t="s">
        <v>433</v>
      </c>
      <c r="E133" s="35" t="s">
        <v>38</v>
      </c>
      <c r="F133" s="35" t="s">
        <v>39</v>
      </c>
      <c r="G133" s="35" t="s">
        <v>41</v>
      </c>
      <c r="H133" s="36" t="s">
        <v>434</v>
      </c>
    </row>
    <row r="134" spans="1:8" x14ac:dyDescent="0.35">
      <c r="A134" s="34">
        <v>132</v>
      </c>
      <c r="B134" s="35" t="s">
        <v>421</v>
      </c>
      <c r="C134" s="35" t="s">
        <v>267</v>
      </c>
      <c r="D134" s="35" t="s">
        <v>435</v>
      </c>
      <c r="E134" s="35" t="s">
        <v>38</v>
      </c>
      <c r="F134" s="35" t="s">
        <v>39</v>
      </c>
      <c r="G134" s="35" t="s">
        <v>40</v>
      </c>
      <c r="H134" s="36" t="s">
        <v>436</v>
      </c>
    </row>
    <row r="135" spans="1:8" x14ac:dyDescent="0.35">
      <c r="A135" s="34">
        <v>133</v>
      </c>
      <c r="B135" s="35" t="s">
        <v>421</v>
      </c>
      <c r="C135" s="35" t="s">
        <v>435</v>
      </c>
      <c r="D135" s="35" t="s">
        <v>272</v>
      </c>
      <c r="E135" s="35" t="s">
        <v>38</v>
      </c>
      <c r="F135" s="35" t="s">
        <v>39</v>
      </c>
      <c r="G135" s="35" t="s">
        <v>43</v>
      </c>
      <c r="H135" s="36" t="s">
        <v>437</v>
      </c>
    </row>
    <row r="136" spans="1:8" x14ac:dyDescent="0.35">
      <c r="A136" s="34">
        <v>134</v>
      </c>
      <c r="B136" s="35" t="s">
        <v>421</v>
      </c>
      <c r="C136" s="35" t="s">
        <v>438</v>
      </c>
      <c r="D136" s="35" t="s">
        <v>274</v>
      </c>
      <c r="E136" s="35" t="s">
        <v>38</v>
      </c>
      <c r="F136" s="35" t="s">
        <v>39</v>
      </c>
      <c r="G136" s="35" t="s">
        <v>46</v>
      </c>
      <c r="H136" s="36" t="s">
        <v>439</v>
      </c>
    </row>
    <row r="137" spans="1:8" x14ac:dyDescent="0.35">
      <c r="A137" s="34">
        <v>135</v>
      </c>
      <c r="B137" s="35" t="s">
        <v>421</v>
      </c>
      <c r="C137" s="35" t="s">
        <v>274</v>
      </c>
      <c r="D137" s="35" t="s">
        <v>276</v>
      </c>
      <c r="E137" s="35" t="s">
        <v>38</v>
      </c>
      <c r="F137" s="35" t="s">
        <v>39</v>
      </c>
      <c r="G137" s="35" t="s">
        <v>38</v>
      </c>
      <c r="H137" s="36" t="s">
        <v>440</v>
      </c>
    </row>
    <row r="138" spans="1:8" x14ac:dyDescent="0.35">
      <c r="A138" s="34">
        <v>136</v>
      </c>
      <c r="B138" s="35" t="s">
        <v>421</v>
      </c>
      <c r="C138" s="35" t="s">
        <v>276</v>
      </c>
      <c r="D138" s="35" t="s">
        <v>441</v>
      </c>
      <c r="E138" s="35" t="s">
        <v>38</v>
      </c>
      <c r="F138" s="35" t="s">
        <v>39</v>
      </c>
      <c r="G138" s="35" t="s">
        <v>9</v>
      </c>
      <c r="H138" s="36" t="s">
        <v>442</v>
      </c>
    </row>
    <row r="139" spans="1:8" x14ac:dyDescent="0.35">
      <c r="A139" s="34">
        <v>137</v>
      </c>
      <c r="B139" s="35" t="s">
        <v>421</v>
      </c>
      <c r="C139" s="35" t="s">
        <v>443</v>
      </c>
      <c r="D139" s="35" t="s">
        <v>444</v>
      </c>
      <c r="E139" s="35" t="s">
        <v>38</v>
      </c>
      <c r="F139" s="35" t="s">
        <v>39</v>
      </c>
      <c r="G139" s="35" t="s">
        <v>44</v>
      </c>
      <c r="H139" s="36" t="s">
        <v>445</v>
      </c>
    </row>
    <row r="140" spans="1:8" x14ac:dyDescent="0.35">
      <c r="A140" s="34">
        <v>138</v>
      </c>
      <c r="B140" s="35" t="s">
        <v>421</v>
      </c>
      <c r="C140" s="35" t="s">
        <v>282</v>
      </c>
      <c r="D140" s="35" t="s">
        <v>446</v>
      </c>
      <c r="E140" s="35" t="s">
        <v>38</v>
      </c>
      <c r="F140" s="35" t="s">
        <v>39</v>
      </c>
      <c r="G140" s="35" t="s">
        <v>45</v>
      </c>
      <c r="H140" s="36" t="s">
        <v>447</v>
      </c>
    </row>
    <row r="141" spans="1:8" ht="29" x14ac:dyDescent="0.35">
      <c r="A141" s="34">
        <v>139</v>
      </c>
      <c r="B141" s="35" t="s">
        <v>421</v>
      </c>
      <c r="C141" s="35" t="s">
        <v>283</v>
      </c>
      <c r="D141" s="35" t="s">
        <v>285</v>
      </c>
      <c r="E141" s="35" t="s">
        <v>38</v>
      </c>
      <c r="F141" s="35" t="s">
        <v>41</v>
      </c>
      <c r="G141" s="35" t="s">
        <v>41</v>
      </c>
      <c r="H141" s="36" t="s">
        <v>448</v>
      </c>
    </row>
    <row r="142" spans="1:8" ht="29" x14ac:dyDescent="0.35">
      <c r="A142" s="34">
        <v>140</v>
      </c>
      <c r="B142" s="35" t="s">
        <v>421</v>
      </c>
      <c r="C142" s="35" t="s">
        <v>287</v>
      </c>
      <c r="D142" s="35" t="s">
        <v>290</v>
      </c>
      <c r="E142" s="35" t="s">
        <v>38</v>
      </c>
      <c r="F142" s="35" t="s">
        <v>41</v>
      </c>
      <c r="G142" s="35" t="s">
        <v>40</v>
      </c>
      <c r="H142" s="36" t="s">
        <v>449</v>
      </c>
    </row>
    <row r="143" spans="1:8" x14ac:dyDescent="0.35">
      <c r="A143" s="34">
        <v>141</v>
      </c>
      <c r="B143" s="35" t="s">
        <v>421</v>
      </c>
      <c r="C143" s="35" t="s">
        <v>290</v>
      </c>
      <c r="D143" s="35" t="s">
        <v>291</v>
      </c>
      <c r="E143" s="35" t="s">
        <v>38</v>
      </c>
      <c r="F143" s="35" t="s">
        <v>41</v>
      </c>
      <c r="G143" s="35" t="s">
        <v>43</v>
      </c>
      <c r="H143" s="36" t="s">
        <v>450</v>
      </c>
    </row>
    <row r="144" spans="1:8" x14ac:dyDescent="0.35">
      <c r="A144" s="34">
        <v>142</v>
      </c>
      <c r="B144" s="35" t="s">
        <v>421</v>
      </c>
      <c r="C144" s="35" t="s">
        <v>293</v>
      </c>
      <c r="D144" s="35" t="s">
        <v>451</v>
      </c>
      <c r="E144" s="35" t="s">
        <v>38</v>
      </c>
      <c r="F144" s="35" t="s">
        <v>41</v>
      </c>
      <c r="G144" s="35" t="s">
        <v>46</v>
      </c>
      <c r="H144" s="36" t="s">
        <v>452</v>
      </c>
    </row>
    <row r="145" spans="1:8" x14ac:dyDescent="0.35">
      <c r="A145" s="34">
        <v>143</v>
      </c>
      <c r="B145" s="35" t="s">
        <v>421</v>
      </c>
      <c r="C145" s="35" t="s">
        <v>451</v>
      </c>
      <c r="D145" s="35" t="s">
        <v>297</v>
      </c>
      <c r="E145" s="35" t="s">
        <v>38</v>
      </c>
      <c r="F145" s="35" t="s">
        <v>41</v>
      </c>
      <c r="G145" s="35" t="s">
        <v>38</v>
      </c>
      <c r="H145" s="36" t="s">
        <v>453</v>
      </c>
    </row>
    <row r="146" spans="1:8" ht="29" x14ac:dyDescent="0.35">
      <c r="A146" s="34">
        <v>144</v>
      </c>
      <c r="B146" s="35" t="s">
        <v>421</v>
      </c>
      <c r="C146" s="35" t="s">
        <v>297</v>
      </c>
      <c r="D146" s="35" t="s">
        <v>454</v>
      </c>
      <c r="E146" s="35" t="s">
        <v>38</v>
      </c>
      <c r="F146" s="35" t="s">
        <v>41</v>
      </c>
      <c r="G146" s="35" t="s">
        <v>9</v>
      </c>
      <c r="H146" s="36" t="s">
        <v>455</v>
      </c>
    </row>
    <row r="147" spans="1:8" x14ac:dyDescent="0.35">
      <c r="A147" s="34">
        <v>145</v>
      </c>
      <c r="B147" s="35" t="s">
        <v>421</v>
      </c>
      <c r="C147" s="35" t="s">
        <v>299</v>
      </c>
      <c r="D147" s="35" t="s">
        <v>197</v>
      </c>
      <c r="E147" s="35" t="s">
        <v>38</v>
      </c>
      <c r="F147" s="35" t="s">
        <v>41</v>
      </c>
      <c r="G147" s="35" t="s">
        <v>44</v>
      </c>
      <c r="H147" s="36" t="s">
        <v>456</v>
      </c>
    </row>
    <row r="148" spans="1:8" x14ac:dyDescent="0.35">
      <c r="A148" s="34">
        <v>146</v>
      </c>
      <c r="B148" s="35" t="s">
        <v>457</v>
      </c>
      <c r="C148" s="35" t="s">
        <v>143</v>
      </c>
      <c r="D148" s="35" t="s">
        <v>458</v>
      </c>
      <c r="E148" s="35" t="s">
        <v>45</v>
      </c>
      <c r="F148" s="35" t="s">
        <v>41</v>
      </c>
      <c r="G148" s="35" t="s">
        <v>44</v>
      </c>
      <c r="H148" s="36" t="s">
        <v>459</v>
      </c>
    </row>
    <row r="149" spans="1:8" x14ac:dyDescent="0.35">
      <c r="A149" s="34">
        <v>147</v>
      </c>
      <c r="B149" s="35" t="s">
        <v>457</v>
      </c>
      <c r="C149" s="35" t="s">
        <v>303</v>
      </c>
      <c r="D149" s="35" t="s">
        <v>305</v>
      </c>
      <c r="E149" s="35" t="s">
        <v>45</v>
      </c>
      <c r="F149" s="35" t="s">
        <v>41</v>
      </c>
      <c r="G149" s="35" t="s">
        <v>45</v>
      </c>
      <c r="H149" s="36" t="s">
        <v>460</v>
      </c>
    </row>
    <row r="150" spans="1:8" ht="29" x14ac:dyDescent="0.35">
      <c r="A150" s="34">
        <v>148</v>
      </c>
      <c r="B150" s="35" t="s">
        <v>457</v>
      </c>
      <c r="C150" s="35" t="s">
        <v>305</v>
      </c>
      <c r="D150" s="35" t="s">
        <v>461</v>
      </c>
      <c r="E150" s="35" t="s">
        <v>45</v>
      </c>
      <c r="F150" s="35" t="s">
        <v>41</v>
      </c>
      <c r="G150" s="35" t="s">
        <v>39</v>
      </c>
      <c r="H150" s="36" t="s">
        <v>462</v>
      </c>
    </row>
    <row r="151" spans="1:8" ht="29" x14ac:dyDescent="0.35">
      <c r="A151" s="34">
        <v>149</v>
      </c>
      <c r="B151" s="35" t="s">
        <v>457</v>
      </c>
      <c r="C151" s="35" t="s">
        <v>310</v>
      </c>
      <c r="D151" s="35" t="s">
        <v>463</v>
      </c>
      <c r="E151" s="35" t="s">
        <v>45</v>
      </c>
      <c r="F151" s="35" t="s">
        <v>40</v>
      </c>
      <c r="G151" s="35" t="s">
        <v>40</v>
      </c>
      <c r="H151" s="36" t="s">
        <v>464</v>
      </c>
    </row>
    <row r="152" spans="1:8" x14ac:dyDescent="0.35">
      <c r="A152" s="34">
        <v>150</v>
      </c>
      <c r="B152" s="35" t="s">
        <v>457</v>
      </c>
      <c r="C152" s="35" t="s">
        <v>311</v>
      </c>
      <c r="D152" s="35" t="s">
        <v>307</v>
      </c>
      <c r="E152" s="35" t="s">
        <v>45</v>
      </c>
      <c r="F152" s="35" t="s">
        <v>40</v>
      </c>
      <c r="G152" s="35" t="s">
        <v>43</v>
      </c>
      <c r="H152" s="36" t="s">
        <v>465</v>
      </c>
    </row>
    <row r="153" spans="1:8" ht="29" x14ac:dyDescent="0.35">
      <c r="A153" s="34">
        <v>151</v>
      </c>
      <c r="B153" s="35" t="s">
        <v>457</v>
      </c>
      <c r="C153" s="35" t="s">
        <v>307</v>
      </c>
      <c r="D153" s="35" t="s">
        <v>314</v>
      </c>
      <c r="E153" s="35" t="s">
        <v>45</v>
      </c>
      <c r="F153" s="35" t="s">
        <v>40</v>
      </c>
      <c r="G153" s="35" t="s">
        <v>46</v>
      </c>
      <c r="H153" s="36" t="s">
        <v>466</v>
      </c>
    </row>
    <row r="154" spans="1:8" ht="29" x14ac:dyDescent="0.35">
      <c r="A154" s="34">
        <v>152</v>
      </c>
      <c r="B154" s="35" t="s">
        <v>457</v>
      </c>
      <c r="C154" s="35" t="s">
        <v>314</v>
      </c>
      <c r="D154" s="35" t="s">
        <v>319</v>
      </c>
      <c r="E154" s="35" t="s">
        <v>45</v>
      </c>
      <c r="F154" s="35" t="s">
        <v>40</v>
      </c>
      <c r="G154" s="35" t="s">
        <v>38</v>
      </c>
      <c r="H154" s="36" t="s">
        <v>467</v>
      </c>
    </row>
    <row r="155" spans="1:8" ht="29" x14ac:dyDescent="0.35">
      <c r="A155" s="34">
        <v>153</v>
      </c>
      <c r="B155" s="35" t="s">
        <v>457</v>
      </c>
      <c r="C155" s="35" t="s">
        <v>319</v>
      </c>
      <c r="D155" s="35" t="s">
        <v>468</v>
      </c>
      <c r="E155" s="35" t="s">
        <v>45</v>
      </c>
      <c r="F155" s="35" t="s">
        <v>40</v>
      </c>
      <c r="G155" s="35" t="s">
        <v>9</v>
      </c>
      <c r="H155" s="36" t="s">
        <v>469</v>
      </c>
    </row>
    <row r="156" spans="1:8" ht="29" x14ac:dyDescent="0.35">
      <c r="A156" s="34">
        <v>154</v>
      </c>
      <c r="B156" s="35" t="s">
        <v>457</v>
      </c>
      <c r="C156" s="35" t="s">
        <v>470</v>
      </c>
      <c r="D156" s="35" t="s">
        <v>471</v>
      </c>
      <c r="E156" s="35" t="s">
        <v>45</v>
      </c>
      <c r="F156" s="35" t="s">
        <v>40</v>
      </c>
      <c r="G156" s="35" t="s">
        <v>44</v>
      </c>
      <c r="H156" s="36" t="s">
        <v>472</v>
      </c>
    </row>
    <row r="157" spans="1:8" ht="29" x14ac:dyDescent="0.35">
      <c r="A157" s="34">
        <v>155</v>
      </c>
      <c r="B157" s="35" t="s">
        <v>457</v>
      </c>
      <c r="C157" s="35" t="s">
        <v>473</v>
      </c>
      <c r="D157" s="35" t="s">
        <v>326</v>
      </c>
      <c r="E157" s="35" t="s">
        <v>45</v>
      </c>
      <c r="F157" s="35" t="s">
        <v>40</v>
      </c>
      <c r="G157" s="35" t="s">
        <v>45</v>
      </c>
      <c r="H157" s="36" t="s">
        <v>474</v>
      </c>
    </row>
    <row r="158" spans="1:8" ht="29" x14ac:dyDescent="0.35">
      <c r="A158" s="34">
        <v>156</v>
      </c>
      <c r="B158" s="35" t="s">
        <v>457</v>
      </c>
      <c r="C158" s="35" t="s">
        <v>328</v>
      </c>
      <c r="D158" s="35" t="s">
        <v>475</v>
      </c>
      <c r="E158" s="35" t="s">
        <v>45</v>
      </c>
      <c r="F158" s="35" t="s">
        <v>40</v>
      </c>
      <c r="G158" s="35" t="s">
        <v>39</v>
      </c>
      <c r="H158" s="36" t="s">
        <v>476</v>
      </c>
    </row>
    <row r="159" spans="1:8" x14ac:dyDescent="0.35">
      <c r="A159" s="34">
        <v>157</v>
      </c>
      <c r="B159" s="35" t="s">
        <v>457</v>
      </c>
      <c r="C159" s="35" t="s">
        <v>477</v>
      </c>
      <c r="D159" s="35" t="s">
        <v>331</v>
      </c>
      <c r="E159" s="35" t="s">
        <v>45</v>
      </c>
      <c r="F159" s="35" t="s">
        <v>40</v>
      </c>
      <c r="G159" s="35" t="s">
        <v>41</v>
      </c>
      <c r="H159" s="36" t="s">
        <v>478</v>
      </c>
    </row>
    <row r="160" spans="1:8" x14ac:dyDescent="0.35">
      <c r="A160" s="34">
        <v>158</v>
      </c>
      <c r="B160" s="35" t="s">
        <v>457</v>
      </c>
      <c r="C160" s="35" t="s">
        <v>331</v>
      </c>
      <c r="D160" s="35" t="s">
        <v>479</v>
      </c>
      <c r="E160" s="35" t="s">
        <v>45</v>
      </c>
      <c r="F160" s="35" t="s">
        <v>43</v>
      </c>
      <c r="G160" s="35" t="s">
        <v>43</v>
      </c>
      <c r="H160" s="36" t="s">
        <v>480</v>
      </c>
    </row>
    <row r="161" spans="1:8" x14ac:dyDescent="0.35">
      <c r="A161" s="34">
        <v>159</v>
      </c>
      <c r="B161" s="35" t="s">
        <v>457</v>
      </c>
      <c r="C161" s="35" t="s">
        <v>481</v>
      </c>
      <c r="D161" s="35" t="s">
        <v>482</v>
      </c>
      <c r="E161" s="35" t="s">
        <v>45</v>
      </c>
      <c r="F161" s="35" t="s">
        <v>43</v>
      </c>
      <c r="G161" s="35" t="s">
        <v>46</v>
      </c>
      <c r="H161" s="36" t="s">
        <v>483</v>
      </c>
    </row>
    <row r="162" spans="1:8" ht="29" x14ac:dyDescent="0.35">
      <c r="A162" s="34">
        <v>160</v>
      </c>
      <c r="B162" s="35" t="s">
        <v>457</v>
      </c>
      <c r="C162" s="35" t="s">
        <v>482</v>
      </c>
      <c r="D162" s="35" t="s">
        <v>339</v>
      </c>
      <c r="E162" s="35" t="s">
        <v>45</v>
      </c>
      <c r="F162" s="35" t="s">
        <v>43</v>
      </c>
      <c r="G162" s="35" t="s">
        <v>38</v>
      </c>
      <c r="H162" s="36" t="s">
        <v>484</v>
      </c>
    </row>
    <row r="163" spans="1:8" x14ac:dyDescent="0.35">
      <c r="A163" s="34">
        <v>161</v>
      </c>
      <c r="B163" s="35" t="s">
        <v>457</v>
      </c>
      <c r="C163" s="35" t="s">
        <v>485</v>
      </c>
      <c r="D163" s="35" t="s">
        <v>341</v>
      </c>
      <c r="E163" s="35" t="s">
        <v>45</v>
      </c>
      <c r="F163" s="35" t="s">
        <v>43</v>
      </c>
      <c r="G163" s="35" t="s">
        <v>9</v>
      </c>
      <c r="H163" s="36" t="s">
        <v>486</v>
      </c>
    </row>
    <row r="164" spans="1:8" x14ac:dyDescent="0.35">
      <c r="A164" s="34">
        <v>162</v>
      </c>
      <c r="B164" s="35" t="s">
        <v>457</v>
      </c>
      <c r="C164" s="35" t="s">
        <v>341</v>
      </c>
      <c r="D164" s="35" t="s">
        <v>238</v>
      </c>
      <c r="E164" s="35" t="s">
        <v>45</v>
      </c>
      <c r="F164" s="35" t="s">
        <v>43</v>
      </c>
      <c r="G164" s="35" t="s">
        <v>44</v>
      </c>
      <c r="H164" s="36" t="s">
        <v>487</v>
      </c>
    </row>
    <row r="165" spans="1:8" ht="29" x14ac:dyDescent="0.35">
      <c r="A165" s="34">
        <v>163</v>
      </c>
      <c r="B165" s="35" t="s">
        <v>457</v>
      </c>
      <c r="C165" s="35" t="s">
        <v>411</v>
      </c>
      <c r="D165" s="35" t="s">
        <v>242</v>
      </c>
      <c r="E165" s="35" t="s">
        <v>45</v>
      </c>
      <c r="F165" s="35" t="s">
        <v>43</v>
      </c>
      <c r="G165" s="35" t="s">
        <v>45</v>
      </c>
      <c r="H165" s="36" t="s">
        <v>488</v>
      </c>
    </row>
    <row r="166" spans="1:8" ht="29" x14ac:dyDescent="0.35">
      <c r="A166" s="34">
        <v>164</v>
      </c>
      <c r="B166" s="35" t="s">
        <v>457</v>
      </c>
      <c r="C166" s="35" t="s">
        <v>242</v>
      </c>
      <c r="D166" s="35" t="s">
        <v>245</v>
      </c>
      <c r="E166" s="35" t="s">
        <v>45</v>
      </c>
      <c r="F166" s="35" t="s">
        <v>43</v>
      </c>
      <c r="G166" s="35" t="s">
        <v>39</v>
      </c>
      <c r="H166" s="36" t="s">
        <v>489</v>
      </c>
    </row>
    <row r="167" spans="1:8" ht="29" x14ac:dyDescent="0.35">
      <c r="A167" s="34">
        <v>165</v>
      </c>
      <c r="B167" s="35" t="s">
        <v>457</v>
      </c>
      <c r="C167" s="35" t="s">
        <v>243</v>
      </c>
      <c r="D167" s="35" t="s">
        <v>248</v>
      </c>
      <c r="E167" s="35" t="s">
        <v>45</v>
      </c>
      <c r="F167" s="35" t="s">
        <v>43</v>
      </c>
      <c r="G167" s="35" t="s">
        <v>41</v>
      </c>
      <c r="H167" s="36" t="s">
        <v>490</v>
      </c>
    </row>
    <row r="168" spans="1:8" x14ac:dyDescent="0.35">
      <c r="A168" s="34">
        <v>166</v>
      </c>
      <c r="B168" s="35" t="s">
        <v>457</v>
      </c>
      <c r="C168" s="35" t="s">
        <v>248</v>
      </c>
      <c r="D168" s="35" t="s">
        <v>197</v>
      </c>
      <c r="E168" s="35" t="s">
        <v>45</v>
      </c>
      <c r="F168" s="35" t="s">
        <v>43</v>
      </c>
      <c r="G168" s="35" t="s">
        <v>40</v>
      </c>
      <c r="H168" s="36" t="s">
        <v>491</v>
      </c>
    </row>
    <row r="169" spans="1:8" ht="29" x14ac:dyDescent="0.35">
      <c r="A169" s="34">
        <v>167</v>
      </c>
      <c r="B169" s="35" t="s">
        <v>492</v>
      </c>
      <c r="C169" s="35" t="s">
        <v>143</v>
      </c>
      <c r="D169" s="35" t="s">
        <v>493</v>
      </c>
      <c r="E169" s="35" t="s">
        <v>41</v>
      </c>
      <c r="F169" s="35" t="s">
        <v>46</v>
      </c>
      <c r="G169" s="35" t="s">
        <v>46</v>
      </c>
      <c r="H169" s="36" t="s">
        <v>494</v>
      </c>
    </row>
    <row r="170" spans="1:8" x14ac:dyDescent="0.35">
      <c r="A170" s="34">
        <v>168</v>
      </c>
      <c r="B170" s="35" t="s">
        <v>492</v>
      </c>
      <c r="C170" s="35" t="s">
        <v>495</v>
      </c>
      <c r="D170" s="35" t="s">
        <v>148</v>
      </c>
      <c r="E170" s="35" t="s">
        <v>41</v>
      </c>
      <c r="F170" s="35" t="s">
        <v>46</v>
      </c>
      <c r="G170" s="35" t="s">
        <v>38</v>
      </c>
      <c r="H170" s="36" t="s">
        <v>496</v>
      </c>
    </row>
    <row r="171" spans="1:8" x14ac:dyDescent="0.35">
      <c r="A171" s="34">
        <v>169</v>
      </c>
      <c r="B171" s="35" t="s">
        <v>492</v>
      </c>
      <c r="C171" s="35" t="s">
        <v>146</v>
      </c>
      <c r="D171" s="35" t="s">
        <v>354</v>
      </c>
      <c r="E171" s="35" t="s">
        <v>41</v>
      </c>
      <c r="F171" s="35" t="s">
        <v>46</v>
      </c>
      <c r="G171" s="35" t="s">
        <v>9</v>
      </c>
      <c r="H171" s="36" t="s">
        <v>497</v>
      </c>
    </row>
    <row r="172" spans="1:8" ht="29" x14ac:dyDescent="0.35">
      <c r="A172" s="34">
        <v>170</v>
      </c>
      <c r="B172" s="35" t="s">
        <v>492</v>
      </c>
      <c r="C172" s="35" t="s">
        <v>498</v>
      </c>
      <c r="D172" s="35" t="s">
        <v>151</v>
      </c>
      <c r="E172" s="35" t="s">
        <v>41</v>
      </c>
      <c r="F172" s="35" t="s">
        <v>46</v>
      </c>
      <c r="G172" s="35" t="s">
        <v>44</v>
      </c>
      <c r="H172" s="36" t="s">
        <v>499</v>
      </c>
    </row>
    <row r="173" spans="1:8" x14ac:dyDescent="0.35">
      <c r="A173" s="34">
        <v>171</v>
      </c>
      <c r="B173" s="35" t="s">
        <v>492</v>
      </c>
      <c r="C173" s="35" t="s">
        <v>500</v>
      </c>
      <c r="D173" s="35" t="s">
        <v>501</v>
      </c>
      <c r="E173" s="35" t="s">
        <v>41</v>
      </c>
      <c r="F173" s="35" t="s">
        <v>46</v>
      </c>
      <c r="G173" s="35" t="s">
        <v>45</v>
      </c>
      <c r="H173" s="36" t="s">
        <v>502</v>
      </c>
    </row>
    <row r="174" spans="1:8" x14ac:dyDescent="0.35">
      <c r="A174" s="34">
        <v>172</v>
      </c>
      <c r="B174" s="35" t="s">
        <v>492</v>
      </c>
      <c r="C174" s="35" t="s">
        <v>503</v>
      </c>
      <c r="D174" s="35" t="s">
        <v>158</v>
      </c>
      <c r="E174" s="35" t="s">
        <v>41</v>
      </c>
      <c r="F174" s="35" t="s">
        <v>46</v>
      </c>
      <c r="G174" s="35" t="s">
        <v>39</v>
      </c>
      <c r="H174" s="36" t="s">
        <v>504</v>
      </c>
    </row>
    <row r="175" spans="1:8" x14ac:dyDescent="0.35">
      <c r="A175" s="34">
        <v>173</v>
      </c>
      <c r="B175" s="35" t="s">
        <v>492</v>
      </c>
      <c r="C175" s="35" t="s">
        <v>156</v>
      </c>
      <c r="D175" s="35" t="s">
        <v>159</v>
      </c>
      <c r="E175" s="35" t="s">
        <v>41</v>
      </c>
      <c r="F175" s="35" t="s">
        <v>46</v>
      </c>
      <c r="G175" s="35" t="s">
        <v>41</v>
      </c>
      <c r="H175" s="36" t="s">
        <v>505</v>
      </c>
    </row>
    <row r="176" spans="1:8" x14ac:dyDescent="0.35">
      <c r="A176" s="34">
        <v>174</v>
      </c>
      <c r="B176" s="35" t="s">
        <v>492</v>
      </c>
      <c r="C176" s="35" t="s">
        <v>159</v>
      </c>
      <c r="D176" s="35" t="s">
        <v>162</v>
      </c>
      <c r="E176" s="35" t="s">
        <v>41</v>
      </c>
      <c r="F176" s="35" t="s">
        <v>46</v>
      </c>
      <c r="G176" s="35" t="s">
        <v>40</v>
      </c>
      <c r="H176" s="36" t="s">
        <v>506</v>
      </c>
    </row>
    <row r="177" spans="1:8" x14ac:dyDescent="0.35">
      <c r="A177" s="34">
        <v>175</v>
      </c>
      <c r="B177" s="35" t="s">
        <v>492</v>
      </c>
      <c r="C177" s="35" t="s">
        <v>162</v>
      </c>
      <c r="D177" s="35" t="s">
        <v>507</v>
      </c>
      <c r="E177" s="35" t="s">
        <v>41</v>
      </c>
      <c r="F177" s="35" t="s">
        <v>46</v>
      </c>
      <c r="G177" s="35" t="s">
        <v>43</v>
      </c>
      <c r="H177" s="36" t="s">
        <v>508</v>
      </c>
    </row>
    <row r="178" spans="1:8" x14ac:dyDescent="0.35">
      <c r="A178" s="34">
        <v>176</v>
      </c>
      <c r="B178" s="35" t="s">
        <v>492</v>
      </c>
      <c r="C178" s="35" t="s">
        <v>165</v>
      </c>
      <c r="D178" s="35" t="s">
        <v>168</v>
      </c>
      <c r="E178" s="35" t="s">
        <v>41</v>
      </c>
      <c r="F178" s="35" t="s">
        <v>38</v>
      </c>
      <c r="G178" s="35" t="s">
        <v>38</v>
      </c>
      <c r="H178" s="36" t="s">
        <v>509</v>
      </c>
    </row>
    <row r="179" spans="1:8" x14ac:dyDescent="0.35">
      <c r="A179" s="34">
        <v>177</v>
      </c>
      <c r="B179" s="35" t="s">
        <v>492</v>
      </c>
      <c r="C179" s="35" t="s">
        <v>168</v>
      </c>
      <c r="D179" s="35" t="s">
        <v>173</v>
      </c>
      <c r="E179" s="35" t="s">
        <v>41</v>
      </c>
      <c r="F179" s="35" t="s">
        <v>38</v>
      </c>
      <c r="G179" s="35" t="s">
        <v>9</v>
      </c>
      <c r="H179" s="36" t="s">
        <v>510</v>
      </c>
    </row>
    <row r="180" spans="1:8" ht="29" x14ac:dyDescent="0.35">
      <c r="A180" s="34">
        <v>178</v>
      </c>
      <c r="B180" s="35" t="s">
        <v>492</v>
      </c>
      <c r="C180" s="35" t="s">
        <v>173</v>
      </c>
      <c r="D180" s="35" t="s">
        <v>368</v>
      </c>
      <c r="E180" s="35" t="s">
        <v>41</v>
      </c>
      <c r="F180" s="35" t="s">
        <v>38</v>
      </c>
      <c r="G180" s="35" t="s">
        <v>44</v>
      </c>
      <c r="H180" s="36" t="s">
        <v>511</v>
      </c>
    </row>
    <row r="181" spans="1:8" x14ac:dyDescent="0.35">
      <c r="A181" s="34">
        <v>179</v>
      </c>
      <c r="B181" s="35" t="s">
        <v>492</v>
      </c>
      <c r="C181" s="35" t="s">
        <v>368</v>
      </c>
      <c r="D181" s="35" t="s">
        <v>441</v>
      </c>
      <c r="E181" s="35" t="s">
        <v>41</v>
      </c>
      <c r="F181" s="35" t="s">
        <v>38</v>
      </c>
      <c r="G181" s="35" t="s">
        <v>45</v>
      </c>
      <c r="H181" s="36" t="s">
        <v>512</v>
      </c>
    </row>
    <row r="182" spans="1:8" ht="29" x14ac:dyDescent="0.35">
      <c r="A182" s="34">
        <v>180</v>
      </c>
      <c r="B182" s="35" t="s">
        <v>492</v>
      </c>
      <c r="C182" s="35" t="s">
        <v>177</v>
      </c>
      <c r="D182" s="35" t="s">
        <v>513</v>
      </c>
      <c r="E182" s="35" t="s">
        <v>41</v>
      </c>
      <c r="F182" s="35" t="s">
        <v>38</v>
      </c>
      <c r="G182" s="35" t="s">
        <v>39</v>
      </c>
      <c r="H182" s="36" t="s">
        <v>514</v>
      </c>
    </row>
    <row r="183" spans="1:8" ht="29" x14ac:dyDescent="0.35">
      <c r="A183" s="34">
        <v>181</v>
      </c>
      <c r="B183" s="35" t="s">
        <v>492</v>
      </c>
      <c r="C183" s="35" t="s">
        <v>179</v>
      </c>
      <c r="D183" s="35" t="s">
        <v>515</v>
      </c>
      <c r="E183" s="35" t="s">
        <v>41</v>
      </c>
      <c r="F183" s="35" t="s">
        <v>38</v>
      </c>
      <c r="G183" s="35" t="s">
        <v>41</v>
      </c>
      <c r="H183" s="36" t="s">
        <v>516</v>
      </c>
    </row>
    <row r="184" spans="1:8" ht="29" x14ac:dyDescent="0.35">
      <c r="A184" s="34">
        <v>182</v>
      </c>
      <c r="B184" s="35" t="s">
        <v>492</v>
      </c>
      <c r="C184" s="35" t="s">
        <v>182</v>
      </c>
      <c r="D184" s="35" t="s">
        <v>517</v>
      </c>
      <c r="E184" s="35" t="s">
        <v>41</v>
      </c>
      <c r="F184" s="35" t="s">
        <v>38</v>
      </c>
      <c r="G184" s="35" t="s">
        <v>40</v>
      </c>
      <c r="H184" s="36" t="s">
        <v>518</v>
      </c>
    </row>
    <row r="185" spans="1:8" x14ac:dyDescent="0.35">
      <c r="A185" s="34">
        <v>183</v>
      </c>
      <c r="B185" s="35" t="s">
        <v>492</v>
      </c>
      <c r="C185" s="35" t="s">
        <v>374</v>
      </c>
      <c r="D185" s="35" t="s">
        <v>186</v>
      </c>
      <c r="E185" s="35" t="s">
        <v>41</v>
      </c>
      <c r="F185" s="35" t="s">
        <v>38</v>
      </c>
      <c r="G185" s="35" t="s">
        <v>43</v>
      </c>
      <c r="H185" s="36" t="s">
        <v>519</v>
      </c>
    </row>
    <row r="186" spans="1:8" x14ac:dyDescent="0.35">
      <c r="A186" s="34">
        <v>184</v>
      </c>
      <c r="B186" s="35" t="s">
        <v>492</v>
      </c>
      <c r="C186" s="35" t="s">
        <v>520</v>
      </c>
      <c r="D186" s="35" t="s">
        <v>190</v>
      </c>
      <c r="E186" s="35" t="s">
        <v>41</v>
      </c>
      <c r="F186" s="35" t="s">
        <v>38</v>
      </c>
      <c r="G186" s="35" t="s">
        <v>46</v>
      </c>
      <c r="H186" s="36" t="s">
        <v>521</v>
      </c>
    </row>
    <row r="187" spans="1:8" x14ac:dyDescent="0.35">
      <c r="A187" s="34">
        <v>185</v>
      </c>
      <c r="B187" s="35" t="s">
        <v>492</v>
      </c>
      <c r="C187" s="35" t="s">
        <v>522</v>
      </c>
      <c r="D187" s="35" t="s">
        <v>191</v>
      </c>
      <c r="E187" s="35" t="s">
        <v>41</v>
      </c>
      <c r="F187" s="35" t="s">
        <v>9</v>
      </c>
      <c r="G187" s="35" t="s">
        <v>9</v>
      </c>
      <c r="H187" s="36" t="s">
        <v>523</v>
      </c>
    </row>
    <row r="188" spans="1:8" x14ac:dyDescent="0.35">
      <c r="A188" s="34">
        <v>186</v>
      </c>
      <c r="B188" s="35" t="s">
        <v>492</v>
      </c>
      <c r="C188" s="35" t="s">
        <v>379</v>
      </c>
      <c r="D188" s="35" t="s">
        <v>380</v>
      </c>
      <c r="E188" s="35" t="s">
        <v>41</v>
      </c>
      <c r="F188" s="35" t="s">
        <v>9</v>
      </c>
      <c r="G188" s="35" t="s">
        <v>44</v>
      </c>
      <c r="H188" s="36" t="s">
        <v>524</v>
      </c>
    </row>
    <row r="189" spans="1:8" ht="29" x14ac:dyDescent="0.35">
      <c r="A189" s="34">
        <v>187</v>
      </c>
      <c r="B189" s="35" t="s">
        <v>492</v>
      </c>
      <c r="C189" s="35" t="s">
        <v>525</v>
      </c>
      <c r="D189" s="35" t="s">
        <v>382</v>
      </c>
      <c r="E189" s="35" t="s">
        <v>41</v>
      </c>
      <c r="F189" s="35" t="s">
        <v>9</v>
      </c>
      <c r="G189" s="35" t="s">
        <v>45</v>
      </c>
      <c r="H189" s="36" t="s">
        <v>526</v>
      </c>
    </row>
    <row r="190" spans="1:8" ht="29" x14ac:dyDescent="0.35">
      <c r="A190" s="34">
        <v>188</v>
      </c>
      <c r="B190" s="35" t="s">
        <v>492</v>
      </c>
      <c r="C190" s="35" t="s">
        <v>527</v>
      </c>
      <c r="D190" s="35" t="s">
        <v>197</v>
      </c>
      <c r="E190" s="35" t="s">
        <v>41</v>
      </c>
      <c r="F190" s="35" t="s">
        <v>9</v>
      </c>
      <c r="G190" s="35" t="s">
        <v>39</v>
      </c>
      <c r="H190" s="36" t="s">
        <v>528</v>
      </c>
    </row>
    <row r="191" spans="1:8" ht="29" x14ac:dyDescent="0.35">
      <c r="A191" s="34">
        <v>189</v>
      </c>
      <c r="B191" s="35" t="s">
        <v>529</v>
      </c>
      <c r="C191" s="35" t="s">
        <v>143</v>
      </c>
      <c r="D191" s="35" t="s">
        <v>391</v>
      </c>
      <c r="E191" s="35" t="s">
        <v>40</v>
      </c>
      <c r="F191" s="35" t="s">
        <v>9</v>
      </c>
      <c r="G191" s="35" t="s">
        <v>39</v>
      </c>
      <c r="H191" s="36" t="s">
        <v>530</v>
      </c>
    </row>
    <row r="192" spans="1:8" x14ac:dyDescent="0.35">
      <c r="A192" s="34">
        <v>190</v>
      </c>
      <c r="B192" s="35" t="s">
        <v>529</v>
      </c>
      <c r="C192" s="35" t="s">
        <v>391</v>
      </c>
      <c r="D192" s="35" t="s">
        <v>148</v>
      </c>
      <c r="E192" s="35" t="s">
        <v>40</v>
      </c>
      <c r="F192" s="35" t="s">
        <v>9</v>
      </c>
      <c r="G192" s="35" t="s">
        <v>41</v>
      </c>
      <c r="H192" s="36" t="s">
        <v>531</v>
      </c>
    </row>
    <row r="193" spans="1:8" ht="58" x14ac:dyDescent="0.35">
      <c r="A193" s="34">
        <v>191</v>
      </c>
      <c r="B193" s="35" t="s">
        <v>529</v>
      </c>
      <c r="C193" s="35" t="s">
        <v>146</v>
      </c>
      <c r="D193" s="35" t="s">
        <v>206</v>
      </c>
      <c r="E193" s="35" t="s">
        <v>40</v>
      </c>
      <c r="F193" s="35" t="s">
        <v>9</v>
      </c>
      <c r="G193" s="35" t="s">
        <v>40</v>
      </c>
      <c r="H193" s="36" t="s">
        <v>532</v>
      </c>
    </row>
    <row r="194" spans="1:8" ht="29" x14ac:dyDescent="0.35">
      <c r="A194" s="34">
        <v>192</v>
      </c>
      <c r="B194" s="35" t="s">
        <v>529</v>
      </c>
      <c r="C194" s="35" t="s">
        <v>206</v>
      </c>
      <c r="D194" s="35" t="s">
        <v>533</v>
      </c>
      <c r="E194" s="35" t="s">
        <v>40</v>
      </c>
      <c r="F194" s="35" t="s">
        <v>9</v>
      </c>
      <c r="G194" s="35" t="s">
        <v>43</v>
      </c>
      <c r="H194" s="36" t="s">
        <v>534</v>
      </c>
    </row>
    <row r="195" spans="1:8" ht="29" x14ac:dyDescent="0.35">
      <c r="A195" s="34">
        <v>193</v>
      </c>
      <c r="B195" s="35" t="s">
        <v>529</v>
      </c>
      <c r="C195" s="35" t="s">
        <v>207</v>
      </c>
      <c r="D195" s="35" t="s">
        <v>397</v>
      </c>
      <c r="E195" s="35" t="s">
        <v>40</v>
      </c>
      <c r="F195" s="35" t="s">
        <v>9</v>
      </c>
      <c r="G195" s="35" t="s">
        <v>46</v>
      </c>
      <c r="H195" s="36" t="s">
        <v>535</v>
      </c>
    </row>
    <row r="196" spans="1:8" x14ac:dyDescent="0.35">
      <c r="A196" s="34">
        <v>194</v>
      </c>
      <c r="B196" s="35" t="s">
        <v>529</v>
      </c>
      <c r="C196" s="35" t="s">
        <v>395</v>
      </c>
      <c r="D196" s="35" t="s">
        <v>212</v>
      </c>
      <c r="E196" s="35" t="s">
        <v>40</v>
      </c>
      <c r="F196" s="35" t="s">
        <v>9</v>
      </c>
      <c r="G196" s="35" t="s">
        <v>38</v>
      </c>
      <c r="H196" s="36" t="s">
        <v>536</v>
      </c>
    </row>
    <row r="197" spans="1:8" ht="43.5" x14ac:dyDescent="0.35">
      <c r="A197" s="34">
        <v>195</v>
      </c>
      <c r="B197" s="35" t="s">
        <v>529</v>
      </c>
      <c r="C197" s="35" t="s">
        <v>212</v>
      </c>
      <c r="D197" s="35" t="s">
        <v>401</v>
      </c>
      <c r="E197" s="35" t="s">
        <v>40</v>
      </c>
      <c r="F197" s="35" t="s">
        <v>44</v>
      </c>
      <c r="G197" s="35" t="s">
        <v>44</v>
      </c>
      <c r="H197" s="36" t="s">
        <v>537</v>
      </c>
    </row>
    <row r="198" spans="1:8" ht="43.5" x14ac:dyDescent="0.35">
      <c r="A198" s="34">
        <v>196</v>
      </c>
      <c r="B198" s="35" t="s">
        <v>529</v>
      </c>
      <c r="C198" s="35" t="s">
        <v>216</v>
      </c>
      <c r="D198" s="35" t="s">
        <v>219</v>
      </c>
      <c r="E198" s="35" t="s">
        <v>40</v>
      </c>
      <c r="F198" s="35" t="s">
        <v>44</v>
      </c>
      <c r="G198" s="35" t="s">
        <v>45</v>
      </c>
      <c r="H198" s="36" t="s">
        <v>538</v>
      </c>
    </row>
    <row r="199" spans="1:8" x14ac:dyDescent="0.35">
      <c r="A199" s="34">
        <v>197</v>
      </c>
      <c r="B199" s="35" t="s">
        <v>529</v>
      </c>
      <c r="C199" s="35" t="s">
        <v>539</v>
      </c>
      <c r="D199" s="35" t="s">
        <v>222</v>
      </c>
      <c r="E199" s="35" t="s">
        <v>40</v>
      </c>
      <c r="F199" s="35" t="s">
        <v>44</v>
      </c>
      <c r="G199" s="35" t="s">
        <v>39</v>
      </c>
      <c r="H199" s="36" t="s">
        <v>540</v>
      </c>
    </row>
    <row r="200" spans="1:8" x14ac:dyDescent="0.35">
      <c r="A200" s="34">
        <v>198</v>
      </c>
      <c r="B200" s="35" t="s">
        <v>529</v>
      </c>
      <c r="C200" s="35" t="s">
        <v>220</v>
      </c>
      <c r="D200" s="35" t="s">
        <v>225</v>
      </c>
      <c r="E200" s="35" t="s">
        <v>40</v>
      </c>
      <c r="F200" s="35" t="s">
        <v>44</v>
      </c>
      <c r="G200" s="35" t="s">
        <v>41</v>
      </c>
      <c r="H200" s="36" t="s">
        <v>541</v>
      </c>
    </row>
    <row r="201" spans="1:8" ht="29" x14ac:dyDescent="0.35">
      <c r="A201" s="34"/>
      <c r="B201" s="35"/>
      <c r="C201" s="35"/>
      <c r="D201" s="35"/>
      <c r="E201" s="35"/>
      <c r="F201" s="35"/>
      <c r="G201" s="35"/>
      <c r="H201" s="36" t="s">
        <v>542</v>
      </c>
    </row>
    <row r="202" spans="1:8" ht="29" x14ac:dyDescent="0.35">
      <c r="A202" s="34">
        <v>199</v>
      </c>
      <c r="B202" s="35" t="s">
        <v>529</v>
      </c>
      <c r="C202" s="35" t="s">
        <v>543</v>
      </c>
      <c r="D202" s="35" t="s">
        <v>228</v>
      </c>
      <c r="E202" s="35" t="s">
        <v>40</v>
      </c>
      <c r="F202" s="35" t="s">
        <v>44</v>
      </c>
      <c r="G202" s="35" t="s">
        <v>40</v>
      </c>
      <c r="H202" s="36" t="s">
        <v>544</v>
      </c>
    </row>
    <row r="203" spans="1:8" ht="29" x14ac:dyDescent="0.35">
      <c r="A203" s="34">
        <v>200</v>
      </c>
      <c r="B203" s="35" t="s">
        <v>529</v>
      </c>
      <c r="C203" s="35" t="s">
        <v>545</v>
      </c>
      <c r="D203" s="35" t="s">
        <v>546</v>
      </c>
      <c r="E203" s="35" t="s">
        <v>40</v>
      </c>
      <c r="F203" s="35" t="s">
        <v>44</v>
      </c>
      <c r="G203" s="35" t="s">
        <v>43</v>
      </c>
      <c r="H203" s="36" t="s">
        <v>547</v>
      </c>
    </row>
    <row r="204" spans="1:8" ht="29" x14ac:dyDescent="0.35">
      <c r="A204" s="34">
        <v>201</v>
      </c>
      <c r="B204" s="35" t="s">
        <v>529</v>
      </c>
      <c r="C204" s="35" t="s">
        <v>548</v>
      </c>
      <c r="D204" s="35" t="s">
        <v>549</v>
      </c>
      <c r="E204" s="35" t="s">
        <v>40</v>
      </c>
      <c r="F204" s="35" t="s">
        <v>44</v>
      </c>
      <c r="G204" s="35" t="s">
        <v>46</v>
      </c>
      <c r="H204" s="36" t="s">
        <v>547</v>
      </c>
    </row>
    <row r="205" spans="1:8" x14ac:dyDescent="0.35">
      <c r="A205" s="34">
        <v>202</v>
      </c>
      <c r="B205" s="35" t="s">
        <v>529</v>
      </c>
      <c r="C205" s="35" t="s">
        <v>549</v>
      </c>
      <c r="D205" s="35" t="s">
        <v>550</v>
      </c>
      <c r="E205" s="35" t="s">
        <v>40</v>
      </c>
      <c r="F205" s="35" t="s">
        <v>44</v>
      </c>
      <c r="G205" s="35" t="s">
        <v>38</v>
      </c>
      <c r="H205" s="36" t="s">
        <v>551</v>
      </c>
    </row>
    <row r="206" spans="1:8" ht="29" x14ac:dyDescent="0.35">
      <c r="A206" s="34">
        <v>203</v>
      </c>
      <c r="B206" s="35" t="s">
        <v>529</v>
      </c>
      <c r="C206" s="35" t="s">
        <v>235</v>
      </c>
      <c r="D206" s="35" t="s">
        <v>411</v>
      </c>
      <c r="E206" s="35" t="s">
        <v>40</v>
      </c>
      <c r="F206" s="35" t="s">
        <v>44</v>
      </c>
      <c r="G206" s="35" t="s">
        <v>9</v>
      </c>
      <c r="H206" s="36" t="s">
        <v>552</v>
      </c>
    </row>
    <row r="207" spans="1:8" ht="29" x14ac:dyDescent="0.35">
      <c r="A207" s="34">
        <v>204</v>
      </c>
      <c r="B207" s="35" t="s">
        <v>529</v>
      </c>
      <c r="C207" s="35" t="s">
        <v>238</v>
      </c>
      <c r="D207" s="35" t="s">
        <v>345</v>
      </c>
      <c r="E207" s="35" t="s">
        <v>40</v>
      </c>
      <c r="F207" s="35" t="s">
        <v>45</v>
      </c>
      <c r="G207" s="35" t="s">
        <v>45</v>
      </c>
      <c r="H207" s="36" t="s">
        <v>553</v>
      </c>
    </row>
    <row r="208" spans="1:8" ht="29" x14ac:dyDescent="0.35">
      <c r="A208" s="34">
        <v>205</v>
      </c>
      <c r="B208" s="35" t="s">
        <v>529</v>
      </c>
      <c r="C208" s="35" t="s">
        <v>242</v>
      </c>
      <c r="D208" s="35" t="s">
        <v>243</v>
      </c>
      <c r="E208" s="35" t="s">
        <v>40</v>
      </c>
      <c r="F208" s="35" t="s">
        <v>45</v>
      </c>
      <c r="G208" s="35" t="s">
        <v>39</v>
      </c>
      <c r="H208" s="36" t="s">
        <v>554</v>
      </c>
    </row>
    <row r="209" spans="1:8" x14ac:dyDescent="0.35">
      <c r="A209" s="34">
        <v>206</v>
      </c>
      <c r="B209" s="35" t="s">
        <v>529</v>
      </c>
      <c r="C209" s="35" t="s">
        <v>245</v>
      </c>
      <c r="D209" s="35" t="s">
        <v>248</v>
      </c>
      <c r="E209" s="35" t="s">
        <v>40</v>
      </c>
      <c r="F209" s="35" t="s">
        <v>45</v>
      </c>
      <c r="G209" s="35" t="s">
        <v>41</v>
      </c>
      <c r="H209" s="36" t="s">
        <v>555</v>
      </c>
    </row>
    <row r="210" spans="1:8" ht="29" x14ac:dyDescent="0.35">
      <c r="A210" s="34">
        <v>207</v>
      </c>
      <c r="B210" s="35" t="s">
        <v>529</v>
      </c>
      <c r="C210" s="35" t="s">
        <v>248</v>
      </c>
      <c r="D210" s="35" t="s">
        <v>197</v>
      </c>
      <c r="E210" s="35" t="s">
        <v>40</v>
      </c>
      <c r="F210" s="35" t="s">
        <v>45</v>
      </c>
      <c r="G210" s="35" t="s">
        <v>40</v>
      </c>
      <c r="H210" s="36" t="s">
        <v>556</v>
      </c>
    </row>
    <row r="211" spans="1:8" ht="29" x14ac:dyDescent="0.35">
      <c r="A211" s="34">
        <v>208</v>
      </c>
      <c r="B211" s="35" t="s">
        <v>557</v>
      </c>
      <c r="C211" s="35" t="s">
        <v>387</v>
      </c>
      <c r="D211" s="35" t="s">
        <v>252</v>
      </c>
      <c r="E211" s="35" t="s">
        <v>40</v>
      </c>
      <c r="F211" s="35" t="s">
        <v>45</v>
      </c>
      <c r="G211" s="35" t="s">
        <v>43</v>
      </c>
      <c r="H211" s="36" t="s">
        <v>558</v>
      </c>
    </row>
    <row r="212" spans="1:8" x14ac:dyDescent="0.35">
      <c r="A212" s="34">
        <v>209</v>
      </c>
      <c r="B212" s="35" t="s">
        <v>557</v>
      </c>
      <c r="C212" s="35" t="s">
        <v>252</v>
      </c>
      <c r="D212" s="35" t="s">
        <v>256</v>
      </c>
      <c r="E212" s="35" t="s">
        <v>40</v>
      </c>
      <c r="F212" s="35" t="s">
        <v>45</v>
      </c>
      <c r="G212" s="35" t="s">
        <v>46</v>
      </c>
      <c r="H212" s="36" t="s">
        <v>559</v>
      </c>
    </row>
    <row r="213" spans="1:8" x14ac:dyDescent="0.35">
      <c r="A213" s="34">
        <v>210</v>
      </c>
      <c r="B213" s="35" t="s">
        <v>557</v>
      </c>
      <c r="C213" s="35" t="s">
        <v>256</v>
      </c>
      <c r="D213" s="35" t="s">
        <v>257</v>
      </c>
      <c r="E213" s="35" t="s">
        <v>40</v>
      </c>
      <c r="F213" s="35" t="s">
        <v>45</v>
      </c>
      <c r="G213" s="35" t="s">
        <v>38</v>
      </c>
      <c r="H213" s="36" t="s">
        <v>560</v>
      </c>
    </row>
    <row r="214" spans="1:8" ht="29" x14ac:dyDescent="0.35">
      <c r="A214" s="34">
        <v>211</v>
      </c>
      <c r="B214" s="35" t="s">
        <v>557</v>
      </c>
      <c r="C214" s="35" t="s">
        <v>561</v>
      </c>
      <c r="D214" s="35" t="s">
        <v>261</v>
      </c>
      <c r="E214" s="35" t="s">
        <v>40</v>
      </c>
      <c r="F214" s="35" t="s">
        <v>45</v>
      </c>
      <c r="G214" s="35" t="s">
        <v>9</v>
      </c>
      <c r="H214" s="36" t="s">
        <v>562</v>
      </c>
    </row>
    <row r="215" spans="1:8" ht="29" x14ac:dyDescent="0.35">
      <c r="A215" s="34">
        <v>212</v>
      </c>
      <c r="B215" s="35" t="s">
        <v>557</v>
      </c>
      <c r="C215" s="35" t="s">
        <v>154</v>
      </c>
      <c r="D215" s="35" t="s">
        <v>563</v>
      </c>
      <c r="E215" s="35" t="s">
        <v>40</v>
      </c>
      <c r="F215" s="35" t="s">
        <v>45</v>
      </c>
      <c r="G215" s="35" t="s">
        <v>44</v>
      </c>
      <c r="H215" s="36" t="s">
        <v>564</v>
      </c>
    </row>
    <row r="216" spans="1:8" x14ac:dyDescent="0.35">
      <c r="A216" s="34">
        <v>213</v>
      </c>
      <c r="B216" s="35" t="s">
        <v>557</v>
      </c>
      <c r="C216" s="35" t="s">
        <v>563</v>
      </c>
      <c r="D216" s="35" t="s">
        <v>264</v>
      </c>
      <c r="E216" s="35" t="s">
        <v>40</v>
      </c>
      <c r="F216" s="35" t="s">
        <v>39</v>
      </c>
      <c r="G216" s="35" t="s">
        <v>39</v>
      </c>
      <c r="H216" s="36" t="s">
        <v>565</v>
      </c>
    </row>
    <row r="217" spans="1:8" ht="29" x14ac:dyDescent="0.35">
      <c r="A217" s="34">
        <v>214</v>
      </c>
      <c r="B217" s="35" t="s">
        <v>557</v>
      </c>
      <c r="C217" s="35" t="s">
        <v>266</v>
      </c>
      <c r="D217" s="35" t="s">
        <v>267</v>
      </c>
      <c r="E217" s="35" t="s">
        <v>40</v>
      </c>
      <c r="F217" s="35" t="s">
        <v>39</v>
      </c>
      <c r="G217" s="35" t="s">
        <v>41</v>
      </c>
      <c r="H217" s="36" t="s">
        <v>4017</v>
      </c>
    </row>
    <row r="218" spans="1:8" x14ac:dyDescent="0.35">
      <c r="A218" s="34">
        <v>215</v>
      </c>
      <c r="B218" s="35" t="s">
        <v>557</v>
      </c>
      <c r="C218" s="35" t="s">
        <v>267</v>
      </c>
      <c r="D218" s="35" t="s">
        <v>566</v>
      </c>
      <c r="E218" s="35" t="s">
        <v>40</v>
      </c>
      <c r="F218" s="35" t="s">
        <v>39</v>
      </c>
      <c r="G218" s="35" t="s">
        <v>40</v>
      </c>
      <c r="H218" s="36" t="s">
        <v>567</v>
      </c>
    </row>
    <row r="219" spans="1:8" ht="29" x14ac:dyDescent="0.35">
      <c r="A219" s="34">
        <v>216</v>
      </c>
      <c r="B219" s="35" t="s">
        <v>557</v>
      </c>
      <c r="C219" s="35" t="s">
        <v>435</v>
      </c>
      <c r="D219" s="35" t="s">
        <v>272</v>
      </c>
      <c r="E219" s="35" t="s">
        <v>40</v>
      </c>
      <c r="F219" s="35" t="s">
        <v>39</v>
      </c>
      <c r="G219" s="35" t="s">
        <v>43</v>
      </c>
      <c r="H219" s="36" t="s">
        <v>568</v>
      </c>
    </row>
    <row r="220" spans="1:8" x14ac:dyDescent="0.35">
      <c r="A220" s="34">
        <v>217</v>
      </c>
      <c r="B220" s="35" t="s">
        <v>557</v>
      </c>
      <c r="C220" s="35" t="s">
        <v>438</v>
      </c>
      <c r="D220" s="35" t="s">
        <v>274</v>
      </c>
      <c r="E220" s="35" t="s">
        <v>40</v>
      </c>
      <c r="F220" s="35" t="s">
        <v>39</v>
      </c>
      <c r="G220" s="35" t="s">
        <v>46</v>
      </c>
      <c r="H220" s="36" t="s">
        <v>569</v>
      </c>
    </row>
    <row r="221" spans="1:8" ht="29" x14ac:dyDescent="0.35">
      <c r="A221" s="34">
        <v>218</v>
      </c>
      <c r="B221" s="35" t="s">
        <v>557</v>
      </c>
      <c r="C221" s="35" t="s">
        <v>274</v>
      </c>
      <c r="D221" s="35" t="s">
        <v>276</v>
      </c>
      <c r="E221" s="35" t="s">
        <v>40</v>
      </c>
      <c r="F221" s="35" t="s">
        <v>39</v>
      </c>
      <c r="G221" s="35" t="s">
        <v>38</v>
      </c>
      <c r="H221" s="36" t="s">
        <v>570</v>
      </c>
    </row>
    <row r="222" spans="1:8" x14ac:dyDescent="0.35">
      <c r="A222" s="34">
        <v>219</v>
      </c>
      <c r="B222" s="35" t="s">
        <v>557</v>
      </c>
      <c r="C222" s="35" t="s">
        <v>276</v>
      </c>
      <c r="D222" s="35" t="s">
        <v>177</v>
      </c>
      <c r="E222" s="35" t="s">
        <v>40</v>
      </c>
      <c r="F222" s="35" t="s">
        <v>39</v>
      </c>
      <c r="G222" s="35" t="s">
        <v>9</v>
      </c>
      <c r="H222" s="36" t="s">
        <v>571</v>
      </c>
    </row>
    <row r="223" spans="1:8" x14ac:dyDescent="0.35">
      <c r="A223" s="34">
        <v>220</v>
      </c>
      <c r="B223" s="35" t="s">
        <v>557</v>
      </c>
      <c r="C223" s="35" t="s">
        <v>441</v>
      </c>
      <c r="D223" s="35" t="s">
        <v>282</v>
      </c>
      <c r="E223" s="35" t="s">
        <v>40</v>
      </c>
      <c r="F223" s="35" t="s">
        <v>39</v>
      </c>
      <c r="G223" s="35" t="s">
        <v>44</v>
      </c>
      <c r="H223" s="36" t="s">
        <v>572</v>
      </c>
    </row>
    <row r="224" spans="1:8" x14ac:dyDescent="0.35">
      <c r="A224" s="34">
        <v>221</v>
      </c>
      <c r="B224" s="35" t="s">
        <v>557</v>
      </c>
      <c r="C224" s="35" t="s">
        <v>280</v>
      </c>
      <c r="D224" s="35" t="s">
        <v>446</v>
      </c>
      <c r="E224" s="35" t="s">
        <v>40</v>
      </c>
      <c r="F224" s="35" t="s">
        <v>39</v>
      </c>
      <c r="G224" s="35" t="s">
        <v>45</v>
      </c>
      <c r="H224" s="36" t="s">
        <v>573</v>
      </c>
    </row>
    <row r="225" spans="1:8" x14ac:dyDescent="0.35">
      <c r="A225" s="34">
        <v>222</v>
      </c>
      <c r="B225" s="35" t="s">
        <v>557</v>
      </c>
      <c r="C225" s="35" t="s">
        <v>446</v>
      </c>
      <c r="D225" s="35" t="s">
        <v>287</v>
      </c>
      <c r="E225" s="35" t="s">
        <v>40</v>
      </c>
      <c r="F225" s="35" t="s">
        <v>41</v>
      </c>
      <c r="G225" s="35" t="s">
        <v>41</v>
      </c>
      <c r="H225" s="36" t="s">
        <v>574</v>
      </c>
    </row>
    <row r="226" spans="1:8" ht="29" x14ac:dyDescent="0.35">
      <c r="A226" s="34">
        <v>223</v>
      </c>
      <c r="B226" s="35" t="s">
        <v>557</v>
      </c>
      <c r="C226" s="35" t="s">
        <v>575</v>
      </c>
      <c r="D226" s="35" t="s">
        <v>290</v>
      </c>
      <c r="E226" s="35" t="s">
        <v>40</v>
      </c>
      <c r="F226" s="35" t="s">
        <v>41</v>
      </c>
      <c r="G226" s="35" t="s">
        <v>40</v>
      </c>
      <c r="H226" s="36" t="s">
        <v>576</v>
      </c>
    </row>
    <row r="227" spans="1:8" ht="29" x14ac:dyDescent="0.35">
      <c r="A227" s="34">
        <v>224</v>
      </c>
      <c r="B227" s="35" t="s">
        <v>557</v>
      </c>
      <c r="C227" s="35" t="s">
        <v>577</v>
      </c>
      <c r="D227" s="35" t="s">
        <v>293</v>
      </c>
      <c r="E227" s="35" t="s">
        <v>40</v>
      </c>
      <c r="F227" s="35" t="s">
        <v>41</v>
      </c>
      <c r="G227" s="35" t="s">
        <v>43</v>
      </c>
      <c r="H227" s="36" t="s">
        <v>578</v>
      </c>
    </row>
    <row r="228" spans="1:8" ht="29" x14ac:dyDescent="0.35">
      <c r="A228" s="34">
        <v>225</v>
      </c>
      <c r="B228" s="35" t="s">
        <v>557</v>
      </c>
      <c r="C228" s="35" t="s">
        <v>293</v>
      </c>
      <c r="D228" s="35" t="s">
        <v>451</v>
      </c>
      <c r="E228" s="35" t="s">
        <v>40</v>
      </c>
      <c r="F228" s="35" t="s">
        <v>41</v>
      </c>
      <c r="G228" s="35" t="s">
        <v>46</v>
      </c>
      <c r="H228" s="36" t="s">
        <v>579</v>
      </c>
    </row>
    <row r="229" spans="1:8" ht="29" x14ac:dyDescent="0.35">
      <c r="A229" s="34">
        <v>226</v>
      </c>
      <c r="B229" s="35" t="s">
        <v>557</v>
      </c>
      <c r="C229" s="35" t="s">
        <v>294</v>
      </c>
      <c r="D229" s="35" t="s">
        <v>297</v>
      </c>
      <c r="E229" s="35" t="s">
        <v>40</v>
      </c>
      <c r="F229" s="35" t="s">
        <v>41</v>
      </c>
      <c r="G229" s="35" t="s">
        <v>38</v>
      </c>
      <c r="H229" s="36" t="s">
        <v>580</v>
      </c>
    </row>
    <row r="230" spans="1:8" ht="29" x14ac:dyDescent="0.35">
      <c r="A230" s="34">
        <v>227</v>
      </c>
      <c r="B230" s="35" t="s">
        <v>557</v>
      </c>
      <c r="C230" s="35" t="s">
        <v>297</v>
      </c>
      <c r="D230" s="35" t="s">
        <v>299</v>
      </c>
      <c r="E230" s="35" t="s">
        <v>40</v>
      </c>
      <c r="F230" s="35" t="s">
        <v>41</v>
      </c>
      <c r="G230" s="35" t="s">
        <v>9</v>
      </c>
      <c r="H230" s="36" t="s">
        <v>581</v>
      </c>
    </row>
    <row r="231" spans="1:8" ht="29" x14ac:dyDescent="0.35">
      <c r="A231" s="34">
        <v>228</v>
      </c>
      <c r="B231" s="35" t="s">
        <v>557</v>
      </c>
      <c r="C231" s="35" t="s">
        <v>582</v>
      </c>
      <c r="D231" s="35" t="s">
        <v>197</v>
      </c>
      <c r="E231" s="35" t="s">
        <v>40</v>
      </c>
      <c r="F231" s="35" t="s">
        <v>41</v>
      </c>
      <c r="G231" s="35" t="s">
        <v>44</v>
      </c>
      <c r="H231" s="36" t="s">
        <v>583</v>
      </c>
    </row>
    <row r="232" spans="1:8" ht="29" x14ac:dyDescent="0.35">
      <c r="A232" s="34">
        <v>229</v>
      </c>
      <c r="B232" s="35" t="s">
        <v>584</v>
      </c>
      <c r="C232" s="35" t="s">
        <v>143</v>
      </c>
      <c r="D232" s="35" t="s">
        <v>303</v>
      </c>
      <c r="E232" s="35" t="s">
        <v>41</v>
      </c>
      <c r="F232" s="35" t="s">
        <v>41</v>
      </c>
      <c r="G232" s="35" t="s">
        <v>44</v>
      </c>
      <c r="H232" s="36" t="s">
        <v>585</v>
      </c>
    </row>
    <row r="233" spans="1:8" ht="29" x14ac:dyDescent="0.35">
      <c r="A233" s="34">
        <v>230</v>
      </c>
      <c r="B233" s="35" t="s">
        <v>584</v>
      </c>
      <c r="C233" s="35" t="s">
        <v>303</v>
      </c>
      <c r="D233" s="35" t="s">
        <v>305</v>
      </c>
      <c r="E233" s="35" t="s">
        <v>41</v>
      </c>
      <c r="F233" s="35" t="s">
        <v>41</v>
      </c>
      <c r="G233" s="35" t="s">
        <v>45</v>
      </c>
      <c r="H233" s="36" t="s">
        <v>586</v>
      </c>
    </row>
    <row r="234" spans="1:8" ht="29" x14ac:dyDescent="0.35">
      <c r="A234" s="34">
        <v>231</v>
      </c>
      <c r="B234" s="35" t="s">
        <v>584</v>
      </c>
      <c r="C234" s="35" t="s">
        <v>305</v>
      </c>
      <c r="D234" s="35" t="s">
        <v>461</v>
      </c>
      <c r="E234" s="35" t="s">
        <v>41</v>
      </c>
      <c r="F234" s="35" t="s">
        <v>41</v>
      </c>
      <c r="G234" s="35" t="s">
        <v>39</v>
      </c>
      <c r="H234" s="36" t="s">
        <v>587</v>
      </c>
    </row>
    <row r="235" spans="1:8" ht="29" x14ac:dyDescent="0.35">
      <c r="A235" s="34">
        <v>232</v>
      </c>
      <c r="B235" s="35" t="s">
        <v>584</v>
      </c>
      <c r="C235" s="35" t="s">
        <v>310</v>
      </c>
      <c r="D235" s="35" t="s">
        <v>311</v>
      </c>
      <c r="E235" s="35" t="s">
        <v>41</v>
      </c>
      <c r="F235" s="35" t="s">
        <v>40</v>
      </c>
      <c r="G235" s="35" t="s">
        <v>40</v>
      </c>
      <c r="H235" s="36" t="s">
        <v>588</v>
      </c>
    </row>
    <row r="236" spans="1:8" x14ac:dyDescent="0.35">
      <c r="A236" s="34">
        <v>233</v>
      </c>
      <c r="B236" s="35" t="s">
        <v>584</v>
      </c>
      <c r="C236" s="35" t="s">
        <v>589</v>
      </c>
      <c r="D236" s="35" t="s">
        <v>307</v>
      </c>
      <c r="E236" s="35" t="s">
        <v>41</v>
      </c>
      <c r="F236" s="35" t="s">
        <v>40</v>
      </c>
      <c r="G236" s="35" t="s">
        <v>43</v>
      </c>
      <c r="H236" s="36" t="s">
        <v>590</v>
      </c>
    </row>
    <row r="237" spans="1:8" ht="29" x14ac:dyDescent="0.35">
      <c r="A237" s="34">
        <v>234</v>
      </c>
      <c r="B237" s="35" t="s">
        <v>584</v>
      </c>
      <c r="C237" s="35" t="s">
        <v>591</v>
      </c>
      <c r="D237" s="35" t="s">
        <v>316</v>
      </c>
      <c r="E237" s="35" t="s">
        <v>41</v>
      </c>
      <c r="F237" s="35" t="s">
        <v>40</v>
      </c>
      <c r="G237" s="35" t="s">
        <v>46</v>
      </c>
      <c r="H237" s="36" t="s">
        <v>592</v>
      </c>
    </row>
    <row r="238" spans="1:8" ht="29" x14ac:dyDescent="0.35">
      <c r="A238" s="34">
        <v>235</v>
      </c>
      <c r="B238" s="35" t="s">
        <v>584</v>
      </c>
      <c r="C238" s="35" t="s">
        <v>316</v>
      </c>
      <c r="D238" s="35" t="s">
        <v>593</v>
      </c>
      <c r="E238" s="35" t="s">
        <v>41</v>
      </c>
      <c r="F238" s="35" t="s">
        <v>40</v>
      </c>
      <c r="G238" s="35" t="s">
        <v>38</v>
      </c>
      <c r="H238" s="36" t="s">
        <v>594</v>
      </c>
    </row>
    <row r="239" spans="1:8" x14ac:dyDescent="0.35">
      <c r="A239" s="34">
        <v>236</v>
      </c>
      <c r="B239" s="35" t="s">
        <v>584</v>
      </c>
      <c r="C239" s="35" t="s">
        <v>319</v>
      </c>
      <c r="D239" s="35" t="s">
        <v>470</v>
      </c>
      <c r="E239" s="35" t="s">
        <v>41</v>
      </c>
      <c r="F239" s="35" t="s">
        <v>40</v>
      </c>
      <c r="G239" s="35" t="s">
        <v>9</v>
      </c>
      <c r="H239" s="36" t="s">
        <v>595</v>
      </c>
    </row>
    <row r="240" spans="1:8" ht="29" x14ac:dyDescent="0.35">
      <c r="A240" s="34">
        <v>237</v>
      </c>
      <c r="B240" s="35" t="s">
        <v>584</v>
      </c>
      <c r="C240" s="35" t="s">
        <v>470</v>
      </c>
      <c r="D240" s="35" t="s">
        <v>471</v>
      </c>
      <c r="E240" s="35" t="s">
        <v>41</v>
      </c>
      <c r="F240" s="35" t="s">
        <v>40</v>
      </c>
      <c r="G240" s="35" t="s">
        <v>44</v>
      </c>
      <c r="H240" s="36" t="s">
        <v>596</v>
      </c>
    </row>
    <row r="241" spans="1:8" x14ac:dyDescent="0.35">
      <c r="A241" s="34">
        <v>238</v>
      </c>
      <c r="B241" s="35" t="s">
        <v>584</v>
      </c>
      <c r="C241" s="35" t="s">
        <v>471</v>
      </c>
      <c r="D241" s="35" t="s">
        <v>597</v>
      </c>
      <c r="E241" s="35" t="s">
        <v>41</v>
      </c>
      <c r="F241" s="35" t="s">
        <v>40</v>
      </c>
      <c r="G241" s="35" t="s">
        <v>45</v>
      </c>
      <c r="H241" s="36" t="s">
        <v>598</v>
      </c>
    </row>
    <row r="242" spans="1:8" x14ac:dyDescent="0.35">
      <c r="A242" s="34">
        <v>239</v>
      </c>
      <c r="B242" s="35" t="s">
        <v>584</v>
      </c>
      <c r="C242" s="35" t="s">
        <v>328</v>
      </c>
      <c r="D242" s="35" t="s">
        <v>329</v>
      </c>
      <c r="E242" s="35" t="s">
        <v>41</v>
      </c>
      <c r="F242" s="35" t="s">
        <v>40</v>
      </c>
      <c r="G242" s="35" t="s">
        <v>39</v>
      </c>
      <c r="H242" s="36" t="s">
        <v>599</v>
      </c>
    </row>
    <row r="243" spans="1:8" x14ac:dyDescent="0.35">
      <c r="A243" s="34">
        <v>240</v>
      </c>
      <c r="B243" s="35" t="s">
        <v>584</v>
      </c>
      <c r="C243" s="35" t="s">
        <v>475</v>
      </c>
      <c r="D243" s="35" t="s">
        <v>600</v>
      </c>
      <c r="E243" s="35" t="s">
        <v>41</v>
      </c>
      <c r="F243" s="35" t="s">
        <v>40</v>
      </c>
      <c r="G243" s="35" t="s">
        <v>41</v>
      </c>
      <c r="H243" s="36" t="s">
        <v>601</v>
      </c>
    </row>
    <row r="244" spans="1:8" x14ac:dyDescent="0.35">
      <c r="A244" s="34">
        <v>241</v>
      </c>
      <c r="B244" s="35" t="s">
        <v>584</v>
      </c>
      <c r="C244" s="35" t="s">
        <v>331</v>
      </c>
      <c r="D244" s="35" t="s">
        <v>479</v>
      </c>
      <c r="E244" s="35" t="s">
        <v>41</v>
      </c>
      <c r="F244" s="35" t="s">
        <v>43</v>
      </c>
      <c r="G244" s="35" t="s">
        <v>43</v>
      </c>
      <c r="H244" s="36" t="s">
        <v>602</v>
      </c>
    </row>
    <row r="245" spans="1:8" ht="29" x14ac:dyDescent="0.35">
      <c r="A245" s="34">
        <v>242</v>
      </c>
      <c r="B245" s="35" t="s">
        <v>584</v>
      </c>
      <c r="C245" s="35" t="s">
        <v>481</v>
      </c>
      <c r="D245" s="35" t="s">
        <v>482</v>
      </c>
      <c r="E245" s="35" t="s">
        <v>41</v>
      </c>
      <c r="F245" s="35" t="s">
        <v>43</v>
      </c>
      <c r="G245" s="35" t="s">
        <v>46</v>
      </c>
      <c r="H245" s="36" t="s">
        <v>603</v>
      </c>
    </row>
    <row r="246" spans="1:8" x14ac:dyDescent="0.35">
      <c r="A246" s="34">
        <v>243</v>
      </c>
      <c r="B246" s="35" t="s">
        <v>584</v>
      </c>
      <c r="C246" s="35" t="s">
        <v>482</v>
      </c>
      <c r="D246" s="35" t="s">
        <v>604</v>
      </c>
      <c r="E246" s="35" t="s">
        <v>41</v>
      </c>
      <c r="F246" s="35" t="s">
        <v>43</v>
      </c>
      <c r="G246" s="35" t="s">
        <v>38</v>
      </c>
      <c r="H246" s="36" t="s">
        <v>605</v>
      </c>
    </row>
    <row r="247" spans="1:8" ht="43.5" x14ac:dyDescent="0.35">
      <c r="A247" s="34">
        <v>244</v>
      </c>
      <c r="B247" s="35" t="s">
        <v>584</v>
      </c>
      <c r="C247" s="35" t="s">
        <v>485</v>
      </c>
      <c r="D247" s="35" t="s">
        <v>606</v>
      </c>
      <c r="E247" s="35" t="s">
        <v>41</v>
      </c>
      <c r="F247" s="35" t="s">
        <v>43</v>
      </c>
      <c r="G247" s="35" t="s">
        <v>9</v>
      </c>
      <c r="H247" s="36" t="s">
        <v>607</v>
      </c>
    </row>
    <row r="248" spans="1:8" ht="43.5" x14ac:dyDescent="0.35">
      <c r="A248" s="34">
        <v>245</v>
      </c>
      <c r="B248" s="35" t="s">
        <v>584</v>
      </c>
      <c r="C248" s="35" t="s">
        <v>606</v>
      </c>
      <c r="D248" s="35" t="s">
        <v>411</v>
      </c>
      <c r="E248" s="35" t="s">
        <v>41</v>
      </c>
      <c r="F248" s="35" t="s">
        <v>43</v>
      </c>
      <c r="G248" s="35" t="s">
        <v>44</v>
      </c>
      <c r="H248" s="36" t="s">
        <v>608</v>
      </c>
    </row>
    <row r="249" spans="1:8" x14ac:dyDescent="0.35">
      <c r="A249" s="34">
        <v>246</v>
      </c>
      <c r="B249" s="35" t="s">
        <v>584</v>
      </c>
      <c r="C249" s="35" t="s">
        <v>411</v>
      </c>
      <c r="D249" s="35" t="s">
        <v>345</v>
      </c>
      <c r="E249" s="35" t="s">
        <v>41</v>
      </c>
      <c r="F249" s="35" t="s">
        <v>43</v>
      </c>
      <c r="G249" s="35" t="s">
        <v>45</v>
      </c>
      <c r="H249" s="36" t="s">
        <v>609</v>
      </c>
    </row>
    <row r="250" spans="1:8" ht="29" x14ac:dyDescent="0.35">
      <c r="A250" s="34">
        <v>247</v>
      </c>
      <c r="B250" s="35" t="s">
        <v>584</v>
      </c>
      <c r="C250" s="35" t="s">
        <v>242</v>
      </c>
      <c r="D250" s="35" t="s">
        <v>610</v>
      </c>
      <c r="E250" s="35" t="s">
        <v>41</v>
      </c>
      <c r="F250" s="35" t="s">
        <v>43</v>
      </c>
      <c r="G250" s="35" t="s">
        <v>39</v>
      </c>
      <c r="H250" s="36" t="s">
        <v>611</v>
      </c>
    </row>
    <row r="251" spans="1:8" ht="43.5" x14ac:dyDescent="0.35">
      <c r="A251" s="34">
        <v>248</v>
      </c>
      <c r="B251" s="35" t="s">
        <v>584</v>
      </c>
      <c r="C251" s="35" t="s">
        <v>243</v>
      </c>
      <c r="D251" s="35" t="s">
        <v>248</v>
      </c>
      <c r="E251" s="35" t="s">
        <v>41</v>
      </c>
      <c r="F251" s="35" t="s">
        <v>43</v>
      </c>
      <c r="G251" s="35" t="s">
        <v>612</v>
      </c>
      <c r="H251" s="36" t="s">
        <v>613</v>
      </c>
    </row>
    <row r="252" spans="1:8" ht="29" x14ac:dyDescent="0.35">
      <c r="A252" s="34">
        <v>249</v>
      </c>
      <c r="B252" s="35" t="s">
        <v>584</v>
      </c>
      <c r="C252" s="35" t="s">
        <v>614</v>
      </c>
      <c r="D252" s="35" t="s">
        <v>249</v>
      </c>
      <c r="E252" s="35" t="s">
        <v>41</v>
      </c>
      <c r="F252" s="35" t="s">
        <v>43</v>
      </c>
      <c r="G252" s="35" t="s">
        <v>40</v>
      </c>
      <c r="H252" s="36" t="s">
        <v>615</v>
      </c>
    </row>
  </sheetData>
  <mergeCells count="1">
    <mergeCell ref="C1:E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BA4F1-B7F9-4221-B0AA-F2FCCD98958A}">
  <dimension ref="A1:H251"/>
  <sheetViews>
    <sheetView topLeftCell="A25" workbookViewId="0">
      <selection activeCell="H225" sqref="H225"/>
    </sheetView>
  </sheetViews>
  <sheetFormatPr defaultRowHeight="14.5" x14ac:dyDescent="0.35"/>
  <cols>
    <col min="1" max="1" width="7.81640625" bestFit="1" customWidth="1"/>
    <col min="2" max="2" width="10.26953125" bestFit="1" customWidth="1"/>
    <col min="3" max="3" width="19.26953125" bestFit="1" customWidth="1"/>
    <col min="4" max="4" width="16.453125" bestFit="1" customWidth="1"/>
    <col min="5" max="5" width="9" bestFit="1" customWidth="1"/>
    <col min="6" max="6" width="8.453125" bestFit="1" customWidth="1"/>
    <col min="7" max="7" width="8.26953125" bestFit="1" customWidth="1"/>
    <col min="8" max="8" width="44.1796875" customWidth="1"/>
  </cols>
  <sheetData>
    <row r="1" spans="1:8" x14ac:dyDescent="0.35">
      <c r="A1" s="34"/>
      <c r="B1" s="35"/>
      <c r="C1" s="299" t="s">
        <v>134</v>
      </c>
      <c r="D1" s="300"/>
      <c r="E1" s="301"/>
      <c r="F1" s="35"/>
      <c r="G1" s="35"/>
      <c r="H1" s="36"/>
    </row>
    <row r="2" spans="1:8" x14ac:dyDescent="0.35">
      <c r="A2" s="34" t="s">
        <v>135</v>
      </c>
      <c r="B2" s="35" t="s">
        <v>136</v>
      </c>
      <c r="C2" s="35" t="s">
        <v>137</v>
      </c>
      <c r="D2" s="35" t="s">
        <v>138</v>
      </c>
      <c r="E2" s="35" t="s">
        <v>55</v>
      </c>
      <c r="F2" s="35" t="s">
        <v>139</v>
      </c>
      <c r="G2" s="35" t="s">
        <v>140</v>
      </c>
      <c r="H2" s="37" t="s">
        <v>616</v>
      </c>
    </row>
    <row r="3" spans="1:8" x14ac:dyDescent="0.35">
      <c r="A3" s="34">
        <v>1</v>
      </c>
      <c r="B3" s="35" t="s">
        <v>142</v>
      </c>
      <c r="C3" s="35" t="s">
        <v>143</v>
      </c>
      <c r="D3" s="35" t="s">
        <v>144</v>
      </c>
      <c r="E3" s="35" t="s">
        <v>45</v>
      </c>
      <c r="F3" s="35" t="s">
        <v>46</v>
      </c>
      <c r="G3" s="35" t="s">
        <v>46</v>
      </c>
      <c r="H3" s="36" t="s">
        <v>617</v>
      </c>
    </row>
    <row r="4" spans="1:8" x14ac:dyDescent="0.35">
      <c r="A4" s="34">
        <v>2</v>
      </c>
      <c r="B4" s="35" t="s">
        <v>142</v>
      </c>
      <c r="C4" s="35" t="s">
        <v>144</v>
      </c>
      <c r="D4" s="35" t="s">
        <v>146</v>
      </c>
      <c r="E4" s="35" t="s">
        <v>45</v>
      </c>
      <c r="F4" s="35" t="s">
        <v>46</v>
      </c>
      <c r="G4" s="35" t="s">
        <v>38</v>
      </c>
      <c r="H4" s="36" t="s">
        <v>618</v>
      </c>
    </row>
    <row r="5" spans="1:8" x14ac:dyDescent="0.35">
      <c r="A5" s="34">
        <v>3</v>
      </c>
      <c r="B5" s="35" t="s">
        <v>142</v>
      </c>
      <c r="C5" s="35" t="s">
        <v>148</v>
      </c>
      <c r="D5" s="35" t="s">
        <v>149</v>
      </c>
      <c r="E5" s="35" t="s">
        <v>45</v>
      </c>
      <c r="F5" s="35" t="s">
        <v>46</v>
      </c>
      <c r="G5" s="35" t="s">
        <v>9</v>
      </c>
      <c r="H5" s="36" t="s">
        <v>619</v>
      </c>
    </row>
    <row r="6" spans="1:8" ht="29" x14ac:dyDescent="0.35">
      <c r="A6" s="34">
        <v>4</v>
      </c>
      <c r="B6" s="35" t="s">
        <v>142</v>
      </c>
      <c r="C6" s="35" t="s">
        <v>149</v>
      </c>
      <c r="D6" s="35" t="s">
        <v>151</v>
      </c>
      <c r="E6" s="35" t="s">
        <v>45</v>
      </c>
      <c r="F6" s="35" t="s">
        <v>46</v>
      </c>
      <c r="G6" s="35" t="s">
        <v>44</v>
      </c>
      <c r="H6" s="36" t="s">
        <v>620</v>
      </c>
    </row>
    <row r="7" spans="1:8" x14ac:dyDescent="0.35">
      <c r="A7" s="34">
        <v>5</v>
      </c>
      <c r="B7" s="35" t="s">
        <v>142</v>
      </c>
      <c r="C7" s="35" t="s">
        <v>153</v>
      </c>
      <c r="D7" s="35" t="s">
        <v>154</v>
      </c>
      <c r="E7" s="35" t="s">
        <v>45</v>
      </c>
      <c r="F7" s="35" t="s">
        <v>46</v>
      </c>
      <c r="G7" s="35" t="s">
        <v>45</v>
      </c>
      <c r="H7" s="36" t="s">
        <v>621</v>
      </c>
    </row>
    <row r="8" spans="1:8" x14ac:dyDescent="0.35">
      <c r="A8" s="34">
        <v>6</v>
      </c>
      <c r="B8" s="35" t="s">
        <v>142</v>
      </c>
      <c r="C8" s="35" t="s">
        <v>154</v>
      </c>
      <c r="D8" s="35" t="s">
        <v>156</v>
      </c>
      <c r="E8" s="35" t="s">
        <v>45</v>
      </c>
      <c r="F8" s="35" t="s">
        <v>46</v>
      </c>
      <c r="G8" s="35" t="s">
        <v>39</v>
      </c>
      <c r="H8" s="36" t="s">
        <v>622</v>
      </c>
    </row>
    <row r="9" spans="1:8" ht="29" x14ac:dyDescent="0.35">
      <c r="A9" s="34">
        <v>7</v>
      </c>
      <c r="B9" s="35" t="s">
        <v>142</v>
      </c>
      <c r="C9" s="35" t="s">
        <v>158</v>
      </c>
      <c r="D9" s="35" t="s">
        <v>159</v>
      </c>
      <c r="E9" s="35" t="s">
        <v>45</v>
      </c>
      <c r="F9" s="35" t="s">
        <v>46</v>
      </c>
      <c r="G9" s="35" t="s">
        <v>41</v>
      </c>
      <c r="H9" s="36" t="s">
        <v>623</v>
      </c>
    </row>
    <row r="10" spans="1:8" x14ac:dyDescent="0.35">
      <c r="A10" s="34">
        <v>8</v>
      </c>
      <c r="B10" s="35" t="s">
        <v>142</v>
      </c>
      <c r="C10" s="35" t="s">
        <v>161</v>
      </c>
      <c r="D10" s="35" t="s">
        <v>162</v>
      </c>
      <c r="E10" s="35" t="s">
        <v>45</v>
      </c>
      <c r="F10" s="35" t="s">
        <v>46</v>
      </c>
      <c r="G10" s="35" t="s">
        <v>40</v>
      </c>
      <c r="H10" s="36" t="s">
        <v>624</v>
      </c>
    </row>
    <row r="11" spans="1:8" x14ac:dyDescent="0.35">
      <c r="A11" s="34">
        <v>9</v>
      </c>
      <c r="B11" s="35" t="s">
        <v>142</v>
      </c>
      <c r="C11" s="35" t="s">
        <v>164</v>
      </c>
      <c r="D11" s="35" t="s">
        <v>165</v>
      </c>
      <c r="E11" s="35" t="s">
        <v>45</v>
      </c>
      <c r="F11" s="35" t="s">
        <v>46</v>
      </c>
      <c r="G11" s="35" t="s">
        <v>43</v>
      </c>
      <c r="H11" s="36" t="s">
        <v>625</v>
      </c>
    </row>
    <row r="12" spans="1:8" ht="29" x14ac:dyDescent="0.35">
      <c r="A12" s="34">
        <v>10</v>
      </c>
      <c r="B12" s="35" t="s">
        <v>142</v>
      </c>
      <c r="C12" s="35" t="s">
        <v>167</v>
      </c>
      <c r="D12" s="35" t="s">
        <v>168</v>
      </c>
      <c r="E12" s="35" t="s">
        <v>45</v>
      </c>
      <c r="F12" s="35" t="s">
        <v>38</v>
      </c>
      <c r="G12" s="35" t="s">
        <v>38</v>
      </c>
      <c r="H12" s="36" t="s">
        <v>626</v>
      </c>
    </row>
    <row r="13" spans="1:8" ht="29" x14ac:dyDescent="0.35">
      <c r="A13" s="34">
        <v>11</v>
      </c>
      <c r="B13" s="35" t="s">
        <v>142</v>
      </c>
      <c r="C13" s="35" t="s">
        <v>170</v>
      </c>
      <c r="D13" s="35" t="s">
        <v>171</v>
      </c>
      <c r="E13" s="35" t="s">
        <v>45</v>
      </c>
      <c r="F13" s="35" t="s">
        <v>38</v>
      </c>
      <c r="G13" s="35" t="s">
        <v>9</v>
      </c>
      <c r="H13" s="36" t="s">
        <v>627</v>
      </c>
    </row>
    <row r="14" spans="1:8" ht="29" x14ac:dyDescent="0.35">
      <c r="A14" s="34">
        <v>12</v>
      </c>
      <c r="B14" s="35" t="s">
        <v>142</v>
      </c>
      <c r="C14" s="35" t="s">
        <v>173</v>
      </c>
      <c r="D14" s="35" t="s">
        <v>174</v>
      </c>
      <c r="E14" s="35" t="s">
        <v>45</v>
      </c>
      <c r="F14" s="35" t="s">
        <v>38</v>
      </c>
      <c r="G14" s="35" t="s">
        <v>44</v>
      </c>
      <c r="H14" s="36" t="s">
        <v>628</v>
      </c>
    </row>
    <row r="15" spans="1:8" x14ac:dyDescent="0.35">
      <c r="A15" s="34">
        <v>13</v>
      </c>
      <c r="B15" s="35" t="s">
        <v>142</v>
      </c>
      <c r="C15" s="35" t="s">
        <v>176</v>
      </c>
      <c r="D15" s="35" t="s">
        <v>177</v>
      </c>
      <c r="E15" s="35" t="s">
        <v>45</v>
      </c>
      <c r="F15" s="35" t="s">
        <v>38</v>
      </c>
      <c r="G15" s="35" t="s">
        <v>45</v>
      </c>
      <c r="H15" s="36" t="s">
        <v>629</v>
      </c>
    </row>
    <row r="16" spans="1:8" x14ac:dyDescent="0.35">
      <c r="A16" s="34">
        <v>14</v>
      </c>
      <c r="B16" s="35" t="s">
        <v>142</v>
      </c>
      <c r="C16" s="35" t="s">
        <v>177</v>
      </c>
      <c r="D16" s="35" t="s">
        <v>179</v>
      </c>
      <c r="E16" s="35" t="s">
        <v>45</v>
      </c>
      <c r="F16" s="35" t="s">
        <v>38</v>
      </c>
      <c r="G16" s="35" t="s">
        <v>39</v>
      </c>
      <c r="H16" s="36" t="s">
        <v>630</v>
      </c>
    </row>
    <row r="17" spans="1:8" ht="29" x14ac:dyDescent="0.35">
      <c r="A17" s="34">
        <v>15</v>
      </c>
      <c r="B17" s="35" t="s">
        <v>142</v>
      </c>
      <c r="C17" s="35" t="s">
        <v>181</v>
      </c>
      <c r="D17" s="35" t="s">
        <v>182</v>
      </c>
      <c r="E17" s="35" t="s">
        <v>45</v>
      </c>
      <c r="F17" s="35" t="s">
        <v>38</v>
      </c>
      <c r="G17" s="35" t="s">
        <v>41</v>
      </c>
      <c r="H17" s="36" t="s">
        <v>631</v>
      </c>
    </row>
    <row r="18" spans="1:8" ht="29" x14ac:dyDescent="0.35">
      <c r="A18" s="34">
        <v>16</v>
      </c>
      <c r="B18" s="35" t="s">
        <v>142</v>
      </c>
      <c r="C18" s="35" t="s">
        <v>182</v>
      </c>
      <c r="D18" s="35" t="s">
        <v>184</v>
      </c>
      <c r="E18" s="35" t="s">
        <v>45</v>
      </c>
      <c r="F18" s="35" t="s">
        <v>38</v>
      </c>
      <c r="G18" s="35" t="s">
        <v>40</v>
      </c>
      <c r="H18" s="36" t="s">
        <v>632</v>
      </c>
    </row>
    <row r="19" spans="1:8" x14ac:dyDescent="0.35">
      <c r="A19" s="34">
        <v>17</v>
      </c>
      <c r="B19" s="35" t="s">
        <v>142</v>
      </c>
      <c r="C19" s="35" t="s">
        <v>184</v>
      </c>
      <c r="D19" s="35" t="s">
        <v>186</v>
      </c>
      <c r="E19" s="35" t="s">
        <v>45</v>
      </c>
      <c r="F19" s="35" t="s">
        <v>38</v>
      </c>
      <c r="G19" s="35" t="s">
        <v>43</v>
      </c>
      <c r="H19" s="36" t="s">
        <v>633</v>
      </c>
    </row>
    <row r="20" spans="1:8" x14ac:dyDescent="0.35">
      <c r="A20" s="34">
        <v>18</v>
      </c>
      <c r="B20" s="35" t="s">
        <v>142</v>
      </c>
      <c r="C20" s="35" t="s">
        <v>186</v>
      </c>
      <c r="D20" s="35" t="s">
        <v>188</v>
      </c>
      <c r="E20" s="35" t="s">
        <v>45</v>
      </c>
      <c r="F20" s="35" t="s">
        <v>38</v>
      </c>
      <c r="G20" s="35" t="s">
        <v>46</v>
      </c>
      <c r="H20" s="36" t="s">
        <v>634</v>
      </c>
    </row>
    <row r="21" spans="1:8" x14ac:dyDescent="0.35">
      <c r="A21" s="34">
        <v>19</v>
      </c>
      <c r="B21" s="35" t="s">
        <v>142</v>
      </c>
      <c r="C21" s="35" t="s">
        <v>190</v>
      </c>
      <c r="D21" s="35" t="s">
        <v>191</v>
      </c>
      <c r="E21" s="35" t="s">
        <v>45</v>
      </c>
      <c r="F21" s="35" t="s">
        <v>9</v>
      </c>
      <c r="G21" s="35" t="s">
        <v>9</v>
      </c>
      <c r="H21" s="36" t="s">
        <v>635</v>
      </c>
    </row>
    <row r="22" spans="1:8" x14ac:dyDescent="0.35">
      <c r="A22" s="34">
        <v>20</v>
      </c>
      <c r="B22" s="35" t="s">
        <v>142</v>
      </c>
      <c r="C22" s="35" t="s">
        <v>191</v>
      </c>
      <c r="D22" s="35" t="s">
        <v>193</v>
      </c>
      <c r="E22" s="35" t="s">
        <v>45</v>
      </c>
      <c r="F22" s="35" t="s">
        <v>9</v>
      </c>
      <c r="G22" s="35" t="s">
        <v>44</v>
      </c>
      <c r="H22" s="36" t="s">
        <v>636</v>
      </c>
    </row>
    <row r="23" spans="1:8" x14ac:dyDescent="0.35">
      <c r="A23" s="34">
        <v>21</v>
      </c>
      <c r="B23" s="35" t="s">
        <v>142</v>
      </c>
      <c r="C23" s="35" t="s">
        <v>193</v>
      </c>
      <c r="D23" s="35" t="s">
        <v>195</v>
      </c>
      <c r="E23" s="35" t="s">
        <v>45</v>
      </c>
      <c r="F23" s="35" t="s">
        <v>9</v>
      </c>
      <c r="G23" s="35" t="s">
        <v>45</v>
      </c>
      <c r="H23" s="36" t="s">
        <v>637</v>
      </c>
    </row>
    <row r="24" spans="1:8" x14ac:dyDescent="0.35">
      <c r="A24" s="34">
        <v>22</v>
      </c>
      <c r="B24" s="35" t="s">
        <v>142</v>
      </c>
      <c r="C24" s="35" t="s">
        <v>195</v>
      </c>
      <c r="D24" s="35" t="s">
        <v>197</v>
      </c>
      <c r="E24" s="35" t="s">
        <v>45</v>
      </c>
      <c r="F24" s="35" t="s">
        <v>9</v>
      </c>
      <c r="G24" s="35" t="s">
        <v>39</v>
      </c>
      <c r="H24" s="36" t="s">
        <v>638</v>
      </c>
    </row>
    <row r="25" spans="1:8" x14ac:dyDescent="0.35">
      <c r="A25" s="34">
        <v>23</v>
      </c>
      <c r="B25" s="35" t="s">
        <v>199</v>
      </c>
      <c r="C25" s="35" t="s">
        <v>143</v>
      </c>
      <c r="D25" s="35" t="s">
        <v>200</v>
      </c>
      <c r="E25" s="35" t="s">
        <v>38</v>
      </c>
      <c r="F25" s="35" t="s">
        <v>9</v>
      </c>
      <c r="G25" s="35" t="s">
        <v>39</v>
      </c>
      <c r="H25" s="36" t="s">
        <v>639</v>
      </c>
    </row>
    <row r="26" spans="1:8" x14ac:dyDescent="0.35">
      <c r="A26" s="34">
        <v>24</v>
      </c>
      <c r="B26" s="35" t="s">
        <v>199</v>
      </c>
      <c r="C26" s="35" t="s">
        <v>200</v>
      </c>
      <c r="D26" s="35" t="s">
        <v>202</v>
      </c>
      <c r="E26" s="35" t="s">
        <v>38</v>
      </c>
      <c r="F26" s="35" t="s">
        <v>9</v>
      </c>
      <c r="G26" s="35" t="s">
        <v>41</v>
      </c>
      <c r="H26" s="36" t="s">
        <v>640</v>
      </c>
    </row>
    <row r="27" spans="1:8" x14ac:dyDescent="0.35">
      <c r="A27" s="34">
        <v>25</v>
      </c>
      <c r="B27" s="35" t="s">
        <v>199</v>
      </c>
      <c r="C27" s="35" t="s">
        <v>146</v>
      </c>
      <c r="D27" s="35" t="s">
        <v>204</v>
      </c>
      <c r="E27" s="35" t="s">
        <v>38</v>
      </c>
      <c r="F27" s="35" t="s">
        <v>9</v>
      </c>
      <c r="G27" s="35" t="s">
        <v>40</v>
      </c>
      <c r="H27" s="36" t="s">
        <v>641</v>
      </c>
    </row>
    <row r="28" spans="1:8" ht="29" x14ac:dyDescent="0.35">
      <c r="A28" s="34">
        <v>26</v>
      </c>
      <c r="B28" s="35" t="s">
        <v>199</v>
      </c>
      <c r="C28" s="35" t="s">
        <v>206</v>
      </c>
      <c r="D28" s="35" t="s">
        <v>207</v>
      </c>
      <c r="E28" s="35" t="s">
        <v>38</v>
      </c>
      <c r="F28" s="35" t="s">
        <v>9</v>
      </c>
      <c r="G28" s="35" t="s">
        <v>43</v>
      </c>
      <c r="H28" s="36" t="s">
        <v>642</v>
      </c>
    </row>
    <row r="29" spans="1:8" x14ac:dyDescent="0.35">
      <c r="A29" s="34">
        <v>27</v>
      </c>
      <c r="B29" s="35" t="s">
        <v>199</v>
      </c>
      <c r="C29" s="35" t="s">
        <v>207</v>
      </c>
      <c r="D29" s="35" t="s">
        <v>209</v>
      </c>
      <c r="E29" s="35" t="s">
        <v>38</v>
      </c>
      <c r="F29" s="35" t="s">
        <v>9</v>
      </c>
      <c r="G29" s="35" t="s">
        <v>46</v>
      </c>
      <c r="H29" s="36" t="s">
        <v>643</v>
      </c>
    </row>
    <row r="30" spans="1:8" x14ac:dyDescent="0.35">
      <c r="A30" s="34">
        <v>28</v>
      </c>
      <c r="B30" s="35" t="s">
        <v>199</v>
      </c>
      <c r="C30" s="35" t="s">
        <v>211</v>
      </c>
      <c r="D30" s="35" t="s">
        <v>212</v>
      </c>
      <c r="E30" s="35" t="s">
        <v>38</v>
      </c>
      <c r="F30" s="35" t="s">
        <v>9</v>
      </c>
      <c r="G30" s="35" t="s">
        <v>38</v>
      </c>
      <c r="H30" s="36" t="s">
        <v>644</v>
      </c>
    </row>
    <row r="31" spans="1:8" ht="29" x14ac:dyDescent="0.35">
      <c r="A31" s="34">
        <v>29</v>
      </c>
      <c r="B31" s="35" t="s">
        <v>199</v>
      </c>
      <c r="C31" s="35" t="s">
        <v>212</v>
      </c>
      <c r="D31" s="35" t="s">
        <v>214</v>
      </c>
      <c r="E31" s="35" t="s">
        <v>38</v>
      </c>
      <c r="F31" s="35" t="s">
        <v>44</v>
      </c>
      <c r="G31" s="35" t="s">
        <v>44</v>
      </c>
      <c r="H31" s="36" t="s">
        <v>645</v>
      </c>
    </row>
    <row r="32" spans="1:8" x14ac:dyDescent="0.35">
      <c r="A32" s="34">
        <v>30</v>
      </c>
      <c r="B32" s="35" t="s">
        <v>199</v>
      </c>
      <c r="C32" s="35" t="s">
        <v>216</v>
      </c>
      <c r="D32" s="35" t="s">
        <v>217</v>
      </c>
      <c r="E32" s="35" t="s">
        <v>38</v>
      </c>
      <c r="F32" s="35" t="s">
        <v>44</v>
      </c>
      <c r="G32" s="35" t="s">
        <v>45</v>
      </c>
      <c r="H32" s="36" t="s">
        <v>646</v>
      </c>
    </row>
    <row r="33" spans="1:8" ht="29" x14ac:dyDescent="0.35">
      <c r="A33" s="34">
        <v>31</v>
      </c>
      <c r="B33" s="35" t="s">
        <v>199</v>
      </c>
      <c r="C33" s="35" t="s">
        <v>219</v>
      </c>
      <c r="D33" s="35" t="s">
        <v>220</v>
      </c>
      <c r="E33" s="35" t="s">
        <v>38</v>
      </c>
      <c r="F33" s="35" t="s">
        <v>44</v>
      </c>
      <c r="G33" s="35" t="s">
        <v>39</v>
      </c>
      <c r="H33" s="36" t="s">
        <v>647</v>
      </c>
    </row>
    <row r="34" spans="1:8" ht="29" x14ac:dyDescent="0.35">
      <c r="A34" s="34">
        <v>32</v>
      </c>
      <c r="B34" s="35" t="s">
        <v>199</v>
      </c>
      <c r="C34" s="35" t="s">
        <v>222</v>
      </c>
      <c r="D34" s="35" t="s">
        <v>223</v>
      </c>
      <c r="E34" s="35" t="s">
        <v>38</v>
      </c>
      <c r="F34" s="35" t="s">
        <v>44</v>
      </c>
      <c r="G34" s="35" t="s">
        <v>41</v>
      </c>
      <c r="H34" s="36" t="s">
        <v>648</v>
      </c>
    </row>
    <row r="35" spans="1:8" x14ac:dyDescent="0.35">
      <c r="A35" s="34">
        <v>33</v>
      </c>
      <c r="B35" s="35" t="s">
        <v>199</v>
      </c>
      <c r="C35" s="35" t="s">
        <v>225</v>
      </c>
      <c r="D35" s="35" t="s">
        <v>226</v>
      </c>
      <c r="E35" s="35" t="s">
        <v>38</v>
      </c>
      <c r="F35" s="35" t="s">
        <v>44</v>
      </c>
      <c r="G35" s="35" t="s">
        <v>40</v>
      </c>
      <c r="H35" s="36" t="s">
        <v>649</v>
      </c>
    </row>
    <row r="36" spans="1:8" ht="29" x14ac:dyDescent="0.35">
      <c r="A36" s="34">
        <v>34</v>
      </c>
      <c r="B36" s="35" t="s">
        <v>199</v>
      </c>
      <c r="C36" s="35" t="s">
        <v>228</v>
      </c>
      <c r="D36" s="35" t="s">
        <v>229</v>
      </c>
      <c r="E36" s="35" t="s">
        <v>38</v>
      </c>
      <c r="F36" s="35" t="s">
        <v>44</v>
      </c>
      <c r="G36" s="35" t="s">
        <v>43</v>
      </c>
      <c r="H36" s="36" t="s">
        <v>650</v>
      </c>
    </row>
    <row r="37" spans="1:8" x14ac:dyDescent="0.35">
      <c r="A37" s="34">
        <v>35</v>
      </c>
      <c r="B37" s="35" t="s">
        <v>199</v>
      </c>
      <c r="C37" s="35" t="s">
        <v>231</v>
      </c>
      <c r="D37" s="35" t="s">
        <v>232</v>
      </c>
      <c r="E37" s="35" t="s">
        <v>38</v>
      </c>
      <c r="F37" s="35" t="s">
        <v>44</v>
      </c>
      <c r="G37" s="35" t="s">
        <v>46</v>
      </c>
      <c r="H37" s="36" t="s">
        <v>651</v>
      </c>
    </row>
    <row r="38" spans="1:8" x14ac:dyDescent="0.35">
      <c r="A38" s="34">
        <v>36</v>
      </c>
      <c r="B38" s="35" t="s">
        <v>199</v>
      </c>
      <c r="C38" s="35" t="s">
        <v>234</v>
      </c>
      <c r="D38" s="35" t="s">
        <v>235</v>
      </c>
      <c r="E38" s="35" t="s">
        <v>38</v>
      </c>
      <c r="F38" s="35" t="s">
        <v>44</v>
      </c>
      <c r="G38" s="35" t="s">
        <v>38</v>
      </c>
      <c r="H38" s="36" t="s">
        <v>652</v>
      </c>
    </row>
    <row r="39" spans="1:8" x14ac:dyDescent="0.35">
      <c r="A39" s="34">
        <v>37</v>
      </c>
      <c r="B39" s="35" t="s">
        <v>199</v>
      </c>
      <c r="C39" s="35" t="s">
        <v>237</v>
      </c>
      <c r="D39" s="35" t="s">
        <v>238</v>
      </c>
      <c r="E39" s="35" t="s">
        <v>38</v>
      </c>
      <c r="F39" s="35" t="s">
        <v>44</v>
      </c>
      <c r="G39" s="35" t="s">
        <v>9</v>
      </c>
      <c r="H39" s="36" t="s">
        <v>653</v>
      </c>
    </row>
    <row r="40" spans="1:8" x14ac:dyDescent="0.35">
      <c r="A40" s="34">
        <v>38</v>
      </c>
      <c r="B40" s="35" t="s">
        <v>199</v>
      </c>
      <c r="C40" s="35" t="s">
        <v>238</v>
      </c>
      <c r="D40" s="35" t="s">
        <v>240</v>
      </c>
      <c r="E40" s="35" t="s">
        <v>38</v>
      </c>
      <c r="F40" s="35" t="s">
        <v>45</v>
      </c>
      <c r="G40" s="35" t="s">
        <v>45</v>
      </c>
      <c r="H40" s="36" t="s">
        <v>654</v>
      </c>
    </row>
    <row r="41" spans="1:8" x14ac:dyDescent="0.35">
      <c r="A41" s="34">
        <v>39</v>
      </c>
      <c r="B41" s="35" t="s">
        <v>199</v>
      </c>
      <c r="C41" s="35" t="s">
        <v>242</v>
      </c>
      <c r="D41" s="35" t="s">
        <v>243</v>
      </c>
      <c r="E41" s="35" t="s">
        <v>38</v>
      </c>
      <c r="F41" s="35" t="s">
        <v>45</v>
      </c>
      <c r="G41" s="35" t="s">
        <v>39</v>
      </c>
      <c r="H41" s="36" t="s">
        <v>655</v>
      </c>
    </row>
    <row r="42" spans="1:8" x14ac:dyDescent="0.35">
      <c r="A42" s="34">
        <v>40</v>
      </c>
      <c r="B42" s="35" t="s">
        <v>199</v>
      </c>
      <c r="C42" s="35" t="s">
        <v>245</v>
      </c>
      <c r="D42" s="35" t="s">
        <v>246</v>
      </c>
      <c r="E42" s="35" t="s">
        <v>38</v>
      </c>
      <c r="F42" s="35" t="s">
        <v>45</v>
      </c>
      <c r="G42" s="35" t="s">
        <v>41</v>
      </c>
      <c r="H42" s="36" t="s">
        <v>656</v>
      </c>
    </row>
    <row r="43" spans="1:8" x14ac:dyDescent="0.35">
      <c r="A43" s="34">
        <v>41</v>
      </c>
      <c r="B43" s="35" t="s">
        <v>199</v>
      </c>
      <c r="C43" s="35" t="s">
        <v>248</v>
      </c>
      <c r="D43" s="35" t="s">
        <v>249</v>
      </c>
      <c r="E43" s="35" t="s">
        <v>38</v>
      </c>
      <c r="F43" s="35" t="s">
        <v>45</v>
      </c>
      <c r="G43" s="35" t="s">
        <v>40</v>
      </c>
      <c r="H43" s="36" t="s">
        <v>657</v>
      </c>
    </row>
    <row r="44" spans="1:8" x14ac:dyDescent="0.35">
      <c r="A44" s="34">
        <v>42</v>
      </c>
      <c r="B44" s="35" t="s">
        <v>251</v>
      </c>
      <c r="C44" s="35" t="s">
        <v>143</v>
      </c>
      <c r="D44" s="35" t="s">
        <v>252</v>
      </c>
      <c r="E44" s="35" t="s">
        <v>43</v>
      </c>
      <c r="F44" s="35" t="s">
        <v>45</v>
      </c>
      <c r="G44" s="35" t="s">
        <v>43</v>
      </c>
      <c r="H44" s="36" t="s">
        <v>658</v>
      </c>
    </row>
    <row r="45" spans="1:8" x14ac:dyDescent="0.35">
      <c r="A45" s="34">
        <v>43</v>
      </c>
      <c r="B45" s="35" t="s">
        <v>251</v>
      </c>
      <c r="C45" s="35" t="s">
        <v>252</v>
      </c>
      <c r="D45" s="35" t="s">
        <v>254</v>
      </c>
      <c r="E45" s="35" t="s">
        <v>43</v>
      </c>
      <c r="F45" s="35" t="s">
        <v>45</v>
      </c>
      <c r="G45" s="35" t="s">
        <v>46</v>
      </c>
      <c r="H45" s="36" t="s">
        <v>659</v>
      </c>
    </row>
    <row r="46" spans="1:8" x14ac:dyDescent="0.35">
      <c r="A46" s="34">
        <v>44</v>
      </c>
      <c r="B46" s="35" t="s">
        <v>251</v>
      </c>
      <c r="C46" s="35" t="s">
        <v>256</v>
      </c>
      <c r="D46" s="35" t="s">
        <v>257</v>
      </c>
      <c r="E46" s="35" t="s">
        <v>43</v>
      </c>
      <c r="F46" s="35" t="s">
        <v>45</v>
      </c>
      <c r="G46" s="35" t="s">
        <v>38</v>
      </c>
      <c r="H46" s="36" t="s">
        <v>660</v>
      </c>
    </row>
    <row r="47" spans="1:8" x14ac:dyDescent="0.35">
      <c r="A47" s="34">
        <v>45</v>
      </c>
      <c r="B47" s="35" t="s">
        <v>251</v>
      </c>
      <c r="C47" s="35" t="s">
        <v>259</v>
      </c>
      <c r="D47" s="35" t="s">
        <v>154</v>
      </c>
      <c r="E47" s="35" t="s">
        <v>43</v>
      </c>
      <c r="F47" s="35" t="s">
        <v>45</v>
      </c>
      <c r="G47" s="35" t="s">
        <v>9</v>
      </c>
      <c r="H47" s="36" t="s">
        <v>661</v>
      </c>
    </row>
    <row r="48" spans="1:8" x14ac:dyDescent="0.35">
      <c r="A48" s="34">
        <v>46</v>
      </c>
      <c r="B48" s="35" t="s">
        <v>251</v>
      </c>
      <c r="C48" s="35" t="s">
        <v>261</v>
      </c>
      <c r="D48" s="35" t="s">
        <v>262</v>
      </c>
      <c r="E48" s="35" t="s">
        <v>43</v>
      </c>
      <c r="F48" s="35" t="s">
        <v>45</v>
      </c>
      <c r="G48" s="35" t="s">
        <v>44</v>
      </c>
      <c r="H48" s="36" t="s">
        <v>662</v>
      </c>
    </row>
    <row r="49" spans="1:8" x14ac:dyDescent="0.35">
      <c r="A49" s="34">
        <v>47</v>
      </c>
      <c r="B49" s="35" t="s">
        <v>251</v>
      </c>
      <c r="C49" s="35" t="s">
        <v>262</v>
      </c>
      <c r="D49" s="35" t="s">
        <v>264</v>
      </c>
      <c r="E49" s="35" t="s">
        <v>43</v>
      </c>
      <c r="F49" s="35" t="s">
        <v>39</v>
      </c>
      <c r="G49" s="35" t="s">
        <v>39</v>
      </c>
      <c r="H49" s="36" t="s">
        <v>663</v>
      </c>
    </row>
    <row r="50" spans="1:8" x14ac:dyDescent="0.35">
      <c r="A50" s="34">
        <v>48</v>
      </c>
      <c r="B50" s="35" t="s">
        <v>251</v>
      </c>
      <c r="C50" s="35" t="s">
        <v>266</v>
      </c>
      <c r="D50" s="35" t="s">
        <v>267</v>
      </c>
      <c r="E50" s="35" t="s">
        <v>43</v>
      </c>
      <c r="F50" s="35" t="s">
        <v>39</v>
      </c>
      <c r="G50" s="35" t="s">
        <v>41</v>
      </c>
      <c r="H50" s="36" t="s">
        <v>664</v>
      </c>
    </row>
    <row r="51" spans="1:8" x14ac:dyDescent="0.35">
      <c r="A51" s="34">
        <v>49</v>
      </c>
      <c r="B51" s="35" t="s">
        <v>251</v>
      </c>
      <c r="C51" s="35" t="s">
        <v>267</v>
      </c>
      <c r="D51" s="35" t="s">
        <v>269</v>
      </c>
      <c r="E51" s="35" t="s">
        <v>43</v>
      </c>
      <c r="F51" s="35" t="s">
        <v>39</v>
      </c>
      <c r="G51" s="35" t="s">
        <v>40</v>
      </c>
      <c r="H51" s="36" t="s">
        <v>665</v>
      </c>
    </row>
    <row r="52" spans="1:8" x14ac:dyDescent="0.35">
      <c r="A52" s="34">
        <v>50</v>
      </c>
      <c r="B52" s="35" t="s">
        <v>251</v>
      </c>
      <c r="C52" s="35" t="s">
        <v>271</v>
      </c>
      <c r="D52" s="35" t="s">
        <v>272</v>
      </c>
      <c r="E52" s="35" t="s">
        <v>43</v>
      </c>
      <c r="F52" s="35" t="s">
        <v>39</v>
      </c>
      <c r="G52" s="35" t="s">
        <v>43</v>
      </c>
      <c r="H52" s="36" t="s">
        <v>666</v>
      </c>
    </row>
    <row r="53" spans="1:8" ht="29" x14ac:dyDescent="0.35">
      <c r="A53" s="34">
        <v>51</v>
      </c>
      <c r="B53" s="35" t="s">
        <v>251</v>
      </c>
      <c r="C53" s="35" t="s">
        <v>272</v>
      </c>
      <c r="D53" s="35" t="s">
        <v>274</v>
      </c>
      <c r="E53" s="35" t="s">
        <v>43</v>
      </c>
      <c r="F53" s="35" t="s">
        <v>39</v>
      </c>
      <c r="G53" s="35" t="s">
        <v>46</v>
      </c>
      <c r="H53" s="36" t="s">
        <v>667</v>
      </c>
    </row>
    <row r="54" spans="1:8" x14ac:dyDescent="0.35">
      <c r="A54" s="34">
        <v>52</v>
      </c>
      <c r="B54" s="35" t="s">
        <v>251</v>
      </c>
      <c r="C54" s="35" t="s">
        <v>274</v>
      </c>
      <c r="D54" s="35" t="s">
        <v>276</v>
      </c>
      <c r="E54" s="35" t="s">
        <v>43</v>
      </c>
      <c r="F54" s="35" t="s">
        <v>39</v>
      </c>
      <c r="G54" s="35" t="s">
        <v>38</v>
      </c>
      <c r="H54" s="36" t="s">
        <v>668</v>
      </c>
    </row>
    <row r="55" spans="1:8" x14ac:dyDescent="0.35">
      <c r="A55" s="34">
        <v>53</v>
      </c>
      <c r="B55" s="35" t="s">
        <v>251</v>
      </c>
      <c r="C55" s="35" t="s">
        <v>276</v>
      </c>
      <c r="D55" s="35" t="s">
        <v>177</v>
      </c>
      <c r="E55" s="35" t="s">
        <v>43</v>
      </c>
      <c r="F55" s="35" t="s">
        <v>39</v>
      </c>
      <c r="G55" s="35" t="s">
        <v>9</v>
      </c>
      <c r="H55" s="36" t="s">
        <v>669</v>
      </c>
    </row>
    <row r="56" spans="1:8" x14ac:dyDescent="0.35">
      <c r="A56" s="34">
        <v>54</v>
      </c>
      <c r="B56" s="35" t="s">
        <v>251</v>
      </c>
      <c r="C56" s="35" t="s">
        <v>279</v>
      </c>
      <c r="D56" s="35" t="s">
        <v>280</v>
      </c>
      <c r="E56" s="35" t="s">
        <v>43</v>
      </c>
      <c r="F56" s="35" t="s">
        <v>39</v>
      </c>
      <c r="G56" s="35" t="s">
        <v>44</v>
      </c>
      <c r="H56" s="36" t="s">
        <v>670</v>
      </c>
    </row>
    <row r="57" spans="1:8" x14ac:dyDescent="0.35">
      <c r="A57" s="34">
        <v>55</v>
      </c>
      <c r="B57" s="35" t="s">
        <v>251</v>
      </c>
      <c r="C57" s="35" t="s">
        <v>282</v>
      </c>
      <c r="D57" s="35" t="s">
        <v>283</v>
      </c>
      <c r="E57" s="35" t="s">
        <v>43</v>
      </c>
      <c r="F57" s="35" t="s">
        <v>39</v>
      </c>
      <c r="G57" s="35" t="s">
        <v>45</v>
      </c>
      <c r="H57" s="36" t="s">
        <v>671</v>
      </c>
    </row>
    <row r="58" spans="1:8" x14ac:dyDescent="0.35">
      <c r="A58" s="34">
        <v>56</v>
      </c>
      <c r="B58" s="35" t="s">
        <v>251</v>
      </c>
      <c r="C58" s="35" t="s">
        <v>283</v>
      </c>
      <c r="D58" s="35" t="s">
        <v>285</v>
      </c>
      <c r="E58" s="35" t="s">
        <v>43</v>
      </c>
      <c r="F58" s="35" t="s">
        <v>41</v>
      </c>
      <c r="G58" s="35" t="s">
        <v>41</v>
      </c>
      <c r="H58" s="36" t="s">
        <v>672</v>
      </c>
    </row>
    <row r="59" spans="1:8" x14ac:dyDescent="0.35">
      <c r="A59" s="34">
        <v>57</v>
      </c>
      <c r="B59" s="35" t="s">
        <v>251</v>
      </c>
      <c r="C59" s="35" t="s">
        <v>287</v>
      </c>
      <c r="D59" s="35" t="s">
        <v>288</v>
      </c>
      <c r="E59" s="35" t="s">
        <v>43</v>
      </c>
      <c r="F59" s="35" t="s">
        <v>41</v>
      </c>
      <c r="G59" s="35" t="s">
        <v>40</v>
      </c>
      <c r="H59" s="36" t="s">
        <v>673</v>
      </c>
    </row>
    <row r="60" spans="1:8" x14ac:dyDescent="0.35">
      <c r="A60" s="34">
        <v>58</v>
      </c>
      <c r="B60" s="35" t="s">
        <v>251</v>
      </c>
      <c r="C60" s="35" t="s">
        <v>290</v>
      </c>
      <c r="D60" s="35" t="s">
        <v>291</v>
      </c>
      <c r="E60" s="35" t="s">
        <v>43</v>
      </c>
      <c r="F60" s="35" t="s">
        <v>41</v>
      </c>
      <c r="G60" s="35" t="s">
        <v>43</v>
      </c>
      <c r="H60" s="36" t="s">
        <v>674</v>
      </c>
    </row>
    <row r="61" spans="1:8" x14ac:dyDescent="0.35">
      <c r="A61" s="34">
        <v>59</v>
      </c>
      <c r="B61" s="35" t="s">
        <v>251</v>
      </c>
      <c r="C61" s="35" t="s">
        <v>293</v>
      </c>
      <c r="D61" s="35" t="s">
        <v>294</v>
      </c>
      <c r="E61" s="35" t="s">
        <v>43</v>
      </c>
      <c r="F61" s="35" t="s">
        <v>41</v>
      </c>
      <c r="G61" s="35" t="s">
        <v>46</v>
      </c>
      <c r="H61" s="36" t="s">
        <v>675</v>
      </c>
    </row>
    <row r="62" spans="1:8" ht="29" x14ac:dyDescent="0.35">
      <c r="A62" s="34">
        <v>60</v>
      </c>
      <c r="B62" s="35" t="s">
        <v>251</v>
      </c>
      <c r="C62" s="35" t="s">
        <v>296</v>
      </c>
      <c r="D62" s="35" t="s">
        <v>297</v>
      </c>
      <c r="E62" s="35" t="s">
        <v>43</v>
      </c>
      <c r="F62" s="35" t="s">
        <v>41</v>
      </c>
      <c r="G62" s="35" t="s">
        <v>38</v>
      </c>
      <c r="H62" s="36" t="s">
        <v>676</v>
      </c>
    </row>
    <row r="63" spans="1:8" x14ac:dyDescent="0.35">
      <c r="A63" s="34">
        <v>61</v>
      </c>
      <c r="B63" s="35" t="s">
        <v>251</v>
      </c>
      <c r="C63" s="35" t="s">
        <v>297</v>
      </c>
      <c r="D63" s="35" t="s">
        <v>299</v>
      </c>
      <c r="E63" s="35" t="s">
        <v>43</v>
      </c>
      <c r="F63" s="35" t="s">
        <v>41</v>
      </c>
      <c r="G63" s="35" t="s">
        <v>9</v>
      </c>
      <c r="H63" s="36" t="s">
        <v>677</v>
      </c>
    </row>
    <row r="64" spans="1:8" x14ac:dyDescent="0.35">
      <c r="A64" s="34">
        <v>62</v>
      </c>
      <c r="B64" s="35" t="s">
        <v>251</v>
      </c>
      <c r="C64" s="35" t="s">
        <v>299</v>
      </c>
      <c r="D64" s="35" t="s">
        <v>197</v>
      </c>
      <c r="E64" s="35" t="s">
        <v>43</v>
      </c>
      <c r="F64" s="35" t="s">
        <v>41</v>
      </c>
      <c r="G64" s="35" t="s">
        <v>44</v>
      </c>
      <c r="H64" s="36" t="s">
        <v>678</v>
      </c>
    </row>
    <row r="65" spans="1:8" ht="29" x14ac:dyDescent="0.35">
      <c r="A65" s="34">
        <v>63</v>
      </c>
      <c r="B65" s="35" t="s">
        <v>302</v>
      </c>
      <c r="C65" s="35" t="s">
        <v>143</v>
      </c>
      <c r="D65" s="35" t="s">
        <v>303</v>
      </c>
      <c r="E65" s="35" t="s">
        <v>44</v>
      </c>
      <c r="F65" s="35" t="s">
        <v>41</v>
      </c>
      <c r="G65" s="35" t="s">
        <v>44</v>
      </c>
      <c r="H65" s="36" t="s">
        <v>679</v>
      </c>
    </row>
    <row r="66" spans="1:8" ht="29" x14ac:dyDescent="0.35">
      <c r="A66" s="34">
        <v>64</v>
      </c>
      <c r="B66" s="35" t="s">
        <v>302</v>
      </c>
      <c r="C66" s="35" t="s">
        <v>303</v>
      </c>
      <c r="D66" s="35" t="s">
        <v>305</v>
      </c>
      <c r="E66" s="35" t="s">
        <v>44</v>
      </c>
      <c r="F66" s="35" t="s">
        <v>41</v>
      </c>
      <c r="G66" s="35" t="s">
        <v>45</v>
      </c>
      <c r="H66" s="36" t="s">
        <v>680</v>
      </c>
    </row>
    <row r="67" spans="1:8" x14ac:dyDescent="0.35">
      <c r="A67" s="34">
        <v>65</v>
      </c>
      <c r="B67" s="35" t="s">
        <v>302</v>
      </c>
      <c r="C67" s="35" t="s">
        <v>307</v>
      </c>
      <c r="D67" s="35" t="s">
        <v>308</v>
      </c>
      <c r="E67" s="35" t="s">
        <v>44</v>
      </c>
      <c r="F67" s="35" t="s">
        <v>41</v>
      </c>
      <c r="G67" s="35" t="s">
        <v>39</v>
      </c>
      <c r="H67" s="36" t="s">
        <v>681</v>
      </c>
    </row>
    <row r="68" spans="1:8" ht="72.5" x14ac:dyDescent="0.35">
      <c r="A68" s="34">
        <v>66</v>
      </c>
      <c r="B68" s="35" t="s">
        <v>302</v>
      </c>
      <c r="C68" s="35" t="s">
        <v>310</v>
      </c>
      <c r="D68" s="35" t="s">
        <v>311</v>
      </c>
      <c r="E68" s="35" t="s">
        <v>44</v>
      </c>
      <c r="F68" s="35" t="s">
        <v>40</v>
      </c>
      <c r="G68" s="35" t="s">
        <v>40</v>
      </c>
      <c r="H68" s="36" t="s">
        <v>4133</v>
      </c>
    </row>
    <row r="69" spans="1:8" x14ac:dyDescent="0.35">
      <c r="A69" s="34">
        <v>67</v>
      </c>
      <c r="B69" s="35" t="s">
        <v>302</v>
      </c>
      <c r="C69" s="35" t="s">
        <v>311</v>
      </c>
      <c r="D69" s="35" t="s">
        <v>307</v>
      </c>
      <c r="E69" s="35" t="s">
        <v>44</v>
      </c>
      <c r="F69" s="35" t="s">
        <v>40</v>
      </c>
      <c r="G69" s="35" t="s">
        <v>43</v>
      </c>
      <c r="H69" s="36" t="s">
        <v>682</v>
      </c>
    </row>
    <row r="70" spans="1:8" x14ac:dyDescent="0.35">
      <c r="A70" s="34">
        <v>68</v>
      </c>
      <c r="B70" s="35" t="s">
        <v>302</v>
      </c>
      <c r="C70" s="35" t="s">
        <v>307</v>
      </c>
      <c r="D70" s="35" t="s">
        <v>314</v>
      </c>
      <c r="E70" s="35" t="s">
        <v>44</v>
      </c>
      <c r="F70" s="35" t="s">
        <v>40</v>
      </c>
      <c r="G70" s="35" t="s">
        <v>46</v>
      </c>
      <c r="H70" s="36" t="s">
        <v>683</v>
      </c>
    </row>
    <row r="71" spans="1:8" x14ac:dyDescent="0.35">
      <c r="A71" s="34">
        <v>69</v>
      </c>
      <c r="B71" s="35" t="s">
        <v>302</v>
      </c>
      <c r="C71" s="35" t="s">
        <v>316</v>
      </c>
      <c r="D71" s="35" t="s">
        <v>317</v>
      </c>
      <c r="E71" s="35" t="s">
        <v>44</v>
      </c>
      <c r="F71" s="35" t="s">
        <v>40</v>
      </c>
      <c r="G71" s="35" t="s">
        <v>38</v>
      </c>
      <c r="H71" s="36" t="s">
        <v>684</v>
      </c>
    </row>
    <row r="72" spans="1:8" x14ac:dyDescent="0.35">
      <c r="A72" s="34">
        <v>70</v>
      </c>
      <c r="B72" s="35" t="s">
        <v>302</v>
      </c>
      <c r="C72" s="35" t="s">
        <v>319</v>
      </c>
      <c r="D72" s="35" t="s">
        <v>320</v>
      </c>
      <c r="E72" s="35" t="s">
        <v>44</v>
      </c>
      <c r="F72" s="35" t="s">
        <v>40</v>
      </c>
      <c r="G72" s="35" t="s">
        <v>9</v>
      </c>
      <c r="H72" s="36" t="s">
        <v>685</v>
      </c>
    </row>
    <row r="73" spans="1:8" x14ac:dyDescent="0.35">
      <c r="A73" s="34">
        <v>71</v>
      </c>
      <c r="B73" s="35" t="s">
        <v>302</v>
      </c>
      <c r="C73" s="35" t="s">
        <v>322</v>
      </c>
      <c r="D73" s="35" t="s">
        <v>323</v>
      </c>
      <c r="E73" s="35" t="s">
        <v>44</v>
      </c>
      <c r="F73" s="35" t="s">
        <v>40</v>
      </c>
      <c r="G73" s="35" t="s">
        <v>44</v>
      </c>
      <c r="H73" s="36" t="s">
        <v>686</v>
      </c>
    </row>
    <row r="74" spans="1:8" x14ac:dyDescent="0.35">
      <c r="A74" s="34">
        <v>72</v>
      </c>
      <c r="B74" s="35" t="s">
        <v>302</v>
      </c>
      <c r="C74" s="35" t="s">
        <v>325</v>
      </c>
      <c r="D74" s="35" t="s">
        <v>326</v>
      </c>
      <c r="E74" s="35" t="s">
        <v>44</v>
      </c>
      <c r="F74" s="35" t="s">
        <v>40</v>
      </c>
      <c r="G74" s="35" t="s">
        <v>45</v>
      </c>
      <c r="H74" s="36" t="s">
        <v>687</v>
      </c>
    </row>
    <row r="75" spans="1:8" x14ac:dyDescent="0.35">
      <c r="A75" s="34">
        <v>73</v>
      </c>
      <c r="B75" s="35" t="s">
        <v>302</v>
      </c>
      <c r="C75" s="35" t="s">
        <v>328</v>
      </c>
      <c r="D75" s="35" t="s">
        <v>329</v>
      </c>
      <c r="E75" s="35" t="s">
        <v>44</v>
      </c>
      <c r="F75" s="35" t="s">
        <v>40</v>
      </c>
      <c r="G75" s="35" t="s">
        <v>39</v>
      </c>
      <c r="H75" s="36" t="s">
        <v>688</v>
      </c>
    </row>
    <row r="76" spans="1:8" x14ac:dyDescent="0.35">
      <c r="A76" s="34">
        <v>74</v>
      </c>
      <c r="B76" s="35" t="s">
        <v>302</v>
      </c>
      <c r="C76" s="35" t="s">
        <v>329</v>
      </c>
      <c r="D76" s="35" t="s">
        <v>331</v>
      </c>
      <c r="E76" s="35" t="s">
        <v>44</v>
      </c>
      <c r="F76" s="35" t="s">
        <v>40</v>
      </c>
      <c r="G76" s="35" t="s">
        <v>41</v>
      </c>
      <c r="H76" s="36" t="s">
        <v>689</v>
      </c>
    </row>
    <row r="77" spans="1:8" ht="29" x14ac:dyDescent="0.35">
      <c r="A77" s="34">
        <v>75</v>
      </c>
      <c r="B77" s="35" t="s">
        <v>302</v>
      </c>
      <c r="C77" s="35" t="s">
        <v>333</v>
      </c>
      <c r="D77" s="35" t="s">
        <v>334</v>
      </c>
      <c r="E77" s="35" t="s">
        <v>44</v>
      </c>
      <c r="F77" s="35" t="s">
        <v>43</v>
      </c>
      <c r="G77" s="35" t="s">
        <v>43</v>
      </c>
      <c r="H77" s="36" t="s">
        <v>690</v>
      </c>
    </row>
    <row r="78" spans="1:8" x14ac:dyDescent="0.35">
      <c r="A78" s="34">
        <v>76</v>
      </c>
      <c r="B78" s="35" t="s">
        <v>302</v>
      </c>
      <c r="C78" s="35" t="s">
        <v>336</v>
      </c>
      <c r="D78" s="35" t="s">
        <v>337</v>
      </c>
      <c r="E78" s="35" t="s">
        <v>44</v>
      </c>
      <c r="F78" s="35" t="s">
        <v>43</v>
      </c>
      <c r="G78" s="35" t="s">
        <v>46</v>
      </c>
      <c r="H78" s="36" t="s">
        <v>691</v>
      </c>
    </row>
    <row r="79" spans="1:8" ht="29" x14ac:dyDescent="0.35">
      <c r="A79" s="34">
        <v>77</v>
      </c>
      <c r="B79" s="35" t="s">
        <v>302</v>
      </c>
      <c r="C79" s="35" t="s">
        <v>337</v>
      </c>
      <c r="D79" s="35" t="s">
        <v>339</v>
      </c>
      <c r="E79" s="35" t="s">
        <v>44</v>
      </c>
      <c r="F79" s="35" t="s">
        <v>43</v>
      </c>
      <c r="G79" s="35" t="s">
        <v>38</v>
      </c>
      <c r="H79" s="36" t="s">
        <v>692</v>
      </c>
    </row>
    <row r="80" spans="1:8" x14ac:dyDescent="0.35">
      <c r="A80" s="34">
        <v>78</v>
      </c>
      <c r="B80" s="35" t="s">
        <v>302</v>
      </c>
      <c r="C80" s="35" t="s">
        <v>339</v>
      </c>
      <c r="D80" s="35" t="s">
        <v>341</v>
      </c>
      <c r="E80" s="35" t="s">
        <v>44</v>
      </c>
      <c r="F80" s="35" t="s">
        <v>43</v>
      </c>
      <c r="G80" s="35" t="s">
        <v>9</v>
      </c>
      <c r="H80" s="36" t="s">
        <v>693</v>
      </c>
    </row>
    <row r="81" spans="1:8" x14ac:dyDescent="0.35">
      <c r="A81" s="34">
        <v>79</v>
      </c>
      <c r="B81" s="35" t="s">
        <v>302</v>
      </c>
      <c r="C81" s="35" t="s">
        <v>341</v>
      </c>
      <c r="D81" s="35" t="s">
        <v>343</v>
      </c>
      <c r="E81" s="35" t="s">
        <v>44</v>
      </c>
      <c r="F81" s="35" t="s">
        <v>43</v>
      </c>
      <c r="G81" s="35" t="s">
        <v>44</v>
      </c>
      <c r="H81" s="36" t="s">
        <v>694</v>
      </c>
    </row>
    <row r="82" spans="1:8" x14ac:dyDescent="0.35">
      <c r="A82" s="34">
        <v>80</v>
      </c>
      <c r="B82" s="35" t="s">
        <v>302</v>
      </c>
      <c r="C82" s="35" t="s">
        <v>343</v>
      </c>
      <c r="D82" s="35" t="s">
        <v>345</v>
      </c>
      <c r="E82" s="35" t="s">
        <v>44</v>
      </c>
      <c r="F82" s="35" t="s">
        <v>43</v>
      </c>
      <c r="G82" s="35" t="s">
        <v>45</v>
      </c>
      <c r="H82" s="36" t="s">
        <v>695</v>
      </c>
    </row>
    <row r="83" spans="1:8" x14ac:dyDescent="0.35">
      <c r="A83" s="34">
        <v>81</v>
      </c>
      <c r="B83" s="35" t="s">
        <v>302</v>
      </c>
      <c r="C83" s="35" t="s">
        <v>345</v>
      </c>
      <c r="D83" s="35" t="s">
        <v>245</v>
      </c>
      <c r="E83" s="35" t="s">
        <v>44</v>
      </c>
      <c r="F83" s="35" t="s">
        <v>43</v>
      </c>
      <c r="G83" s="35" t="s">
        <v>39</v>
      </c>
      <c r="H83" s="36" t="s">
        <v>696</v>
      </c>
    </row>
    <row r="84" spans="1:8" x14ac:dyDescent="0.35">
      <c r="A84" s="34">
        <v>82</v>
      </c>
      <c r="B84" s="35" t="s">
        <v>302</v>
      </c>
      <c r="C84" s="35" t="s">
        <v>243</v>
      </c>
      <c r="D84" s="35" t="s">
        <v>248</v>
      </c>
      <c r="E84" s="35" t="s">
        <v>44</v>
      </c>
      <c r="F84" s="35" t="s">
        <v>43</v>
      </c>
      <c r="G84" s="35" t="s">
        <v>41</v>
      </c>
      <c r="H84" s="36" t="s">
        <v>697</v>
      </c>
    </row>
    <row r="85" spans="1:8" x14ac:dyDescent="0.35">
      <c r="A85" s="34">
        <v>83</v>
      </c>
      <c r="B85" s="35" t="s">
        <v>302</v>
      </c>
      <c r="C85" s="35" t="s">
        <v>248</v>
      </c>
      <c r="D85" s="35" t="s">
        <v>249</v>
      </c>
      <c r="E85" s="35" t="s">
        <v>44</v>
      </c>
      <c r="F85" s="35" t="s">
        <v>43</v>
      </c>
      <c r="G85" s="35" t="s">
        <v>40</v>
      </c>
      <c r="H85" s="36" t="s">
        <v>698</v>
      </c>
    </row>
    <row r="86" spans="1:8" x14ac:dyDescent="0.35">
      <c r="A86" s="34">
        <v>84</v>
      </c>
      <c r="B86" s="35" t="s">
        <v>350</v>
      </c>
      <c r="C86" s="35" t="s">
        <v>143</v>
      </c>
      <c r="D86" s="35" t="s">
        <v>144</v>
      </c>
      <c r="E86" s="35" t="s">
        <v>9</v>
      </c>
      <c r="F86" s="35" t="s">
        <v>46</v>
      </c>
      <c r="G86" s="35" t="s">
        <v>46</v>
      </c>
      <c r="H86" s="36" t="s">
        <v>699</v>
      </c>
    </row>
    <row r="87" spans="1:8" x14ac:dyDescent="0.35">
      <c r="A87" s="34">
        <v>85</v>
      </c>
      <c r="B87" s="35" t="s">
        <v>350</v>
      </c>
      <c r="C87" s="35" t="s">
        <v>144</v>
      </c>
      <c r="D87" s="35" t="s">
        <v>146</v>
      </c>
      <c r="E87" s="35" t="s">
        <v>9</v>
      </c>
      <c r="F87" s="35" t="s">
        <v>46</v>
      </c>
      <c r="G87" s="35" t="s">
        <v>38</v>
      </c>
      <c r="H87" s="36" t="s">
        <v>700</v>
      </c>
    </row>
    <row r="88" spans="1:8" x14ac:dyDescent="0.35">
      <c r="A88" s="34">
        <v>86</v>
      </c>
      <c r="B88" s="35" t="s">
        <v>350</v>
      </c>
      <c r="C88" s="35" t="s">
        <v>146</v>
      </c>
      <c r="D88" s="35" t="s">
        <v>149</v>
      </c>
      <c r="E88" s="35" t="s">
        <v>9</v>
      </c>
      <c r="F88" s="35" t="s">
        <v>46</v>
      </c>
      <c r="G88" s="35" t="s">
        <v>9</v>
      </c>
      <c r="H88" s="36" t="s">
        <v>701</v>
      </c>
    </row>
    <row r="89" spans="1:8" x14ac:dyDescent="0.35">
      <c r="A89" s="34">
        <v>87</v>
      </c>
      <c r="B89" s="35" t="s">
        <v>350</v>
      </c>
      <c r="C89" s="35" t="s">
        <v>354</v>
      </c>
      <c r="D89" s="35" t="s">
        <v>355</v>
      </c>
      <c r="E89" s="35" t="s">
        <v>9</v>
      </c>
      <c r="F89" s="35" t="s">
        <v>46</v>
      </c>
      <c r="G89" s="35" t="s">
        <v>44</v>
      </c>
      <c r="H89" s="36" t="s">
        <v>702</v>
      </c>
    </row>
    <row r="90" spans="1:8" x14ac:dyDescent="0.35">
      <c r="A90" s="34">
        <v>88</v>
      </c>
      <c r="B90" s="35" t="s">
        <v>350</v>
      </c>
      <c r="C90" s="35" t="s">
        <v>357</v>
      </c>
      <c r="D90" s="35" t="s">
        <v>261</v>
      </c>
      <c r="E90" s="35" t="s">
        <v>9</v>
      </c>
      <c r="F90" s="35" t="s">
        <v>46</v>
      </c>
      <c r="G90" s="35" t="s">
        <v>45</v>
      </c>
      <c r="H90" s="36" t="s">
        <v>703</v>
      </c>
    </row>
    <row r="91" spans="1:8" x14ac:dyDescent="0.35">
      <c r="A91" s="34">
        <v>89</v>
      </c>
      <c r="B91" s="35" t="s">
        <v>350</v>
      </c>
      <c r="C91" s="35" t="s">
        <v>154</v>
      </c>
      <c r="D91" s="35" t="s">
        <v>156</v>
      </c>
      <c r="E91" s="35" t="s">
        <v>9</v>
      </c>
      <c r="F91" s="35" t="s">
        <v>46</v>
      </c>
      <c r="G91" s="35" t="s">
        <v>39</v>
      </c>
      <c r="H91" s="36" t="s">
        <v>704</v>
      </c>
    </row>
    <row r="92" spans="1:8" x14ac:dyDescent="0.35">
      <c r="A92" s="34">
        <v>90</v>
      </c>
      <c r="B92" s="35" t="s">
        <v>350</v>
      </c>
      <c r="C92" s="35" t="s">
        <v>158</v>
      </c>
      <c r="D92" s="35" t="s">
        <v>159</v>
      </c>
      <c r="E92" s="35" t="s">
        <v>9</v>
      </c>
      <c r="F92" s="35" t="s">
        <v>46</v>
      </c>
      <c r="G92" s="35" t="s">
        <v>41</v>
      </c>
      <c r="H92" s="36" t="s">
        <v>705</v>
      </c>
    </row>
    <row r="93" spans="1:8" x14ac:dyDescent="0.35">
      <c r="A93" s="34">
        <v>91</v>
      </c>
      <c r="B93" s="35" t="s">
        <v>350</v>
      </c>
      <c r="C93" s="35" t="s">
        <v>159</v>
      </c>
      <c r="D93" s="35" t="s">
        <v>162</v>
      </c>
      <c r="E93" s="35" t="s">
        <v>9</v>
      </c>
      <c r="F93" s="35" t="s">
        <v>46</v>
      </c>
      <c r="G93" s="35" t="s">
        <v>40</v>
      </c>
      <c r="H93" s="36" t="s">
        <v>706</v>
      </c>
    </row>
    <row r="94" spans="1:8" x14ac:dyDescent="0.35">
      <c r="A94" s="34">
        <v>92</v>
      </c>
      <c r="B94" s="35" t="s">
        <v>350</v>
      </c>
      <c r="C94" s="35" t="s">
        <v>362</v>
      </c>
      <c r="D94" s="35" t="s">
        <v>167</v>
      </c>
      <c r="E94" s="35" t="s">
        <v>9</v>
      </c>
      <c r="F94" s="35" t="s">
        <v>46</v>
      </c>
      <c r="G94" s="35" t="s">
        <v>43</v>
      </c>
      <c r="H94" s="36" t="s">
        <v>707</v>
      </c>
    </row>
    <row r="95" spans="1:8" ht="29" x14ac:dyDescent="0.35">
      <c r="A95" s="34">
        <v>93</v>
      </c>
      <c r="B95" s="35" t="s">
        <v>350</v>
      </c>
      <c r="C95" s="35" t="s">
        <v>165</v>
      </c>
      <c r="D95" s="35" t="s">
        <v>168</v>
      </c>
      <c r="E95" s="35" t="s">
        <v>9</v>
      </c>
      <c r="F95" s="35" t="s">
        <v>38</v>
      </c>
      <c r="G95" s="35" t="s">
        <v>38</v>
      </c>
      <c r="H95" s="36" t="s">
        <v>708</v>
      </c>
    </row>
    <row r="96" spans="1:8" x14ac:dyDescent="0.35">
      <c r="A96" s="34">
        <v>94</v>
      </c>
      <c r="B96" s="35" t="s">
        <v>350</v>
      </c>
      <c r="C96" s="35" t="s">
        <v>168</v>
      </c>
      <c r="D96" s="35" t="s">
        <v>173</v>
      </c>
      <c r="E96" s="35" t="s">
        <v>9</v>
      </c>
      <c r="F96" s="35" t="s">
        <v>38</v>
      </c>
      <c r="G96" s="35" t="s">
        <v>9</v>
      </c>
      <c r="H96" s="36" t="s">
        <v>709</v>
      </c>
    </row>
    <row r="97" spans="1:8" x14ac:dyDescent="0.35">
      <c r="A97" s="34">
        <v>95</v>
      </c>
      <c r="B97" s="35" t="s">
        <v>350</v>
      </c>
      <c r="C97" s="35" t="s">
        <v>171</v>
      </c>
      <c r="D97" s="35" t="s">
        <v>366</v>
      </c>
      <c r="E97" s="35" t="s">
        <v>9</v>
      </c>
      <c r="F97" s="35" t="s">
        <v>38</v>
      </c>
      <c r="G97" s="35" t="s">
        <v>44</v>
      </c>
      <c r="H97" s="36" t="s">
        <v>710</v>
      </c>
    </row>
    <row r="98" spans="1:8" ht="29" x14ac:dyDescent="0.35">
      <c r="A98" s="34">
        <v>96</v>
      </c>
      <c r="B98" s="35" t="s">
        <v>350</v>
      </c>
      <c r="C98" s="35" t="s">
        <v>368</v>
      </c>
      <c r="D98" s="35" t="s">
        <v>177</v>
      </c>
      <c r="E98" s="35" t="s">
        <v>9</v>
      </c>
      <c r="F98" s="35" t="s">
        <v>38</v>
      </c>
      <c r="G98" s="35" t="s">
        <v>45</v>
      </c>
      <c r="H98" s="36" t="s">
        <v>711</v>
      </c>
    </row>
    <row r="99" spans="1:8" x14ac:dyDescent="0.35">
      <c r="A99" s="34">
        <v>97</v>
      </c>
      <c r="B99" s="35" t="s">
        <v>350</v>
      </c>
      <c r="C99" s="35" t="s">
        <v>177</v>
      </c>
      <c r="D99" s="35" t="s">
        <v>179</v>
      </c>
      <c r="E99" s="35" t="s">
        <v>9</v>
      </c>
      <c r="F99" s="35" t="s">
        <v>38</v>
      </c>
      <c r="G99" s="35" t="s">
        <v>39</v>
      </c>
      <c r="H99" s="36" t="s">
        <v>712</v>
      </c>
    </row>
    <row r="100" spans="1:8" x14ac:dyDescent="0.35">
      <c r="A100" s="34">
        <v>98</v>
      </c>
      <c r="B100" s="35" t="s">
        <v>350</v>
      </c>
      <c r="C100" s="35" t="s">
        <v>179</v>
      </c>
      <c r="D100" s="35" t="s">
        <v>182</v>
      </c>
      <c r="E100" s="35" t="s">
        <v>9</v>
      </c>
      <c r="F100" s="35" t="s">
        <v>38</v>
      </c>
      <c r="G100" s="35" t="s">
        <v>41</v>
      </c>
      <c r="H100" s="36" t="s">
        <v>713</v>
      </c>
    </row>
    <row r="101" spans="1:8" x14ac:dyDescent="0.35">
      <c r="A101" s="34">
        <v>99</v>
      </c>
      <c r="B101" s="35" t="s">
        <v>350</v>
      </c>
      <c r="C101" s="35" t="s">
        <v>372</v>
      </c>
      <c r="D101" s="35" t="s">
        <v>184</v>
      </c>
      <c r="E101" s="35" t="s">
        <v>9</v>
      </c>
      <c r="F101" s="35" t="s">
        <v>38</v>
      </c>
      <c r="G101" s="35" t="s">
        <v>40</v>
      </c>
      <c r="H101" s="36" t="s">
        <v>714</v>
      </c>
    </row>
    <row r="102" spans="1:8" x14ac:dyDescent="0.35">
      <c r="A102" s="34">
        <v>100</v>
      </c>
      <c r="B102" s="35" t="s">
        <v>350</v>
      </c>
      <c r="C102" s="35" t="s">
        <v>374</v>
      </c>
      <c r="D102" s="35" t="s">
        <v>375</v>
      </c>
      <c r="E102" s="35" t="s">
        <v>9</v>
      </c>
      <c r="F102" s="35" t="s">
        <v>38</v>
      </c>
      <c r="G102" s="35" t="s">
        <v>43</v>
      </c>
      <c r="H102" s="36" t="s">
        <v>715</v>
      </c>
    </row>
    <row r="103" spans="1:8" x14ac:dyDescent="0.35">
      <c r="A103" s="34">
        <v>101</v>
      </c>
      <c r="B103" s="35" t="s">
        <v>350</v>
      </c>
      <c r="C103" s="35" t="s">
        <v>186</v>
      </c>
      <c r="D103" s="35" t="s">
        <v>188</v>
      </c>
      <c r="E103" s="35" t="s">
        <v>9</v>
      </c>
      <c r="F103" s="35" t="s">
        <v>38</v>
      </c>
      <c r="G103" s="35" t="s">
        <v>46</v>
      </c>
      <c r="H103" s="36" t="s">
        <v>716</v>
      </c>
    </row>
    <row r="104" spans="1:8" ht="29" x14ac:dyDescent="0.35">
      <c r="A104" s="34">
        <v>102</v>
      </c>
      <c r="B104" s="35" t="s">
        <v>350</v>
      </c>
      <c r="C104" s="35" t="s">
        <v>188</v>
      </c>
      <c r="D104" s="35" t="s">
        <v>191</v>
      </c>
      <c r="E104" s="35" t="s">
        <v>9</v>
      </c>
      <c r="F104" s="35" t="s">
        <v>9</v>
      </c>
      <c r="G104" s="35" t="s">
        <v>9</v>
      </c>
      <c r="H104" s="36" t="s">
        <v>717</v>
      </c>
    </row>
    <row r="105" spans="1:8" x14ac:dyDescent="0.35">
      <c r="A105" s="34">
        <v>103</v>
      </c>
      <c r="B105" s="35" t="s">
        <v>350</v>
      </c>
      <c r="C105" s="35" t="s">
        <v>379</v>
      </c>
      <c r="D105" s="35" t="s">
        <v>380</v>
      </c>
      <c r="E105" s="35" t="s">
        <v>9</v>
      </c>
      <c r="F105" s="35" t="s">
        <v>9</v>
      </c>
      <c r="G105" s="35" t="s">
        <v>44</v>
      </c>
      <c r="H105" s="36" t="s">
        <v>718</v>
      </c>
    </row>
    <row r="106" spans="1:8" ht="58" x14ac:dyDescent="0.35">
      <c r="A106" s="34">
        <v>104</v>
      </c>
      <c r="B106" s="35" t="s">
        <v>350</v>
      </c>
      <c r="C106" s="35" t="s">
        <v>193</v>
      </c>
      <c r="D106" s="35" t="s">
        <v>382</v>
      </c>
      <c r="E106" s="35" t="s">
        <v>9</v>
      </c>
      <c r="F106" s="35" t="s">
        <v>9</v>
      </c>
      <c r="G106" s="35" t="s">
        <v>45</v>
      </c>
      <c r="H106" s="36" t="s">
        <v>719</v>
      </c>
    </row>
    <row r="107" spans="1:8" x14ac:dyDescent="0.35">
      <c r="A107" s="34">
        <v>105</v>
      </c>
      <c r="B107" s="35" t="s">
        <v>350</v>
      </c>
      <c r="C107" s="35" t="s">
        <v>384</v>
      </c>
      <c r="D107" s="35" t="s">
        <v>197</v>
      </c>
      <c r="E107" s="35" t="s">
        <v>9</v>
      </c>
      <c r="F107" s="35" t="s">
        <v>9</v>
      </c>
      <c r="G107" s="35" t="s">
        <v>39</v>
      </c>
      <c r="H107" s="36" t="s">
        <v>720</v>
      </c>
    </row>
    <row r="108" spans="1:8" x14ac:dyDescent="0.35">
      <c r="A108" s="34">
        <v>106</v>
      </c>
      <c r="B108" s="35" t="s">
        <v>386</v>
      </c>
      <c r="C108" s="35" t="s">
        <v>387</v>
      </c>
      <c r="D108" s="35" t="s">
        <v>388</v>
      </c>
      <c r="E108" s="35" t="s">
        <v>43</v>
      </c>
      <c r="F108" s="35" t="s">
        <v>9</v>
      </c>
      <c r="G108" s="35" t="s">
        <v>39</v>
      </c>
      <c r="H108" s="36" t="s">
        <v>721</v>
      </c>
    </row>
    <row r="109" spans="1:8" x14ac:dyDescent="0.35">
      <c r="A109" s="34" t="s">
        <v>390</v>
      </c>
      <c r="B109" s="35" t="s">
        <v>386</v>
      </c>
      <c r="C109" s="35" t="s">
        <v>391</v>
      </c>
      <c r="D109" s="35" t="s">
        <v>148</v>
      </c>
      <c r="E109" s="35" t="s">
        <v>43</v>
      </c>
      <c r="F109" s="35" t="s">
        <v>9</v>
      </c>
      <c r="G109" s="35" t="s">
        <v>41</v>
      </c>
      <c r="H109" s="36" t="s">
        <v>722</v>
      </c>
    </row>
    <row r="110" spans="1:8" x14ac:dyDescent="0.35">
      <c r="A110" s="34">
        <v>108</v>
      </c>
      <c r="B110" s="35" t="s">
        <v>386</v>
      </c>
      <c r="C110" s="35" t="s">
        <v>146</v>
      </c>
      <c r="D110" s="35" t="s">
        <v>206</v>
      </c>
      <c r="E110" s="35" t="s">
        <v>43</v>
      </c>
      <c r="F110" s="35" t="s">
        <v>9</v>
      </c>
      <c r="G110" s="35" t="s">
        <v>40</v>
      </c>
      <c r="H110" s="36" t="s">
        <v>723</v>
      </c>
    </row>
    <row r="111" spans="1:8" x14ac:dyDescent="0.35">
      <c r="A111" s="34">
        <v>109</v>
      </c>
      <c r="B111" s="35" t="s">
        <v>386</v>
      </c>
      <c r="C111" s="35" t="s">
        <v>206</v>
      </c>
      <c r="D111" s="35" t="s">
        <v>207</v>
      </c>
      <c r="E111" s="35" t="s">
        <v>43</v>
      </c>
      <c r="F111" s="35" t="s">
        <v>9</v>
      </c>
      <c r="G111" s="35" t="s">
        <v>43</v>
      </c>
      <c r="H111" s="36" t="s">
        <v>4159</v>
      </c>
    </row>
    <row r="112" spans="1:8" x14ac:dyDescent="0.35">
      <c r="A112" s="34">
        <v>110</v>
      </c>
      <c r="B112" s="35" t="s">
        <v>386</v>
      </c>
      <c r="C112" s="35" t="s">
        <v>207</v>
      </c>
      <c r="D112" s="35" t="s">
        <v>395</v>
      </c>
      <c r="E112" s="35" t="s">
        <v>43</v>
      </c>
      <c r="F112" s="35" t="s">
        <v>9</v>
      </c>
      <c r="G112" s="35" t="s">
        <v>46</v>
      </c>
      <c r="H112" s="36" t="s">
        <v>724</v>
      </c>
    </row>
    <row r="113" spans="1:8" x14ac:dyDescent="0.35">
      <c r="A113" s="34">
        <v>111</v>
      </c>
      <c r="B113" s="35" t="s">
        <v>386</v>
      </c>
      <c r="C113" s="35" t="s">
        <v>397</v>
      </c>
      <c r="D113" s="35" t="s">
        <v>398</v>
      </c>
      <c r="E113" s="35" t="s">
        <v>43</v>
      </c>
      <c r="F113" s="35" t="s">
        <v>9</v>
      </c>
      <c r="G113" s="35" t="s">
        <v>38</v>
      </c>
      <c r="H113" s="36" t="s">
        <v>725</v>
      </c>
    </row>
    <row r="114" spans="1:8" x14ac:dyDescent="0.35">
      <c r="A114" s="34">
        <v>112</v>
      </c>
      <c r="B114" s="35" t="s">
        <v>386</v>
      </c>
      <c r="C114" s="35" t="s">
        <v>398</v>
      </c>
      <c r="D114" s="35" t="s">
        <v>216</v>
      </c>
      <c r="E114" s="35" t="s">
        <v>43</v>
      </c>
      <c r="F114" s="35" t="s">
        <v>44</v>
      </c>
      <c r="G114" s="35" t="s">
        <v>44</v>
      </c>
      <c r="H114" s="36" t="s">
        <v>726</v>
      </c>
    </row>
    <row r="115" spans="1:8" x14ac:dyDescent="0.35">
      <c r="A115" s="34">
        <v>113</v>
      </c>
      <c r="B115" s="35" t="s">
        <v>386</v>
      </c>
      <c r="C115" s="35" t="s">
        <v>401</v>
      </c>
      <c r="D115" s="35" t="s">
        <v>219</v>
      </c>
      <c r="E115" s="35" t="s">
        <v>43</v>
      </c>
      <c r="F115" s="35" t="s">
        <v>44</v>
      </c>
      <c r="G115" s="35" t="s">
        <v>45</v>
      </c>
      <c r="H115" s="36" t="s">
        <v>727</v>
      </c>
    </row>
    <row r="116" spans="1:8" x14ac:dyDescent="0.35">
      <c r="A116" s="34">
        <v>114</v>
      </c>
      <c r="B116" s="35" t="s">
        <v>386</v>
      </c>
      <c r="C116" s="35" t="s">
        <v>219</v>
      </c>
      <c r="D116" s="35" t="s">
        <v>222</v>
      </c>
      <c r="E116" s="35" t="s">
        <v>43</v>
      </c>
      <c r="F116" s="35" t="s">
        <v>44</v>
      </c>
      <c r="G116" s="35" t="s">
        <v>39</v>
      </c>
      <c r="H116" s="36" t="s">
        <v>728</v>
      </c>
    </row>
    <row r="117" spans="1:8" x14ac:dyDescent="0.35">
      <c r="A117" s="34">
        <v>115</v>
      </c>
      <c r="B117" s="35" t="s">
        <v>386</v>
      </c>
      <c r="C117" s="35" t="s">
        <v>222</v>
      </c>
      <c r="D117" s="35" t="s">
        <v>225</v>
      </c>
      <c r="E117" s="35" t="s">
        <v>43</v>
      </c>
      <c r="F117" s="35" t="s">
        <v>44</v>
      </c>
      <c r="G117" s="35" t="s">
        <v>41</v>
      </c>
      <c r="H117" s="36" t="s">
        <v>729</v>
      </c>
    </row>
    <row r="118" spans="1:8" x14ac:dyDescent="0.35">
      <c r="A118" s="34">
        <v>116</v>
      </c>
      <c r="B118" s="35" t="s">
        <v>386</v>
      </c>
      <c r="C118" s="35" t="s">
        <v>223</v>
      </c>
      <c r="D118" s="35" t="s">
        <v>405</v>
      </c>
      <c r="E118" s="35" t="s">
        <v>43</v>
      </c>
      <c r="F118" s="35" t="s">
        <v>44</v>
      </c>
      <c r="G118" s="35" t="s">
        <v>40</v>
      </c>
      <c r="H118" s="36" t="s">
        <v>730</v>
      </c>
    </row>
    <row r="119" spans="1:8" x14ac:dyDescent="0.35">
      <c r="A119" s="34">
        <v>117</v>
      </c>
      <c r="B119" s="35" t="s">
        <v>386</v>
      </c>
      <c r="C119" s="35" t="s">
        <v>228</v>
      </c>
      <c r="D119" s="35" t="s">
        <v>229</v>
      </c>
      <c r="E119" s="35" t="s">
        <v>43</v>
      </c>
      <c r="F119" s="35" t="s">
        <v>44</v>
      </c>
      <c r="G119" s="35" t="s">
        <v>43</v>
      </c>
      <c r="H119" s="36" t="s">
        <v>731</v>
      </c>
    </row>
    <row r="120" spans="1:8" x14ac:dyDescent="0.35">
      <c r="A120" s="34">
        <v>118</v>
      </c>
      <c r="B120" s="35" t="s">
        <v>386</v>
      </c>
      <c r="C120" s="35" t="s">
        <v>229</v>
      </c>
      <c r="D120" s="35" t="s">
        <v>408</v>
      </c>
      <c r="E120" s="35" t="s">
        <v>43</v>
      </c>
      <c r="F120" s="35" t="s">
        <v>44</v>
      </c>
      <c r="G120" s="35" t="s">
        <v>46</v>
      </c>
      <c r="H120" s="36" t="s">
        <v>732</v>
      </c>
    </row>
    <row r="121" spans="1:8" x14ac:dyDescent="0.35">
      <c r="A121" s="34">
        <v>119</v>
      </c>
      <c r="B121" s="35" t="s">
        <v>386</v>
      </c>
      <c r="C121" s="35" t="s">
        <v>234</v>
      </c>
      <c r="D121" s="35" t="s">
        <v>235</v>
      </c>
      <c r="E121" s="35" t="s">
        <v>43</v>
      </c>
      <c r="F121" s="35" t="s">
        <v>44</v>
      </c>
      <c r="G121" s="35" t="s">
        <v>38</v>
      </c>
      <c r="H121" s="36" t="s">
        <v>733</v>
      </c>
    </row>
    <row r="122" spans="1:8" x14ac:dyDescent="0.35">
      <c r="A122" s="34">
        <v>120</v>
      </c>
      <c r="B122" s="35" t="s">
        <v>386</v>
      </c>
      <c r="C122" s="35" t="s">
        <v>237</v>
      </c>
      <c r="D122" s="35" t="s">
        <v>411</v>
      </c>
      <c r="E122" s="35" t="s">
        <v>43</v>
      </c>
      <c r="F122" s="35" t="s">
        <v>44</v>
      </c>
      <c r="G122" s="35" t="s">
        <v>9</v>
      </c>
      <c r="H122" s="36" t="s">
        <v>734</v>
      </c>
    </row>
    <row r="123" spans="1:8" x14ac:dyDescent="0.35">
      <c r="A123" s="34">
        <v>121</v>
      </c>
      <c r="B123" s="35" t="s">
        <v>386</v>
      </c>
      <c r="C123" s="35" t="s">
        <v>413</v>
      </c>
      <c r="D123" s="35" t="s">
        <v>345</v>
      </c>
      <c r="E123" s="35" t="s">
        <v>43</v>
      </c>
      <c r="F123" s="35" t="s">
        <v>45</v>
      </c>
      <c r="G123" s="35" t="s">
        <v>45</v>
      </c>
      <c r="H123" s="36" t="s">
        <v>735</v>
      </c>
    </row>
    <row r="124" spans="1:8" x14ac:dyDescent="0.35">
      <c r="A124" s="34">
        <v>122</v>
      </c>
      <c r="B124" s="35" t="s">
        <v>386</v>
      </c>
      <c r="C124" s="35" t="s">
        <v>415</v>
      </c>
      <c r="D124" s="35" t="s">
        <v>416</v>
      </c>
      <c r="E124" s="35" t="s">
        <v>43</v>
      </c>
      <c r="F124" s="35" t="s">
        <v>45</v>
      </c>
      <c r="G124" s="35" t="s">
        <v>39</v>
      </c>
      <c r="H124" s="36" t="s">
        <v>736</v>
      </c>
    </row>
    <row r="125" spans="1:8" x14ac:dyDescent="0.35">
      <c r="A125" s="34">
        <v>123</v>
      </c>
      <c r="B125" s="35" t="s">
        <v>386</v>
      </c>
      <c r="C125" s="35" t="s">
        <v>243</v>
      </c>
      <c r="D125" s="35" t="s">
        <v>418</v>
      </c>
      <c r="E125" s="35" t="s">
        <v>43</v>
      </c>
      <c r="F125" s="35" t="s">
        <v>45</v>
      </c>
      <c r="G125" s="35" t="s">
        <v>41</v>
      </c>
      <c r="H125" s="36" t="s">
        <v>737</v>
      </c>
    </row>
    <row r="126" spans="1:8" x14ac:dyDescent="0.35">
      <c r="A126" s="34">
        <v>124</v>
      </c>
      <c r="B126" s="35" t="s">
        <v>386</v>
      </c>
      <c r="C126" s="35" t="s">
        <v>248</v>
      </c>
      <c r="D126" s="35" t="s">
        <v>249</v>
      </c>
      <c r="E126" s="35" t="s">
        <v>43</v>
      </c>
      <c r="F126" s="35" t="s">
        <v>45</v>
      </c>
      <c r="G126" s="35" t="s">
        <v>40</v>
      </c>
      <c r="H126" s="36" t="s">
        <v>738</v>
      </c>
    </row>
    <row r="127" spans="1:8" ht="29" x14ac:dyDescent="0.35">
      <c r="A127" s="34">
        <v>125</v>
      </c>
      <c r="B127" s="35" t="s">
        <v>421</v>
      </c>
      <c r="C127" s="35" t="s">
        <v>387</v>
      </c>
      <c r="D127" s="35" t="s">
        <v>422</v>
      </c>
      <c r="E127" s="35" t="s">
        <v>38</v>
      </c>
      <c r="F127" s="35" t="s">
        <v>45</v>
      </c>
      <c r="G127" s="35" t="s">
        <v>43</v>
      </c>
      <c r="H127" s="36" t="s">
        <v>739</v>
      </c>
    </row>
    <row r="128" spans="1:8" x14ac:dyDescent="0.35">
      <c r="A128" s="34">
        <v>126</v>
      </c>
      <c r="B128" s="35" t="s">
        <v>421</v>
      </c>
      <c r="C128" s="35" t="s">
        <v>252</v>
      </c>
      <c r="D128" s="35" t="s">
        <v>256</v>
      </c>
      <c r="E128" s="35" t="s">
        <v>38</v>
      </c>
      <c r="F128" s="35" t="s">
        <v>45</v>
      </c>
      <c r="G128" s="35" t="s">
        <v>46</v>
      </c>
      <c r="H128" s="36" t="s">
        <v>740</v>
      </c>
    </row>
    <row r="129" spans="1:8" ht="29" x14ac:dyDescent="0.35">
      <c r="A129" s="34">
        <v>127</v>
      </c>
      <c r="B129" s="35" t="s">
        <v>421</v>
      </c>
      <c r="C129" s="35" t="s">
        <v>256</v>
      </c>
      <c r="D129" s="35" t="s">
        <v>257</v>
      </c>
      <c r="E129" s="35" t="s">
        <v>38</v>
      </c>
      <c r="F129" s="35" t="s">
        <v>45</v>
      </c>
      <c r="G129" s="35" t="s">
        <v>38</v>
      </c>
      <c r="H129" s="36" t="s">
        <v>741</v>
      </c>
    </row>
    <row r="130" spans="1:8" x14ac:dyDescent="0.35">
      <c r="A130" s="34">
        <v>128</v>
      </c>
      <c r="B130" s="35" t="s">
        <v>421</v>
      </c>
      <c r="C130" s="35" t="s">
        <v>426</v>
      </c>
      <c r="D130" s="35" t="s">
        <v>261</v>
      </c>
      <c r="E130" s="35" t="s">
        <v>38</v>
      </c>
      <c r="F130" s="35" t="s">
        <v>45</v>
      </c>
      <c r="G130" s="35" t="s">
        <v>9</v>
      </c>
      <c r="H130" s="36" t="s">
        <v>742</v>
      </c>
    </row>
    <row r="131" spans="1:8" x14ac:dyDescent="0.35">
      <c r="A131" s="34">
        <v>129</v>
      </c>
      <c r="B131" s="35" t="s">
        <v>421</v>
      </c>
      <c r="C131" s="35" t="s">
        <v>154</v>
      </c>
      <c r="D131" s="35" t="s">
        <v>428</v>
      </c>
      <c r="E131" s="35" t="s">
        <v>38</v>
      </c>
      <c r="F131" s="35" t="s">
        <v>45</v>
      </c>
      <c r="G131" s="35" t="s">
        <v>44</v>
      </c>
      <c r="H131" s="36" t="s">
        <v>743</v>
      </c>
    </row>
    <row r="132" spans="1:8" x14ac:dyDescent="0.35">
      <c r="A132" s="34">
        <v>130</v>
      </c>
      <c r="B132" s="35" t="s">
        <v>421</v>
      </c>
      <c r="C132" s="35" t="s">
        <v>428</v>
      </c>
      <c r="D132" s="35" t="s">
        <v>430</v>
      </c>
      <c r="E132" s="35" t="s">
        <v>38</v>
      </c>
      <c r="F132" s="35" t="s">
        <v>39</v>
      </c>
      <c r="G132" s="35" t="s">
        <v>39</v>
      </c>
      <c r="H132" s="36" t="s">
        <v>744</v>
      </c>
    </row>
    <row r="133" spans="1:8" x14ac:dyDescent="0.35">
      <c r="A133" s="34">
        <v>131</v>
      </c>
      <c r="B133" s="35" t="s">
        <v>421</v>
      </c>
      <c r="C133" s="35" t="s">
        <v>432</v>
      </c>
      <c r="D133" s="35" t="s">
        <v>433</v>
      </c>
      <c r="E133" s="35" t="s">
        <v>38</v>
      </c>
      <c r="F133" s="35" t="s">
        <v>39</v>
      </c>
      <c r="G133" s="35" t="s">
        <v>41</v>
      </c>
      <c r="H133" s="36" t="s">
        <v>745</v>
      </c>
    </row>
    <row r="134" spans="1:8" x14ac:dyDescent="0.35">
      <c r="A134" s="34">
        <v>132</v>
      </c>
      <c r="B134" s="35" t="s">
        <v>421</v>
      </c>
      <c r="C134" s="35" t="s">
        <v>267</v>
      </c>
      <c r="D134" s="35" t="s">
        <v>435</v>
      </c>
      <c r="E134" s="35" t="s">
        <v>38</v>
      </c>
      <c r="F134" s="35" t="s">
        <v>39</v>
      </c>
      <c r="G134" s="35" t="s">
        <v>40</v>
      </c>
      <c r="H134" s="36" t="s">
        <v>746</v>
      </c>
    </row>
    <row r="135" spans="1:8" x14ac:dyDescent="0.35">
      <c r="A135" s="34">
        <v>133</v>
      </c>
      <c r="B135" s="35" t="s">
        <v>421</v>
      </c>
      <c r="C135" s="35" t="s">
        <v>435</v>
      </c>
      <c r="D135" s="35" t="s">
        <v>272</v>
      </c>
      <c r="E135" s="35" t="s">
        <v>38</v>
      </c>
      <c r="F135" s="35" t="s">
        <v>39</v>
      </c>
      <c r="G135" s="35" t="s">
        <v>43</v>
      </c>
      <c r="H135" s="36" t="s">
        <v>747</v>
      </c>
    </row>
    <row r="136" spans="1:8" ht="29" x14ac:dyDescent="0.35">
      <c r="A136" s="34">
        <v>134</v>
      </c>
      <c r="B136" s="35" t="s">
        <v>421</v>
      </c>
      <c r="C136" s="35" t="s">
        <v>438</v>
      </c>
      <c r="D136" s="35" t="s">
        <v>274</v>
      </c>
      <c r="E136" s="35" t="s">
        <v>38</v>
      </c>
      <c r="F136" s="35" t="s">
        <v>39</v>
      </c>
      <c r="G136" s="35" t="s">
        <v>46</v>
      </c>
      <c r="H136" s="36" t="s">
        <v>748</v>
      </c>
    </row>
    <row r="137" spans="1:8" x14ac:dyDescent="0.35">
      <c r="A137" s="34">
        <v>135</v>
      </c>
      <c r="B137" s="35" t="s">
        <v>421</v>
      </c>
      <c r="C137" s="35" t="s">
        <v>274</v>
      </c>
      <c r="D137" s="35" t="s">
        <v>276</v>
      </c>
      <c r="E137" s="35" t="s">
        <v>38</v>
      </c>
      <c r="F137" s="35" t="s">
        <v>39</v>
      </c>
      <c r="G137" s="35" t="s">
        <v>38</v>
      </c>
      <c r="H137" s="36" t="s">
        <v>749</v>
      </c>
    </row>
    <row r="138" spans="1:8" x14ac:dyDescent="0.35">
      <c r="A138" s="34">
        <v>136</v>
      </c>
      <c r="B138" s="35" t="s">
        <v>421</v>
      </c>
      <c r="C138" s="35" t="s">
        <v>276</v>
      </c>
      <c r="D138" s="35" t="s">
        <v>441</v>
      </c>
      <c r="E138" s="35" t="s">
        <v>38</v>
      </c>
      <c r="F138" s="35" t="s">
        <v>39</v>
      </c>
      <c r="G138" s="35" t="s">
        <v>9</v>
      </c>
      <c r="H138" s="36" t="s">
        <v>750</v>
      </c>
    </row>
    <row r="139" spans="1:8" x14ac:dyDescent="0.35">
      <c r="A139" s="34">
        <v>137</v>
      </c>
      <c r="B139" s="35" t="s">
        <v>421</v>
      </c>
      <c r="C139" s="35" t="s">
        <v>443</v>
      </c>
      <c r="D139" s="35" t="s">
        <v>444</v>
      </c>
      <c r="E139" s="35" t="s">
        <v>38</v>
      </c>
      <c r="F139" s="35" t="s">
        <v>39</v>
      </c>
      <c r="G139" s="35" t="s">
        <v>44</v>
      </c>
      <c r="H139" s="36" t="s">
        <v>751</v>
      </c>
    </row>
    <row r="140" spans="1:8" x14ac:dyDescent="0.35">
      <c r="A140" s="34">
        <v>138</v>
      </c>
      <c r="B140" s="35" t="s">
        <v>421</v>
      </c>
      <c r="C140" s="35" t="s">
        <v>282</v>
      </c>
      <c r="D140" s="35" t="s">
        <v>446</v>
      </c>
      <c r="E140" s="35" t="s">
        <v>38</v>
      </c>
      <c r="F140" s="35" t="s">
        <v>39</v>
      </c>
      <c r="G140" s="35" t="s">
        <v>45</v>
      </c>
      <c r="H140" s="36" t="s">
        <v>752</v>
      </c>
    </row>
    <row r="141" spans="1:8" x14ac:dyDescent="0.35">
      <c r="A141" s="34">
        <v>139</v>
      </c>
      <c r="B141" s="35" t="s">
        <v>421</v>
      </c>
      <c r="C141" s="35" t="s">
        <v>283</v>
      </c>
      <c r="D141" s="35" t="s">
        <v>285</v>
      </c>
      <c r="E141" s="35" t="s">
        <v>38</v>
      </c>
      <c r="F141" s="35" t="s">
        <v>41</v>
      </c>
      <c r="G141" s="35" t="s">
        <v>41</v>
      </c>
      <c r="H141" s="36" t="s">
        <v>753</v>
      </c>
    </row>
    <row r="142" spans="1:8" x14ac:dyDescent="0.35">
      <c r="A142" s="34">
        <v>140</v>
      </c>
      <c r="B142" s="35" t="s">
        <v>421</v>
      </c>
      <c r="C142" s="35" t="s">
        <v>287</v>
      </c>
      <c r="D142" s="35" t="s">
        <v>290</v>
      </c>
      <c r="E142" s="35" t="s">
        <v>38</v>
      </c>
      <c r="F142" s="35" t="s">
        <v>41</v>
      </c>
      <c r="G142" s="35" t="s">
        <v>40</v>
      </c>
      <c r="H142" s="36" t="s">
        <v>754</v>
      </c>
    </row>
    <row r="143" spans="1:8" ht="29" x14ac:dyDescent="0.35">
      <c r="A143" s="34">
        <v>141</v>
      </c>
      <c r="B143" s="35" t="s">
        <v>421</v>
      </c>
      <c r="C143" s="35" t="s">
        <v>290</v>
      </c>
      <c r="D143" s="35" t="s">
        <v>291</v>
      </c>
      <c r="E143" s="35" t="s">
        <v>38</v>
      </c>
      <c r="F143" s="35" t="s">
        <v>41</v>
      </c>
      <c r="G143" s="35" t="s">
        <v>43</v>
      </c>
      <c r="H143" s="36" t="s">
        <v>755</v>
      </c>
    </row>
    <row r="144" spans="1:8" x14ac:dyDescent="0.35">
      <c r="A144" s="34">
        <v>142</v>
      </c>
      <c r="B144" s="35" t="s">
        <v>421</v>
      </c>
      <c r="C144" s="35" t="s">
        <v>293</v>
      </c>
      <c r="D144" s="35" t="s">
        <v>451</v>
      </c>
      <c r="E144" s="35" t="s">
        <v>38</v>
      </c>
      <c r="F144" s="35" t="s">
        <v>41</v>
      </c>
      <c r="G144" s="35" t="s">
        <v>46</v>
      </c>
      <c r="H144" s="36" t="s">
        <v>756</v>
      </c>
    </row>
    <row r="145" spans="1:8" ht="29" x14ac:dyDescent="0.35">
      <c r="A145" s="34">
        <v>143</v>
      </c>
      <c r="B145" s="35" t="s">
        <v>421</v>
      </c>
      <c r="C145" s="35" t="s">
        <v>451</v>
      </c>
      <c r="D145" s="35" t="s">
        <v>297</v>
      </c>
      <c r="E145" s="35" t="s">
        <v>38</v>
      </c>
      <c r="F145" s="35" t="s">
        <v>41</v>
      </c>
      <c r="G145" s="35" t="s">
        <v>38</v>
      </c>
      <c r="H145" s="36" t="s">
        <v>757</v>
      </c>
    </row>
    <row r="146" spans="1:8" x14ac:dyDescent="0.35">
      <c r="A146" s="34">
        <v>144</v>
      </c>
      <c r="B146" s="35" t="s">
        <v>421</v>
      </c>
      <c r="C146" s="35" t="s">
        <v>297</v>
      </c>
      <c r="D146" s="35" t="s">
        <v>454</v>
      </c>
      <c r="E146" s="35" t="s">
        <v>38</v>
      </c>
      <c r="F146" s="35" t="s">
        <v>41</v>
      </c>
      <c r="G146" s="35" t="s">
        <v>9</v>
      </c>
      <c r="H146" s="36" t="s">
        <v>758</v>
      </c>
    </row>
    <row r="147" spans="1:8" x14ac:dyDescent="0.35">
      <c r="A147" s="34">
        <v>145</v>
      </c>
      <c r="B147" s="35" t="s">
        <v>421</v>
      </c>
      <c r="C147" s="35" t="s">
        <v>299</v>
      </c>
      <c r="D147" s="35" t="s">
        <v>197</v>
      </c>
      <c r="E147" s="35" t="s">
        <v>38</v>
      </c>
      <c r="F147" s="35" t="s">
        <v>41</v>
      </c>
      <c r="G147" s="35" t="s">
        <v>44</v>
      </c>
      <c r="H147" s="36" t="s">
        <v>759</v>
      </c>
    </row>
    <row r="148" spans="1:8" ht="29" x14ac:dyDescent="0.35">
      <c r="A148" s="34">
        <v>146</v>
      </c>
      <c r="B148" s="35" t="s">
        <v>457</v>
      </c>
      <c r="C148" s="35" t="s">
        <v>143</v>
      </c>
      <c r="D148" s="35" t="s">
        <v>458</v>
      </c>
      <c r="E148" s="35" t="s">
        <v>45</v>
      </c>
      <c r="F148" s="35" t="s">
        <v>41</v>
      </c>
      <c r="G148" s="35" t="s">
        <v>44</v>
      </c>
      <c r="H148" s="36" t="s">
        <v>760</v>
      </c>
    </row>
    <row r="149" spans="1:8" ht="101.5" x14ac:dyDescent="0.35">
      <c r="A149" s="34">
        <v>147</v>
      </c>
      <c r="B149" s="35" t="s">
        <v>457</v>
      </c>
      <c r="C149" s="35" t="s">
        <v>303</v>
      </c>
      <c r="D149" s="35" t="s">
        <v>305</v>
      </c>
      <c r="E149" s="35" t="s">
        <v>45</v>
      </c>
      <c r="F149" s="35" t="s">
        <v>41</v>
      </c>
      <c r="G149" s="35" t="s">
        <v>45</v>
      </c>
      <c r="H149" s="36" t="s">
        <v>761</v>
      </c>
    </row>
    <row r="150" spans="1:8" ht="29" x14ac:dyDescent="0.35">
      <c r="A150" s="34">
        <v>148</v>
      </c>
      <c r="B150" s="35" t="s">
        <v>457</v>
      </c>
      <c r="C150" s="35" t="s">
        <v>305</v>
      </c>
      <c r="D150" s="35" t="s">
        <v>461</v>
      </c>
      <c r="E150" s="35" t="s">
        <v>45</v>
      </c>
      <c r="F150" s="35" t="s">
        <v>41</v>
      </c>
      <c r="G150" s="35" t="s">
        <v>39</v>
      </c>
      <c r="H150" s="36" t="s">
        <v>762</v>
      </c>
    </row>
    <row r="151" spans="1:8" ht="43.5" x14ac:dyDescent="0.35">
      <c r="A151" s="34">
        <v>149</v>
      </c>
      <c r="B151" s="35" t="s">
        <v>457</v>
      </c>
      <c r="C151" s="35" t="s">
        <v>310</v>
      </c>
      <c r="D151" s="35" t="s">
        <v>463</v>
      </c>
      <c r="E151" s="35" t="s">
        <v>45</v>
      </c>
      <c r="F151" s="35" t="s">
        <v>40</v>
      </c>
      <c r="G151" s="35" t="s">
        <v>40</v>
      </c>
      <c r="H151" s="36" t="s">
        <v>763</v>
      </c>
    </row>
    <row r="152" spans="1:8" ht="43.5" x14ac:dyDescent="0.35">
      <c r="A152" s="34">
        <v>150</v>
      </c>
      <c r="B152" s="35" t="s">
        <v>457</v>
      </c>
      <c r="C152" s="35" t="s">
        <v>311</v>
      </c>
      <c r="D152" s="35" t="s">
        <v>307</v>
      </c>
      <c r="E152" s="35" t="s">
        <v>45</v>
      </c>
      <c r="F152" s="35" t="s">
        <v>40</v>
      </c>
      <c r="G152" s="35" t="s">
        <v>43</v>
      </c>
      <c r="H152" s="36" t="s">
        <v>764</v>
      </c>
    </row>
    <row r="153" spans="1:8" x14ac:dyDescent="0.35">
      <c r="A153" s="34">
        <v>151</v>
      </c>
      <c r="B153" s="35" t="s">
        <v>457</v>
      </c>
      <c r="C153" s="35" t="s">
        <v>307</v>
      </c>
      <c r="D153" s="35" t="s">
        <v>314</v>
      </c>
      <c r="E153" s="35" t="s">
        <v>45</v>
      </c>
      <c r="F153" s="35" t="s">
        <v>40</v>
      </c>
      <c r="G153" s="35" t="s">
        <v>46</v>
      </c>
      <c r="H153" s="36" t="s">
        <v>765</v>
      </c>
    </row>
    <row r="154" spans="1:8" ht="29" x14ac:dyDescent="0.35">
      <c r="A154" s="34">
        <v>152</v>
      </c>
      <c r="B154" s="35" t="s">
        <v>457</v>
      </c>
      <c r="C154" s="35" t="s">
        <v>314</v>
      </c>
      <c r="D154" s="35" t="s">
        <v>319</v>
      </c>
      <c r="E154" s="35" t="s">
        <v>45</v>
      </c>
      <c r="F154" s="35" t="s">
        <v>40</v>
      </c>
      <c r="G154" s="35" t="s">
        <v>38</v>
      </c>
      <c r="H154" s="36" t="s">
        <v>766</v>
      </c>
    </row>
    <row r="155" spans="1:8" ht="29" x14ac:dyDescent="0.35">
      <c r="A155" s="34">
        <v>153</v>
      </c>
      <c r="B155" s="35" t="s">
        <v>457</v>
      </c>
      <c r="C155" s="35" t="s">
        <v>319</v>
      </c>
      <c r="D155" s="35" t="s">
        <v>468</v>
      </c>
      <c r="E155" s="35" t="s">
        <v>45</v>
      </c>
      <c r="F155" s="35" t="s">
        <v>40</v>
      </c>
      <c r="G155" s="35" t="s">
        <v>9</v>
      </c>
      <c r="H155" s="36" t="s">
        <v>767</v>
      </c>
    </row>
    <row r="156" spans="1:8" ht="72.5" x14ac:dyDescent="0.35">
      <c r="A156" s="34">
        <v>154</v>
      </c>
      <c r="B156" s="35" t="s">
        <v>457</v>
      </c>
      <c r="C156" s="35" t="s">
        <v>470</v>
      </c>
      <c r="D156" s="35" t="s">
        <v>471</v>
      </c>
      <c r="E156" s="35" t="s">
        <v>45</v>
      </c>
      <c r="F156" s="35" t="s">
        <v>40</v>
      </c>
      <c r="G156" s="35" t="s">
        <v>44</v>
      </c>
      <c r="H156" s="36" t="s">
        <v>768</v>
      </c>
    </row>
    <row r="157" spans="1:8" ht="29" x14ac:dyDescent="0.35">
      <c r="A157" s="34">
        <v>155</v>
      </c>
      <c r="B157" s="35" t="s">
        <v>457</v>
      </c>
      <c r="C157" s="35" t="s">
        <v>473</v>
      </c>
      <c r="D157" s="35" t="s">
        <v>326</v>
      </c>
      <c r="E157" s="35" t="s">
        <v>45</v>
      </c>
      <c r="F157" s="35" t="s">
        <v>40</v>
      </c>
      <c r="G157" s="35" t="s">
        <v>45</v>
      </c>
      <c r="H157" s="36" t="s">
        <v>769</v>
      </c>
    </row>
    <row r="158" spans="1:8" ht="29" x14ac:dyDescent="0.35">
      <c r="A158" s="34">
        <v>156</v>
      </c>
      <c r="B158" s="35" t="s">
        <v>457</v>
      </c>
      <c r="C158" s="35" t="s">
        <v>328</v>
      </c>
      <c r="D158" s="35" t="s">
        <v>475</v>
      </c>
      <c r="E158" s="35" t="s">
        <v>45</v>
      </c>
      <c r="F158" s="35" t="s">
        <v>40</v>
      </c>
      <c r="G158" s="35" t="s">
        <v>39</v>
      </c>
      <c r="H158" s="36" t="s">
        <v>770</v>
      </c>
    </row>
    <row r="159" spans="1:8" ht="43.5" x14ac:dyDescent="0.35">
      <c r="A159" s="34">
        <v>157</v>
      </c>
      <c r="B159" s="35" t="s">
        <v>457</v>
      </c>
      <c r="C159" s="35" t="s">
        <v>477</v>
      </c>
      <c r="D159" s="35" t="s">
        <v>331</v>
      </c>
      <c r="E159" s="35" t="s">
        <v>45</v>
      </c>
      <c r="F159" s="35" t="s">
        <v>40</v>
      </c>
      <c r="G159" s="35" t="s">
        <v>41</v>
      </c>
      <c r="H159" s="36" t="s">
        <v>771</v>
      </c>
    </row>
    <row r="160" spans="1:8" ht="29" x14ac:dyDescent="0.35">
      <c r="A160" s="34">
        <v>158</v>
      </c>
      <c r="B160" s="35" t="s">
        <v>457</v>
      </c>
      <c r="C160" s="35" t="s">
        <v>331</v>
      </c>
      <c r="D160" s="35" t="s">
        <v>479</v>
      </c>
      <c r="E160" s="35" t="s">
        <v>45</v>
      </c>
      <c r="F160" s="35" t="s">
        <v>43</v>
      </c>
      <c r="G160" s="35" t="s">
        <v>43</v>
      </c>
      <c r="H160" s="36" t="s">
        <v>772</v>
      </c>
    </row>
    <row r="161" spans="1:8" x14ac:dyDescent="0.35">
      <c r="A161" s="34">
        <v>159</v>
      </c>
      <c r="B161" s="35" t="s">
        <v>457</v>
      </c>
      <c r="C161" s="35" t="s">
        <v>481</v>
      </c>
      <c r="D161" s="35" t="s">
        <v>482</v>
      </c>
      <c r="E161" s="35" t="s">
        <v>45</v>
      </c>
      <c r="F161" s="35" t="s">
        <v>43</v>
      </c>
      <c r="G161" s="35" t="s">
        <v>46</v>
      </c>
      <c r="H161" s="36" t="s">
        <v>773</v>
      </c>
    </row>
    <row r="162" spans="1:8" ht="58" x14ac:dyDescent="0.35">
      <c r="A162" s="34">
        <v>160</v>
      </c>
      <c r="B162" s="35" t="s">
        <v>457</v>
      </c>
      <c r="C162" s="35" t="s">
        <v>482</v>
      </c>
      <c r="D162" s="35" t="s">
        <v>339</v>
      </c>
      <c r="E162" s="35" t="s">
        <v>45</v>
      </c>
      <c r="F162" s="35" t="s">
        <v>43</v>
      </c>
      <c r="G162" s="35" t="s">
        <v>38</v>
      </c>
      <c r="H162" s="36" t="s">
        <v>774</v>
      </c>
    </row>
    <row r="163" spans="1:8" ht="58" x14ac:dyDescent="0.35">
      <c r="A163" s="34">
        <v>161</v>
      </c>
      <c r="B163" s="35" t="s">
        <v>457</v>
      </c>
      <c r="C163" s="35" t="s">
        <v>485</v>
      </c>
      <c r="D163" s="35" t="s">
        <v>341</v>
      </c>
      <c r="E163" s="35" t="s">
        <v>45</v>
      </c>
      <c r="F163" s="35" t="s">
        <v>43</v>
      </c>
      <c r="G163" s="35" t="s">
        <v>9</v>
      </c>
      <c r="H163" s="36" t="s">
        <v>775</v>
      </c>
    </row>
    <row r="164" spans="1:8" x14ac:dyDescent="0.35">
      <c r="A164" s="34">
        <v>162</v>
      </c>
      <c r="B164" s="35" t="s">
        <v>457</v>
      </c>
      <c r="C164" s="35" t="s">
        <v>341</v>
      </c>
      <c r="D164" s="35" t="s">
        <v>238</v>
      </c>
      <c r="E164" s="35" t="s">
        <v>45</v>
      </c>
      <c r="F164" s="35" t="s">
        <v>43</v>
      </c>
      <c r="G164" s="35" t="s">
        <v>44</v>
      </c>
      <c r="H164" s="36" t="s">
        <v>776</v>
      </c>
    </row>
    <row r="165" spans="1:8" ht="43.5" x14ac:dyDescent="0.35">
      <c r="A165" s="34">
        <v>163</v>
      </c>
      <c r="B165" s="35" t="s">
        <v>457</v>
      </c>
      <c r="C165" s="35" t="s">
        <v>411</v>
      </c>
      <c r="D165" s="35" t="s">
        <v>242</v>
      </c>
      <c r="E165" s="35" t="s">
        <v>45</v>
      </c>
      <c r="F165" s="35" t="s">
        <v>43</v>
      </c>
      <c r="G165" s="35" t="s">
        <v>45</v>
      </c>
      <c r="H165" s="36" t="s">
        <v>777</v>
      </c>
    </row>
    <row r="166" spans="1:8" x14ac:dyDescent="0.35">
      <c r="A166" s="34">
        <v>164</v>
      </c>
      <c r="B166" s="35" t="s">
        <v>457</v>
      </c>
      <c r="C166" s="35" t="s">
        <v>242</v>
      </c>
      <c r="D166" s="35" t="s">
        <v>245</v>
      </c>
      <c r="E166" s="35" t="s">
        <v>45</v>
      </c>
      <c r="F166" s="35" t="s">
        <v>43</v>
      </c>
      <c r="G166" s="35" t="s">
        <v>39</v>
      </c>
      <c r="H166" s="36" t="s">
        <v>778</v>
      </c>
    </row>
    <row r="167" spans="1:8" ht="29" x14ac:dyDescent="0.35">
      <c r="A167" s="34">
        <v>165</v>
      </c>
      <c r="B167" s="35" t="s">
        <v>457</v>
      </c>
      <c r="C167" s="35" t="s">
        <v>243</v>
      </c>
      <c r="D167" s="35" t="s">
        <v>248</v>
      </c>
      <c r="E167" s="35" t="s">
        <v>45</v>
      </c>
      <c r="F167" s="35" t="s">
        <v>43</v>
      </c>
      <c r="G167" s="35" t="s">
        <v>41</v>
      </c>
      <c r="H167" s="36" t="s">
        <v>779</v>
      </c>
    </row>
    <row r="168" spans="1:8" ht="58" x14ac:dyDescent="0.35">
      <c r="A168" s="34">
        <v>166</v>
      </c>
      <c r="B168" s="35" t="s">
        <v>457</v>
      </c>
      <c r="C168" s="35" t="s">
        <v>248</v>
      </c>
      <c r="D168" s="35" t="s">
        <v>197</v>
      </c>
      <c r="E168" s="35" t="s">
        <v>45</v>
      </c>
      <c r="F168" s="35" t="s">
        <v>43</v>
      </c>
      <c r="G168" s="35" t="s">
        <v>40</v>
      </c>
      <c r="H168" s="36" t="s">
        <v>780</v>
      </c>
    </row>
    <row r="169" spans="1:8" ht="43.5" x14ac:dyDescent="0.35">
      <c r="A169" s="34">
        <v>167</v>
      </c>
      <c r="B169" s="35" t="s">
        <v>492</v>
      </c>
      <c r="C169" s="35" t="s">
        <v>143</v>
      </c>
      <c r="D169" s="35" t="s">
        <v>493</v>
      </c>
      <c r="E169" s="35" t="s">
        <v>41</v>
      </c>
      <c r="F169" s="35" t="s">
        <v>46</v>
      </c>
      <c r="G169" s="35" t="s">
        <v>46</v>
      </c>
      <c r="H169" s="36" t="s">
        <v>781</v>
      </c>
    </row>
    <row r="170" spans="1:8" ht="43.5" x14ac:dyDescent="0.35">
      <c r="A170" s="34">
        <v>168</v>
      </c>
      <c r="B170" s="35" t="s">
        <v>492</v>
      </c>
      <c r="C170" s="35" t="s">
        <v>495</v>
      </c>
      <c r="D170" s="35" t="s">
        <v>148</v>
      </c>
      <c r="E170" s="35" t="s">
        <v>41</v>
      </c>
      <c r="F170" s="35" t="s">
        <v>46</v>
      </c>
      <c r="G170" s="35" t="s">
        <v>38</v>
      </c>
      <c r="H170" s="36" t="s">
        <v>782</v>
      </c>
    </row>
    <row r="171" spans="1:8" ht="43.5" x14ac:dyDescent="0.35">
      <c r="A171" s="34">
        <v>169</v>
      </c>
      <c r="B171" s="35" t="s">
        <v>492</v>
      </c>
      <c r="C171" s="35" t="s">
        <v>146</v>
      </c>
      <c r="D171" s="35" t="s">
        <v>354</v>
      </c>
      <c r="E171" s="35" t="s">
        <v>41</v>
      </c>
      <c r="F171" s="35" t="s">
        <v>46</v>
      </c>
      <c r="G171" s="35" t="s">
        <v>9</v>
      </c>
      <c r="H171" s="36" t="s">
        <v>783</v>
      </c>
    </row>
    <row r="172" spans="1:8" ht="43.5" x14ac:dyDescent="0.35">
      <c r="A172" s="34">
        <v>170</v>
      </c>
      <c r="B172" s="35" t="s">
        <v>492</v>
      </c>
      <c r="C172" s="35" t="s">
        <v>498</v>
      </c>
      <c r="D172" s="35" t="s">
        <v>151</v>
      </c>
      <c r="E172" s="35" t="s">
        <v>41</v>
      </c>
      <c r="F172" s="35" t="s">
        <v>46</v>
      </c>
      <c r="G172" s="35" t="s">
        <v>44</v>
      </c>
      <c r="H172" s="36" t="s">
        <v>784</v>
      </c>
    </row>
    <row r="173" spans="1:8" ht="58" x14ac:dyDescent="0.35">
      <c r="A173" s="34">
        <v>171</v>
      </c>
      <c r="B173" s="35" t="s">
        <v>492</v>
      </c>
      <c r="C173" s="35" t="s">
        <v>500</v>
      </c>
      <c r="D173" s="35" t="s">
        <v>501</v>
      </c>
      <c r="E173" s="35" t="s">
        <v>41</v>
      </c>
      <c r="F173" s="35" t="s">
        <v>46</v>
      </c>
      <c r="G173" s="35" t="s">
        <v>45</v>
      </c>
      <c r="H173" s="36" t="s">
        <v>785</v>
      </c>
    </row>
    <row r="174" spans="1:8" x14ac:dyDescent="0.35">
      <c r="A174" s="34">
        <v>172</v>
      </c>
      <c r="B174" s="35" t="s">
        <v>492</v>
      </c>
      <c r="C174" s="35" t="s">
        <v>503</v>
      </c>
      <c r="D174" s="35" t="s">
        <v>158</v>
      </c>
      <c r="E174" s="35" t="s">
        <v>41</v>
      </c>
      <c r="F174" s="35" t="s">
        <v>46</v>
      </c>
      <c r="G174" s="35" t="s">
        <v>39</v>
      </c>
      <c r="H174" s="36" t="s">
        <v>786</v>
      </c>
    </row>
    <row r="175" spans="1:8" ht="43.5" x14ac:dyDescent="0.35">
      <c r="A175" s="34">
        <v>173</v>
      </c>
      <c r="B175" s="35" t="s">
        <v>492</v>
      </c>
      <c r="C175" s="35" t="s">
        <v>156</v>
      </c>
      <c r="D175" s="35" t="s">
        <v>159</v>
      </c>
      <c r="E175" s="35" t="s">
        <v>41</v>
      </c>
      <c r="F175" s="35" t="s">
        <v>46</v>
      </c>
      <c r="G175" s="35" t="s">
        <v>41</v>
      </c>
      <c r="H175" s="36" t="s">
        <v>4016</v>
      </c>
    </row>
    <row r="176" spans="1:8" ht="72.5" x14ac:dyDescent="0.35">
      <c r="A176" s="34">
        <v>174</v>
      </c>
      <c r="B176" s="35" t="s">
        <v>492</v>
      </c>
      <c r="C176" s="35" t="s">
        <v>159</v>
      </c>
      <c r="D176" s="35" t="s">
        <v>162</v>
      </c>
      <c r="E176" s="35" t="s">
        <v>41</v>
      </c>
      <c r="F176" s="35" t="s">
        <v>46</v>
      </c>
      <c r="G176" s="35" t="s">
        <v>40</v>
      </c>
      <c r="H176" s="36" t="s">
        <v>787</v>
      </c>
    </row>
    <row r="177" spans="1:8" ht="43.5" x14ac:dyDescent="0.35">
      <c r="A177" s="34">
        <v>175</v>
      </c>
      <c r="B177" s="35" t="s">
        <v>492</v>
      </c>
      <c r="C177" s="35" t="s">
        <v>162</v>
      </c>
      <c r="D177" s="35" t="s">
        <v>507</v>
      </c>
      <c r="E177" s="35" t="s">
        <v>41</v>
      </c>
      <c r="F177" s="35" t="s">
        <v>46</v>
      </c>
      <c r="G177" s="35" t="s">
        <v>43</v>
      </c>
      <c r="H177" s="36" t="s">
        <v>788</v>
      </c>
    </row>
    <row r="178" spans="1:8" ht="43.5" x14ac:dyDescent="0.35">
      <c r="A178" s="34">
        <v>176</v>
      </c>
      <c r="B178" s="35" t="s">
        <v>492</v>
      </c>
      <c r="C178" s="35" t="s">
        <v>165</v>
      </c>
      <c r="D178" s="35" t="s">
        <v>168</v>
      </c>
      <c r="E178" s="35" t="s">
        <v>41</v>
      </c>
      <c r="F178" s="35" t="s">
        <v>38</v>
      </c>
      <c r="G178" s="35" t="s">
        <v>38</v>
      </c>
      <c r="H178" s="36" t="s">
        <v>789</v>
      </c>
    </row>
    <row r="179" spans="1:8" ht="58" x14ac:dyDescent="0.35">
      <c r="A179" s="34">
        <v>177</v>
      </c>
      <c r="B179" s="35" t="s">
        <v>492</v>
      </c>
      <c r="C179" s="35" t="s">
        <v>168</v>
      </c>
      <c r="D179" s="35" t="s">
        <v>173</v>
      </c>
      <c r="E179" s="35" t="s">
        <v>41</v>
      </c>
      <c r="F179" s="35" t="s">
        <v>38</v>
      </c>
      <c r="G179" s="35" t="s">
        <v>9</v>
      </c>
      <c r="H179" s="36" t="s">
        <v>790</v>
      </c>
    </row>
    <row r="180" spans="1:8" ht="29" x14ac:dyDescent="0.35">
      <c r="A180" s="34">
        <v>178</v>
      </c>
      <c r="B180" s="35" t="s">
        <v>492</v>
      </c>
      <c r="C180" s="35" t="s">
        <v>173</v>
      </c>
      <c r="D180" s="35" t="s">
        <v>368</v>
      </c>
      <c r="E180" s="35" t="s">
        <v>41</v>
      </c>
      <c r="F180" s="35" t="s">
        <v>38</v>
      </c>
      <c r="G180" s="35" t="s">
        <v>44</v>
      </c>
      <c r="H180" s="36" t="s">
        <v>791</v>
      </c>
    </row>
    <row r="181" spans="1:8" ht="87" x14ac:dyDescent="0.35">
      <c r="A181" s="34">
        <v>179</v>
      </c>
      <c r="B181" s="35" t="s">
        <v>492</v>
      </c>
      <c r="C181" s="35" t="s">
        <v>368</v>
      </c>
      <c r="D181" s="35" t="s">
        <v>441</v>
      </c>
      <c r="E181" s="35" t="s">
        <v>41</v>
      </c>
      <c r="F181" s="35" t="s">
        <v>38</v>
      </c>
      <c r="G181" s="35" t="s">
        <v>45</v>
      </c>
      <c r="H181" s="36" t="s">
        <v>792</v>
      </c>
    </row>
    <row r="182" spans="1:8" ht="29" x14ac:dyDescent="0.35">
      <c r="A182" s="34">
        <v>180</v>
      </c>
      <c r="B182" s="35" t="s">
        <v>492</v>
      </c>
      <c r="C182" s="35" t="s">
        <v>177</v>
      </c>
      <c r="D182" s="35" t="s">
        <v>513</v>
      </c>
      <c r="E182" s="35" t="s">
        <v>41</v>
      </c>
      <c r="F182" s="35" t="s">
        <v>38</v>
      </c>
      <c r="G182" s="35" t="s">
        <v>39</v>
      </c>
      <c r="H182" s="36" t="s">
        <v>793</v>
      </c>
    </row>
    <row r="183" spans="1:8" ht="58" x14ac:dyDescent="0.35">
      <c r="A183" s="34">
        <v>181</v>
      </c>
      <c r="B183" s="35" t="s">
        <v>492</v>
      </c>
      <c r="C183" s="35" t="s">
        <v>179</v>
      </c>
      <c r="D183" s="35" t="s">
        <v>515</v>
      </c>
      <c r="E183" s="35" t="s">
        <v>41</v>
      </c>
      <c r="F183" s="35" t="s">
        <v>38</v>
      </c>
      <c r="G183" s="35" t="s">
        <v>41</v>
      </c>
      <c r="H183" s="36" t="s">
        <v>794</v>
      </c>
    </row>
    <row r="184" spans="1:8" ht="58" x14ac:dyDescent="0.35">
      <c r="A184" s="34">
        <v>182</v>
      </c>
      <c r="B184" s="35" t="s">
        <v>492</v>
      </c>
      <c r="C184" s="35" t="s">
        <v>182</v>
      </c>
      <c r="D184" s="35" t="s">
        <v>517</v>
      </c>
      <c r="E184" s="35" t="s">
        <v>41</v>
      </c>
      <c r="F184" s="35" t="s">
        <v>38</v>
      </c>
      <c r="G184" s="35" t="s">
        <v>40</v>
      </c>
      <c r="H184" s="36" t="s">
        <v>795</v>
      </c>
    </row>
    <row r="185" spans="1:8" ht="29" x14ac:dyDescent="0.35">
      <c r="A185" s="34">
        <v>183</v>
      </c>
      <c r="B185" s="35" t="s">
        <v>492</v>
      </c>
      <c r="C185" s="35" t="s">
        <v>374</v>
      </c>
      <c r="D185" s="35" t="s">
        <v>186</v>
      </c>
      <c r="E185" s="35" t="s">
        <v>41</v>
      </c>
      <c r="F185" s="35" t="s">
        <v>38</v>
      </c>
      <c r="G185" s="35" t="s">
        <v>43</v>
      </c>
      <c r="H185" s="36" t="s">
        <v>796</v>
      </c>
    </row>
    <row r="186" spans="1:8" x14ac:dyDescent="0.35">
      <c r="A186" s="34">
        <v>184</v>
      </c>
      <c r="B186" s="35" t="s">
        <v>492</v>
      </c>
      <c r="C186" s="35" t="s">
        <v>520</v>
      </c>
      <c r="D186" s="35" t="s">
        <v>188</v>
      </c>
      <c r="E186" s="35" t="s">
        <v>41</v>
      </c>
      <c r="F186" s="35" t="s">
        <v>38</v>
      </c>
      <c r="G186" s="35" t="s">
        <v>46</v>
      </c>
      <c r="H186" s="36" t="s">
        <v>797</v>
      </c>
    </row>
    <row r="187" spans="1:8" ht="43.5" x14ac:dyDescent="0.35">
      <c r="A187" s="34">
        <v>185</v>
      </c>
      <c r="B187" s="35" t="s">
        <v>492</v>
      </c>
      <c r="C187" s="35" t="s">
        <v>522</v>
      </c>
      <c r="D187" s="35" t="s">
        <v>379</v>
      </c>
      <c r="E187" s="35" t="s">
        <v>41</v>
      </c>
      <c r="F187" s="35" t="s">
        <v>9</v>
      </c>
      <c r="G187" s="35" t="s">
        <v>9</v>
      </c>
      <c r="H187" s="36" t="s">
        <v>798</v>
      </c>
    </row>
    <row r="188" spans="1:8" ht="43.5" x14ac:dyDescent="0.35">
      <c r="A188" s="34">
        <v>186</v>
      </c>
      <c r="B188" s="35" t="s">
        <v>492</v>
      </c>
      <c r="C188" s="35" t="s">
        <v>379</v>
      </c>
      <c r="D188" s="35" t="s">
        <v>380</v>
      </c>
      <c r="E188" s="35" t="s">
        <v>41</v>
      </c>
      <c r="F188" s="35" t="s">
        <v>9</v>
      </c>
      <c r="G188" s="35" t="s">
        <v>44</v>
      </c>
      <c r="H188" s="36" t="s">
        <v>799</v>
      </c>
    </row>
    <row r="189" spans="1:8" ht="72.5" x14ac:dyDescent="0.35">
      <c r="A189" s="34">
        <v>187</v>
      </c>
      <c r="B189" s="35" t="s">
        <v>492</v>
      </c>
      <c r="C189" s="35" t="s">
        <v>525</v>
      </c>
      <c r="D189" s="35" t="s">
        <v>382</v>
      </c>
      <c r="E189" s="35" t="s">
        <v>41</v>
      </c>
      <c r="F189" s="35" t="s">
        <v>9</v>
      </c>
      <c r="G189" s="35" t="s">
        <v>45</v>
      </c>
      <c r="H189" s="36" t="s">
        <v>800</v>
      </c>
    </row>
    <row r="190" spans="1:8" x14ac:dyDescent="0.35">
      <c r="A190" s="34">
        <v>188</v>
      </c>
      <c r="B190" s="35" t="s">
        <v>492</v>
      </c>
      <c r="C190" s="35" t="s">
        <v>527</v>
      </c>
      <c r="D190" s="35" t="s">
        <v>197</v>
      </c>
      <c r="E190" s="35" t="s">
        <v>41</v>
      </c>
      <c r="F190" s="35" t="s">
        <v>9</v>
      </c>
      <c r="G190" s="35" t="s">
        <v>39</v>
      </c>
      <c r="H190" s="36" t="s">
        <v>801</v>
      </c>
    </row>
    <row r="191" spans="1:8" x14ac:dyDescent="0.35">
      <c r="A191" s="34">
        <v>189</v>
      </c>
      <c r="B191" s="35" t="s">
        <v>529</v>
      </c>
      <c r="C191" s="35" t="s">
        <v>143</v>
      </c>
      <c r="D191" s="35" t="s">
        <v>391</v>
      </c>
      <c r="E191" s="35" t="s">
        <v>40</v>
      </c>
      <c r="F191" s="35" t="s">
        <v>9</v>
      </c>
      <c r="G191" s="35" t="s">
        <v>39</v>
      </c>
      <c r="H191" s="36" t="s">
        <v>802</v>
      </c>
    </row>
    <row r="192" spans="1:8" ht="29" x14ac:dyDescent="0.35">
      <c r="A192" s="34">
        <v>190</v>
      </c>
      <c r="B192" s="35" t="s">
        <v>529</v>
      </c>
      <c r="C192" s="35" t="s">
        <v>391</v>
      </c>
      <c r="D192" s="35" t="s">
        <v>148</v>
      </c>
      <c r="E192" s="35" t="s">
        <v>40</v>
      </c>
      <c r="F192" s="35" t="s">
        <v>9</v>
      </c>
      <c r="G192" s="35" t="s">
        <v>41</v>
      </c>
      <c r="H192" s="36" t="s">
        <v>803</v>
      </c>
    </row>
    <row r="193" spans="1:8" x14ac:dyDescent="0.35">
      <c r="A193" s="34">
        <v>191</v>
      </c>
      <c r="B193" s="35" t="s">
        <v>529</v>
      </c>
      <c r="C193" s="35" t="s">
        <v>146</v>
      </c>
      <c r="D193" s="35" t="s">
        <v>206</v>
      </c>
      <c r="E193" s="35" t="s">
        <v>40</v>
      </c>
      <c r="F193" s="35" t="s">
        <v>9</v>
      </c>
      <c r="G193" s="35" t="s">
        <v>40</v>
      </c>
      <c r="H193" s="36" t="s">
        <v>804</v>
      </c>
    </row>
    <row r="194" spans="1:8" ht="58" x14ac:dyDescent="0.35">
      <c r="A194" s="34">
        <v>192</v>
      </c>
      <c r="B194" s="35" t="s">
        <v>529</v>
      </c>
      <c r="C194" s="35" t="s">
        <v>206</v>
      </c>
      <c r="D194" s="35" t="s">
        <v>533</v>
      </c>
      <c r="E194" s="35" t="s">
        <v>40</v>
      </c>
      <c r="F194" s="35" t="s">
        <v>9</v>
      </c>
      <c r="G194" s="35" t="s">
        <v>43</v>
      </c>
      <c r="H194" s="36" t="s">
        <v>805</v>
      </c>
    </row>
    <row r="195" spans="1:8" x14ac:dyDescent="0.35">
      <c r="A195" s="34">
        <v>193</v>
      </c>
      <c r="B195" s="35" t="s">
        <v>529</v>
      </c>
      <c r="C195" s="35" t="s">
        <v>207</v>
      </c>
      <c r="D195" s="35" t="s">
        <v>397</v>
      </c>
      <c r="E195" s="35" t="s">
        <v>40</v>
      </c>
      <c r="F195" s="35" t="s">
        <v>9</v>
      </c>
      <c r="G195" s="35" t="s">
        <v>46</v>
      </c>
      <c r="H195" s="36" t="s">
        <v>806</v>
      </c>
    </row>
    <row r="196" spans="1:8" ht="43.5" x14ac:dyDescent="0.35">
      <c r="A196" s="34">
        <v>194</v>
      </c>
      <c r="B196" s="35" t="s">
        <v>529</v>
      </c>
      <c r="C196" s="35" t="s">
        <v>395</v>
      </c>
      <c r="D196" s="35" t="s">
        <v>212</v>
      </c>
      <c r="E196" s="35" t="s">
        <v>40</v>
      </c>
      <c r="F196" s="35" t="s">
        <v>9</v>
      </c>
      <c r="G196" s="35" t="s">
        <v>38</v>
      </c>
      <c r="H196" s="36" t="s">
        <v>807</v>
      </c>
    </row>
    <row r="197" spans="1:8" ht="43.5" x14ac:dyDescent="0.35">
      <c r="A197" s="34">
        <v>195</v>
      </c>
      <c r="B197" s="35" t="s">
        <v>529</v>
      </c>
      <c r="C197" s="35" t="s">
        <v>212</v>
      </c>
      <c r="D197" s="35" t="s">
        <v>401</v>
      </c>
      <c r="E197" s="35" t="s">
        <v>40</v>
      </c>
      <c r="F197" s="35" t="s">
        <v>44</v>
      </c>
      <c r="G197" s="35" t="s">
        <v>44</v>
      </c>
      <c r="H197" s="36" t="s">
        <v>808</v>
      </c>
    </row>
    <row r="198" spans="1:8" ht="29" x14ac:dyDescent="0.35">
      <c r="A198" s="34">
        <v>196</v>
      </c>
      <c r="B198" s="35" t="s">
        <v>529</v>
      </c>
      <c r="C198" s="35" t="s">
        <v>216</v>
      </c>
      <c r="D198" s="35" t="s">
        <v>219</v>
      </c>
      <c r="E198" s="35" t="s">
        <v>40</v>
      </c>
      <c r="F198" s="35" t="s">
        <v>44</v>
      </c>
      <c r="G198" s="35" t="s">
        <v>45</v>
      </c>
      <c r="H198" s="36" t="s">
        <v>809</v>
      </c>
    </row>
    <row r="199" spans="1:8" ht="29" x14ac:dyDescent="0.35">
      <c r="A199" s="34">
        <v>197</v>
      </c>
      <c r="B199" s="35" t="s">
        <v>529</v>
      </c>
      <c r="C199" s="35" t="s">
        <v>539</v>
      </c>
      <c r="D199" s="35" t="s">
        <v>222</v>
      </c>
      <c r="E199" s="35" t="s">
        <v>40</v>
      </c>
      <c r="F199" s="35" t="s">
        <v>44</v>
      </c>
      <c r="G199" s="35" t="s">
        <v>39</v>
      </c>
      <c r="H199" s="36" t="s">
        <v>810</v>
      </c>
    </row>
    <row r="200" spans="1:8" ht="72.5" x14ac:dyDescent="0.35">
      <c r="A200" s="34">
        <v>198</v>
      </c>
      <c r="B200" s="35" t="s">
        <v>529</v>
      </c>
      <c r="C200" s="35" t="s">
        <v>220</v>
      </c>
      <c r="D200" s="35" t="s">
        <v>225</v>
      </c>
      <c r="E200" s="35" t="s">
        <v>40</v>
      </c>
      <c r="F200" s="35" t="s">
        <v>44</v>
      </c>
      <c r="G200" s="35" t="s">
        <v>41</v>
      </c>
      <c r="H200" s="36" t="s">
        <v>4132</v>
      </c>
    </row>
    <row r="201" spans="1:8" ht="43.5" x14ac:dyDescent="0.35">
      <c r="A201" s="34">
        <v>199</v>
      </c>
      <c r="B201" s="35" t="s">
        <v>529</v>
      </c>
      <c r="C201" s="35" t="s">
        <v>543</v>
      </c>
      <c r="D201" s="35" t="s">
        <v>228</v>
      </c>
      <c r="E201" s="35" t="s">
        <v>40</v>
      </c>
      <c r="F201" s="35" t="s">
        <v>44</v>
      </c>
      <c r="G201" s="35" t="s">
        <v>40</v>
      </c>
      <c r="H201" s="36" t="s">
        <v>811</v>
      </c>
    </row>
    <row r="202" spans="1:8" ht="29" x14ac:dyDescent="0.35">
      <c r="A202" s="34">
        <v>200</v>
      </c>
      <c r="B202" s="35" t="s">
        <v>529</v>
      </c>
      <c r="C202" s="35" t="s">
        <v>545</v>
      </c>
      <c r="D202" s="35" t="s">
        <v>546</v>
      </c>
      <c r="E202" s="35" t="s">
        <v>40</v>
      </c>
      <c r="F202" s="35" t="s">
        <v>44</v>
      </c>
      <c r="G202" s="35" t="s">
        <v>43</v>
      </c>
      <c r="H202" s="36" t="s">
        <v>812</v>
      </c>
    </row>
    <row r="203" spans="1:8" ht="29" x14ac:dyDescent="0.35">
      <c r="A203" s="34">
        <v>201</v>
      </c>
      <c r="B203" s="35" t="s">
        <v>529</v>
      </c>
      <c r="C203" s="35" t="s">
        <v>548</v>
      </c>
      <c r="D203" s="35" t="s">
        <v>549</v>
      </c>
      <c r="E203" s="35" t="s">
        <v>40</v>
      </c>
      <c r="F203" s="35" t="s">
        <v>44</v>
      </c>
      <c r="G203" s="35" t="s">
        <v>46</v>
      </c>
      <c r="H203" s="36" t="s">
        <v>812</v>
      </c>
    </row>
    <row r="204" spans="1:8" ht="43.5" x14ac:dyDescent="0.35">
      <c r="A204" s="34">
        <v>202</v>
      </c>
      <c r="B204" s="35" t="s">
        <v>529</v>
      </c>
      <c r="C204" s="35" t="s">
        <v>549</v>
      </c>
      <c r="D204" s="35" t="s">
        <v>550</v>
      </c>
      <c r="E204" s="35" t="s">
        <v>40</v>
      </c>
      <c r="F204" s="35" t="s">
        <v>44</v>
      </c>
      <c r="G204" s="35" t="s">
        <v>38</v>
      </c>
      <c r="H204" s="36" t="s">
        <v>813</v>
      </c>
    </row>
    <row r="205" spans="1:8" ht="29" x14ac:dyDescent="0.35">
      <c r="A205" s="34">
        <v>203</v>
      </c>
      <c r="B205" s="35" t="s">
        <v>529</v>
      </c>
      <c r="C205" s="35" t="s">
        <v>235</v>
      </c>
      <c r="D205" s="35" t="s">
        <v>411</v>
      </c>
      <c r="E205" s="35" t="s">
        <v>40</v>
      </c>
      <c r="F205" s="35" t="s">
        <v>44</v>
      </c>
      <c r="G205" s="35" t="s">
        <v>9</v>
      </c>
      <c r="H205" s="36" t="s">
        <v>814</v>
      </c>
    </row>
    <row r="206" spans="1:8" ht="29" x14ac:dyDescent="0.35">
      <c r="A206" s="34">
        <v>204</v>
      </c>
      <c r="B206" s="35" t="s">
        <v>529</v>
      </c>
      <c r="C206" s="35" t="s">
        <v>238</v>
      </c>
      <c r="D206" s="35" t="s">
        <v>345</v>
      </c>
      <c r="E206" s="35" t="s">
        <v>40</v>
      </c>
      <c r="F206" s="35" t="s">
        <v>45</v>
      </c>
      <c r="G206" s="35" t="s">
        <v>45</v>
      </c>
      <c r="H206" s="36" t="s">
        <v>815</v>
      </c>
    </row>
    <row r="207" spans="1:8" ht="29" x14ac:dyDescent="0.35">
      <c r="A207" s="34">
        <v>205</v>
      </c>
      <c r="B207" s="35" t="s">
        <v>529</v>
      </c>
      <c r="C207" s="35" t="s">
        <v>242</v>
      </c>
      <c r="D207" s="35" t="s">
        <v>243</v>
      </c>
      <c r="E207" s="35" t="s">
        <v>40</v>
      </c>
      <c r="F207" s="35" t="s">
        <v>45</v>
      </c>
      <c r="G207" s="35" t="s">
        <v>39</v>
      </c>
      <c r="H207" s="36" t="s">
        <v>816</v>
      </c>
    </row>
    <row r="208" spans="1:8" ht="29" x14ac:dyDescent="0.35">
      <c r="A208" s="34">
        <v>206</v>
      </c>
      <c r="B208" s="35" t="s">
        <v>529</v>
      </c>
      <c r="C208" s="35" t="s">
        <v>245</v>
      </c>
      <c r="D208" s="35" t="s">
        <v>248</v>
      </c>
      <c r="E208" s="35" t="s">
        <v>40</v>
      </c>
      <c r="F208" s="35" t="s">
        <v>45</v>
      </c>
      <c r="G208" s="35" t="s">
        <v>41</v>
      </c>
      <c r="H208" s="36" t="s">
        <v>817</v>
      </c>
    </row>
    <row r="209" spans="1:8" ht="43.5" x14ac:dyDescent="0.35">
      <c r="A209" s="34">
        <v>207</v>
      </c>
      <c r="B209" s="35" t="s">
        <v>529</v>
      </c>
      <c r="C209" s="35" t="s">
        <v>248</v>
      </c>
      <c r="D209" s="35" t="s">
        <v>197</v>
      </c>
      <c r="E209" s="35" t="s">
        <v>40</v>
      </c>
      <c r="F209" s="35" t="s">
        <v>45</v>
      </c>
      <c r="G209" s="35" t="s">
        <v>40</v>
      </c>
      <c r="H209" s="36" t="s">
        <v>818</v>
      </c>
    </row>
    <row r="210" spans="1:8" ht="29" x14ac:dyDescent="0.35">
      <c r="A210" s="34">
        <v>208</v>
      </c>
      <c r="B210" s="35" t="s">
        <v>557</v>
      </c>
      <c r="C210" s="35" t="s">
        <v>387</v>
      </c>
      <c r="D210" s="35" t="s">
        <v>252</v>
      </c>
      <c r="E210" s="35" t="s">
        <v>40</v>
      </c>
      <c r="F210" s="35" t="s">
        <v>45</v>
      </c>
      <c r="G210" s="35" t="s">
        <v>43</v>
      </c>
      <c r="H210" s="36" t="s">
        <v>819</v>
      </c>
    </row>
    <row r="211" spans="1:8" ht="29" x14ac:dyDescent="0.35">
      <c r="A211" s="34">
        <v>209</v>
      </c>
      <c r="B211" s="35" t="s">
        <v>557</v>
      </c>
      <c r="C211" s="35" t="s">
        <v>252</v>
      </c>
      <c r="D211" s="35" t="s">
        <v>256</v>
      </c>
      <c r="E211" s="35" t="s">
        <v>40</v>
      </c>
      <c r="F211" s="35" t="s">
        <v>45</v>
      </c>
      <c r="G211" s="35" t="s">
        <v>46</v>
      </c>
      <c r="H211" s="36" t="s">
        <v>820</v>
      </c>
    </row>
    <row r="212" spans="1:8" ht="29" x14ac:dyDescent="0.35">
      <c r="A212" s="34">
        <v>210</v>
      </c>
      <c r="B212" s="35" t="s">
        <v>557</v>
      </c>
      <c r="C212" s="35" t="s">
        <v>256</v>
      </c>
      <c r="D212" s="35" t="s">
        <v>257</v>
      </c>
      <c r="E212" s="35" t="s">
        <v>40</v>
      </c>
      <c r="F212" s="35" t="s">
        <v>45</v>
      </c>
      <c r="G212" s="35" t="s">
        <v>38</v>
      </c>
      <c r="H212" s="36" t="s">
        <v>821</v>
      </c>
    </row>
    <row r="213" spans="1:8" x14ac:dyDescent="0.35">
      <c r="A213" s="34">
        <v>211</v>
      </c>
      <c r="B213" s="35" t="s">
        <v>557</v>
      </c>
      <c r="C213" s="35" t="s">
        <v>561</v>
      </c>
      <c r="D213" s="35" t="s">
        <v>261</v>
      </c>
      <c r="E213" s="35" t="s">
        <v>40</v>
      </c>
      <c r="F213" s="35" t="s">
        <v>45</v>
      </c>
      <c r="G213" s="35" t="s">
        <v>9</v>
      </c>
      <c r="H213" s="36" t="s">
        <v>822</v>
      </c>
    </row>
    <row r="214" spans="1:8" x14ac:dyDescent="0.35">
      <c r="A214" s="34">
        <v>212</v>
      </c>
      <c r="B214" s="35" t="s">
        <v>557</v>
      </c>
      <c r="C214" s="35" t="s">
        <v>154</v>
      </c>
      <c r="D214" s="35" t="s">
        <v>563</v>
      </c>
      <c r="E214" s="35" t="s">
        <v>40</v>
      </c>
      <c r="F214" s="35" t="s">
        <v>45</v>
      </c>
      <c r="G214" s="35" t="s">
        <v>44</v>
      </c>
      <c r="H214" s="36" t="s">
        <v>823</v>
      </c>
    </row>
    <row r="215" spans="1:8" x14ac:dyDescent="0.35">
      <c r="A215" s="34">
        <v>213</v>
      </c>
      <c r="B215" s="35" t="s">
        <v>557</v>
      </c>
      <c r="C215" s="35" t="s">
        <v>563</v>
      </c>
      <c r="D215" s="35" t="s">
        <v>264</v>
      </c>
      <c r="E215" s="35" t="s">
        <v>40</v>
      </c>
      <c r="F215" s="35" t="s">
        <v>39</v>
      </c>
      <c r="G215" s="35" t="s">
        <v>39</v>
      </c>
      <c r="H215" s="36" t="s">
        <v>824</v>
      </c>
    </row>
    <row r="216" spans="1:8" ht="29" x14ac:dyDescent="0.35">
      <c r="A216" s="34">
        <v>214</v>
      </c>
      <c r="B216" s="35" t="s">
        <v>557</v>
      </c>
      <c r="C216" s="35" t="s">
        <v>266</v>
      </c>
      <c r="D216" s="35" t="s">
        <v>267</v>
      </c>
      <c r="E216" s="35" t="s">
        <v>40</v>
      </c>
      <c r="F216" s="35" t="s">
        <v>39</v>
      </c>
      <c r="G216" s="35" t="s">
        <v>41</v>
      </c>
      <c r="H216" s="36" t="s">
        <v>825</v>
      </c>
    </row>
    <row r="217" spans="1:8" x14ac:dyDescent="0.35">
      <c r="A217" s="34">
        <v>215</v>
      </c>
      <c r="B217" s="35" t="s">
        <v>557</v>
      </c>
      <c r="C217" s="35" t="s">
        <v>267</v>
      </c>
      <c r="D217" s="35" t="s">
        <v>566</v>
      </c>
      <c r="E217" s="35" t="s">
        <v>40</v>
      </c>
      <c r="F217" s="35" t="s">
        <v>39</v>
      </c>
      <c r="G217" s="35" t="s">
        <v>40</v>
      </c>
      <c r="H217" s="36" t="s">
        <v>826</v>
      </c>
    </row>
    <row r="218" spans="1:8" ht="29" x14ac:dyDescent="0.35">
      <c r="A218" s="34">
        <v>216</v>
      </c>
      <c r="B218" s="35" t="s">
        <v>557</v>
      </c>
      <c r="C218" s="35" t="s">
        <v>435</v>
      </c>
      <c r="D218" s="35" t="s">
        <v>272</v>
      </c>
      <c r="E218" s="35" t="s">
        <v>40</v>
      </c>
      <c r="F218" s="35" t="s">
        <v>39</v>
      </c>
      <c r="G218" s="35" t="s">
        <v>43</v>
      </c>
      <c r="H218" s="36" t="s">
        <v>827</v>
      </c>
    </row>
    <row r="219" spans="1:8" ht="29" x14ac:dyDescent="0.35">
      <c r="A219" s="34">
        <v>217</v>
      </c>
      <c r="B219" s="35" t="s">
        <v>557</v>
      </c>
      <c r="C219" s="35" t="s">
        <v>438</v>
      </c>
      <c r="D219" s="35" t="s">
        <v>274</v>
      </c>
      <c r="E219" s="35" t="s">
        <v>40</v>
      </c>
      <c r="F219" s="35" t="s">
        <v>39</v>
      </c>
      <c r="G219" s="35" t="s">
        <v>46</v>
      </c>
      <c r="H219" s="36" t="s">
        <v>828</v>
      </c>
    </row>
    <row r="220" spans="1:8" ht="29" x14ac:dyDescent="0.35">
      <c r="A220" s="34">
        <v>218</v>
      </c>
      <c r="B220" s="35" t="s">
        <v>557</v>
      </c>
      <c r="C220" s="35" t="s">
        <v>274</v>
      </c>
      <c r="D220" s="35" t="s">
        <v>276</v>
      </c>
      <c r="E220" s="35" t="s">
        <v>40</v>
      </c>
      <c r="F220" s="35" t="s">
        <v>39</v>
      </c>
      <c r="G220" s="35" t="s">
        <v>38</v>
      </c>
      <c r="H220" s="36" t="s">
        <v>829</v>
      </c>
    </row>
    <row r="221" spans="1:8" x14ac:dyDescent="0.35">
      <c r="A221" s="34">
        <v>219</v>
      </c>
      <c r="B221" s="35" t="s">
        <v>557</v>
      </c>
      <c r="C221" s="35" t="s">
        <v>276</v>
      </c>
      <c r="D221" s="35" t="s">
        <v>177</v>
      </c>
      <c r="E221" s="35" t="s">
        <v>40</v>
      </c>
      <c r="F221" s="35" t="s">
        <v>39</v>
      </c>
      <c r="G221" s="35" t="s">
        <v>9</v>
      </c>
      <c r="H221" s="36" t="s">
        <v>830</v>
      </c>
    </row>
    <row r="222" spans="1:8" ht="29" x14ac:dyDescent="0.35">
      <c r="A222" s="34">
        <v>220</v>
      </c>
      <c r="B222" s="35" t="s">
        <v>557</v>
      </c>
      <c r="C222" s="35" t="s">
        <v>441</v>
      </c>
      <c r="D222" s="35" t="s">
        <v>282</v>
      </c>
      <c r="E222" s="35" t="s">
        <v>40</v>
      </c>
      <c r="F222" s="35" t="s">
        <v>39</v>
      </c>
      <c r="G222" s="35" t="s">
        <v>44</v>
      </c>
      <c r="H222" s="36" t="s">
        <v>831</v>
      </c>
    </row>
    <row r="223" spans="1:8" x14ac:dyDescent="0.35">
      <c r="A223" s="34">
        <v>221</v>
      </c>
      <c r="B223" s="35" t="s">
        <v>557</v>
      </c>
      <c r="C223" s="35" t="s">
        <v>280</v>
      </c>
      <c r="D223" s="35" t="s">
        <v>446</v>
      </c>
      <c r="E223" s="35" t="s">
        <v>40</v>
      </c>
      <c r="F223" s="35" t="s">
        <v>39</v>
      </c>
      <c r="G223" s="35" t="s">
        <v>45</v>
      </c>
      <c r="H223" s="36" t="s">
        <v>832</v>
      </c>
    </row>
    <row r="224" spans="1:8" x14ac:dyDescent="0.35">
      <c r="A224" s="34">
        <v>222</v>
      </c>
      <c r="B224" s="35" t="s">
        <v>557</v>
      </c>
      <c r="C224" s="35" t="s">
        <v>446</v>
      </c>
      <c r="D224" s="35" t="s">
        <v>287</v>
      </c>
      <c r="E224" s="35" t="s">
        <v>40</v>
      </c>
      <c r="F224" s="35" t="s">
        <v>41</v>
      </c>
      <c r="G224" s="35" t="s">
        <v>41</v>
      </c>
      <c r="H224" s="36" t="s">
        <v>833</v>
      </c>
    </row>
    <row r="225" spans="1:8" x14ac:dyDescent="0.35">
      <c r="A225" s="34">
        <v>223</v>
      </c>
      <c r="B225" s="35" t="s">
        <v>557</v>
      </c>
      <c r="C225" s="35" t="s">
        <v>575</v>
      </c>
      <c r="D225" s="35" t="s">
        <v>290</v>
      </c>
      <c r="E225" s="35" t="s">
        <v>40</v>
      </c>
      <c r="F225" s="35" t="s">
        <v>41</v>
      </c>
      <c r="G225" s="35" t="s">
        <v>40</v>
      </c>
      <c r="H225" s="36" t="s">
        <v>834</v>
      </c>
    </row>
    <row r="226" spans="1:8" x14ac:dyDescent="0.35">
      <c r="A226" s="34">
        <v>224</v>
      </c>
      <c r="B226" s="35" t="s">
        <v>557</v>
      </c>
      <c r="C226" s="35" t="s">
        <v>577</v>
      </c>
      <c r="D226" s="35" t="s">
        <v>293</v>
      </c>
      <c r="E226" s="35" t="s">
        <v>40</v>
      </c>
      <c r="F226" s="35" t="s">
        <v>41</v>
      </c>
      <c r="G226" s="35" t="s">
        <v>43</v>
      </c>
      <c r="H226" s="36" t="s">
        <v>835</v>
      </c>
    </row>
    <row r="227" spans="1:8" ht="29" x14ac:dyDescent="0.35">
      <c r="A227" s="34">
        <v>225</v>
      </c>
      <c r="B227" s="35" t="s">
        <v>557</v>
      </c>
      <c r="C227" s="35" t="s">
        <v>293</v>
      </c>
      <c r="D227" s="35" t="s">
        <v>451</v>
      </c>
      <c r="E227" s="35" t="s">
        <v>40</v>
      </c>
      <c r="F227" s="35" t="s">
        <v>41</v>
      </c>
      <c r="G227" s="35" t="s">
        <v>46</v>
      </c>
      <c r="H227" s="36" t="s">
        <v>836</v>
      </c>
    </row>
    <row r="228" spans="1:8" x14ac:dyDescent="0.35">
      <c r="A228" s="34">
        <v>226</v>
      </c>
      <c r="B228" s="35" t="s">
        <v>557</v>
      </c>
      <c r="C228" s="35" t="s">
        <v>294</v>
      </c>
      <c r="D228" s="35" t="s">
        <v>297</v>
      </c>
      <c r="E228" s="35" t="s">
        <v>40</v>
      </c>
      <c r="F228" s="35" t="s">
        <v>41</v>
      </c>
      <c r="G228" s="35" t="s">
        <v>38</v>
      </c>
      <c r="H228" s="36" t="s">
        <v>837</v>
      </c>
    </row>
    <row r="229" spans="1:8" x14ac:dyDescent="0.35">
      <c r="A229" s="34">
        <v>227</v>
      </c>
      <c r="B229" s="35" t="s">
        <v>557</v>
      </c>
      <c r="C229" s="35" t="s">
        <v>297</v>
      </c>
      <c r="D229" s="35" t="s">
        <v>299</v>
      </c>
      <c r="E229" s="35" t="s">
        <v>40</v>
      </c>
      <c r="F229" s="35" t="s">
        <v>41</v>
      </c>
      <c r="G229" s="35" t="s">
        <v>9</v>
      </c>
      <c r="H229" s="36" t="s">
        <v>838</v>
      </c>
    </row>
    <row r="230" spans="1:8" ht="29" x14ac:dyDescent="0.35">
      <c r="A230" s="34">
        <v>228</v>
      </c>
      <c r="B230" s="35" t="s">
        <v>557</v>
      </c>
      <c r="C230" s="35" t="s">
        <v>582</v>
      </c>
      <c r="D230" s="35" t="s">
        <v>197</v>
      </c>
      <c r="E230" s="35" t="s">
        <v>40</v>
      </c>
      <c r="F230" s="35" t="s">
        <v>41</v>
      </c>
      <c r="G230" s="35" t="s">
        <v>44</v>
      </c>
      <c r="H230" s="36" t="s">
        <v>839</v>
      </c>
    </row>
    <row r="231" spans="1:8" ht="87" x14ac:dyDescent="0.35">
      <c r="A231" s="34">
        <v>229</v>
      </c>
      <c r="B231" s="35" t="s">
        <v>584</v>
      </c>
      <c r="C231" s="35" t="s">
        <v>143</v>
      </c>
      <c r="D231" s="35" t="s">
        <v>303</v>
      </c>
      <c r="E231" s="35" t="s">
        <v>41</v>
      </c>
      <c r="F231" s="35" t="s">
        <v>41</v>
      </c>
      <c r="G231" s="35" t="s">
        <v>44</v>
      </c>
      <c r="H231" s="36" t="s">
        <v>840</v>
      </c>
    </row>
    <row r="232" spans="1:8" ht="43.5" x14ac:dyDescent="0.35">
      <c r="A232" s="34">
        <v>230</v>
      </c>
      <c r="B232" s="35" t="s">
        <v>584</v>
      </c>
      <c r="C232" s="35" t="s">
        <v>303</v>
      </c>
      <c r="D232" s="35" t="s">
        <v>305</v>
      </c>
      <c r="E232" s="35" t="s">
        <v>41</v>
      </c>
      <c r="F232" s="35" t="s">
        <v>41</v>
      </c>
      <c r="G232" s="35" t="s">
        <v>45</v>
      </c>
      <c r="H232" s="36" t="s">
        <v>841</v>
      </c>
    </row>
    <row r="233" spans="1:8" x14ac:dyDescent="0.35">
      <c r="A233" s="34">
        <v>231</v>
      </c>
      <c r="B233" s="35" t="s">
        <v>584</v>
      </c>
      <c r="C233" s="35" t="s">
        <v>305</v>
      </c>
      <c r="D233" s="35" t="s">
        <v>461</v>
      </c>
      <c r="E233" s="35" t="s">
        <v>41</v>
      </c>
      <c r="F233" s="35" t="s">
        <v>41</v>
      </c>
      <c r="G233" s="35" t="s">
        <v>39</v>
      </c>
      <c r="H233" s="36" t="s">
        <v>842</v>
      </c>
    </row>
    <row r="234" spans="1:8" ht="29" x14ac:dyDescent="0.35">
      <c r="A234" s="34">
        <v>232</v>
      </c>
      <c r="B234" s="35" t="s">
        <v>584</v>
      </c>
      <c r="C234" s="35" t="s">
        <v>310</v>
      </c>
      <c r="D234" s="35" t="s">
        <v>311</v>
      </c>
      <c r="E234" s="35" t="s">
        <v>41</v>
      </c>
      <c r="F234" s="35" t="s">
        <v>40</v>
      </c>
      <c r="G234" s="35" t="s">
        <v>40</v>
      </c>
      <c r="H234" s="36" t="s">
        <v>843</v>
      </c>
    </row>
    <row r="235" spans="1:8" ht="87" x14ac:dyDescent="0.35">
      <c r="A235" s="34">
        <v>233</v>
      </c>
      <c r="B235" s="35" t="s">
        <v>584</v>
      </c>
      <c r="C235" s="35" t="s">
        <v>589</v>
      </c>
      <c r="D235" s="35" t="s">
        <v>307</v>
      </c>
      <c r="E235" s="35" t="s">
        <v>41</v>
      </c>
      <c r="F235" s="35" t="s">
        <v>40</v>
      </c>
      <c r="G235" s="35" t="s">
        <v>43</v>
      </c>
      <c r="H235" s="36" t="s">
        <v>844</v>
      </c>
    </row>
    <row r="236" spans="1:8" ht="29" x14ac:dyDescent="0.35">
      <c r="A236" s="34">
        <v>234</v>
      </c>
      <c r="B236" s="35" t="s">
        <v>584</v>
      </c>
      <c r="C236" s="35" t="s">
        <v>591</v>
      </c>
      <c r="D236" s="35" t="s">
        <v>316</v>
      </c>
      <c r="E236" s="35" t="s">
        <v>41</v>
      </c>
      <c r="F236" s="35" t="s">
        <v>40</v>
      </c>
      <c r="G236" s="35" t="s">
        <v>46</v>
      </c>
      <c r="H236" s="36" t="s">
        <v>845</v>
      </c>
    </row>
    <row r="237" spans="1:8" x14ac:dyDescent="0.35">
      <c r="A237" s="34">
        <v>235</v>
      </c>
      <c r="B237" s="35" t="s">
        <v>584</v>
      </c>
      <c r="C237" s="35" t="s">
        <v>316</v>
      </c>
      <c r="D237" s="35" t="s">
        <v>593</v>
      </c>
      <c r="E237" s="35" t="s">
        <v>41</v>
      </c>
      <c r="F237" s="35" t="s">
        <v>40</v>
      </c>
      <c r="G237" s="35" t="s">
        <v>38</v>
      </c>
      <c r="H237" s="36" t="s">
        <v>846</v>
      </c>
    </row>
    <row r="238" spans="1:8" ht="29" x14ac:dyDescent="0.35">
      <c r="A238" s="34">
        <v>236</v>
      </c>
      <c r="B238" s="35" t="s">
        <v>584</v>
      </c>
      <c r="C238" s="35" t="s">
        <v>319</v>
      </c>
      <c r="D238" s="35" t="s">
        <v>470</v>
      </c>
      <c r="E238" s="35" t="s">
        <v>41</v>
      </c>
      <c r="F238" s="35" t="s">
        <v>40</v>
      </c>
      <c r="G238" s="35" t="s">
        <v>9</v>
      </c>
      <c r="H238" s="36" t="s">
        <v>847</v>
      </c>
    </row>
    <row r="239" spans="1:8" ht="29" x14ac:dyDescent="0.35">
      <c r="A239" s="34">
        <v>237</v>
      </c>
      <c r="B239" s="35" t="s">
        <v>584</v>
      </c>
      <c r="C239" s="35" t="s">
        <v>470</v>
      </c>
      <c r="D239" s="35" t="s">
        <v>471</v>
      </c>
      <c r="E239" s="35" t="s">
        <v>41</v>
      </c>
      <c r="F239" s="35" t="s">
        <v>40</v>
      </c>
      <c r="G239" s="35" t="s">
        <v>44</v>
      </c>
      <c r="H239" s="36" t="s">
        <v>848</v>
      </c>
    </row>
    <row r="240" spans="1:8" ht="58" x14ac:dyDescent="0.35">
      <c r="A240" s="34">
        <v>238</v>
      </c>
      <c r="B240" s="35" t="s">
        <v>584</v>
      </c>
      <c r="C240" s="35" t="s">
        <v>471</v>
      </c>
      <c r="D240" s="35" t="s">
        <v>597</v>
      </c>
      <c r="E240" s="35" t="s">
        <v>41</v>
      </c>
      <c r="F240" s="35" t="s">
        <v>40</v>
      </c>
      <c r="G240" s="35" t="s">
        <v>45</v>
      </c>
      <c r="H240" s="36" t="s">
        <v>849</v>
      </c>
    </row>
    <row r="241" spans="1:8" x14ac:dyDescent="0.35">
      <c r="A241" s="34">
        <v>239</v>
      </c>
      <c r="B241" s="35" t="s">
        <v>584</v>
      </c>
      <c r="C241" s="35" t="s">
        <v>328</v>
      </c>
      <c r="D241" s="35" t="s">
        <v>329</v>
      </c>
      <c r="E241" s="35" t="s">
        <v>41</v>
      </c>
      <c r="F241" s="35" t="s">
        <v>40</v>
      </c>
      <c r="G241" s="35" t="s">
        <v>39</v>
      </c>
      <c r="H241" s="36" t="s">
        <v>850</v>
      </c>
    </row>
    <row r="242" spans="1:8" ht="29" x14ac:dyDescent="0.35">
      <c r="A242" s="34">
        <v>240</v>
      </c>
      <c r="B242" s="35" t="s">
        <v>584</v>
      </c>
      <c r="C242" s="35" t="s">
        <v>475</v>
      </c>
      <c r="D242" s="35" t="s">
        <v>600</v>
      </c>
      <c r="E242" s="35" t="s">
        <v>41</v>
      </c>
      <c r="F242" s="35" t="s">
        <v>40</v>
      </c>
      <c r="G242" s="35" t="s">
        <v>41</v>
      </c>
      <c r="H242" s="36" t="s">
        <v>851</v>
      </c>
    </row>
    <row r="243" spans="1:8" ht="43.5" x14ac:dyDescent="0.35">
      <c r="A243" s="34">
        <v>241</v>
      </c>
      <c r="B243" s="35" t="s">
        <v>584</v>
      </c>
      <c r="C243" s="35" t="s">
        <v>331</v>
      </c>
      <c r="D243" s="35" t="s">
        <v>479</v>
      </c>
      <c r="E243" s="35" t="s">
        <v>41</v>
      </c>
      <c r="F243" s="35" t="s">
        <v>43</v>
      </c>
      <c r="G243" s="35" t="s">
        <v>43</v>
      </c>
      <c r="H243" s="36" t="s">
        <v>852</v>
      </c>
    </row>
    <row r="244" spans="1:8" ht="29" x14ac:dyDescent="0.35">
      <c r="A244" s="34">
        <v>242</v>
      </c>
      <c r="B244" s="35" t="s">
        <v>584</v>
      </c>
      <c r="C244" s="35" t="s">
        <v>481</v>
      </c>
      <c r="D244" s="35" t="s">
        <v>482</v>
      </c>
      <c r="E244" s="35" t="s">
        <v>41</v>
      </c>
      <c r="F244" s="35" t="s">
        <v>43</v>
      </c>
      <c r="G244" s="35" t="s">
        <v>46</v>
      </c>
      <c r="H244" s="36" t="s">
        <v>853</v>
      </c>
    </row>
    <row r="245" spans="1:8" ht="72.5" x14ac:dyDescent="0.35">
      <c r="A245" s="34">
        <v>243</v>
      </c>
      <c r="B245" s="35" t="s">
        <v>584</v>
      </c>
      <c r="C245" s="35" t="s">
        <v>482</v>
      </c>
      <c r="D245" s="35" t="s">
        <v>604</v>
      </c>
      <c r="E245" s="35" t="s">
        <v>41</v>
      </c>
      <c r="F245" s="35" t="s">
        <v>43</v>
      </c>
      <c r="G245" s="35" t="s">
        <v>38</v>
      </c>
      <c r="H245" s="36" t="s">
        <v>854</v>
      </c>
    </row>
    <row r="246" spans="1:8" ht="72.5" x14ac:dyDescent="0.35">
      <c r="A246" s="34">
        <v>244</v>
      </c>
      <c r="B246" s="35" t="s">
        <v>584</v>
      </c>
      <c r="C246" s="35" t="s">
        <v>485</v>
      </c>
      <c r="D246" s="35" t="s">
        <v>606</v>
      </c>
      <c r="E246" s="35" t="s">
        <v>41</v>
      </c>
      <c r="F246" s="35" t="s">
        <v>43</v>
      </c>
      <c r="G246" s="35" t="s">
        <v>9</v>
      </c>
      <c r="H246" s="36" t="s">
        <v>855</v>
      </c>
    </row>
    <row r="247" spans="1:8" ht="116" x14ac:dyDescent="0.35">
      <c r="A247" s="34">
        <v>245</v>
      </c>
      <c r="B247" s="35" t="s">
        <v>584</v>
      </c>
      <c r="C247" s="35" t="s">
        <v>606</v>
      </c>
      <c r="D247" s="35" t="s">
        <v>411</v>
      </c>
      <c r="E247" s="35" t="s">
        <v>41</v>
      </c>
      <c r="F247" s="35" t="s">
        <v>43</v>
      </c>
      <c r="G247" s="35" t="s">
        <v>44</v>
      </c>
      <c r="H247" s="36" t="s">
        <v>856</v>
      </c>
    </row>
    <row r="248" spans="1:8" ht="130.5" x14ac:dyDescent="0.35">
      <c r="A248" s="34">
        <v>246</v>
      </c>
      <c r="B248" s="35" t="s">
        <v>584</v>
      </c>
      <c r="C248" s="35" t="s">
        <v>411</v>
      </c>
      <c r="D248" s="35" t="s">
        <v>345</v>
      </c>
      <c r="E248" s="35" t="s">
        <v>41</v>
      </c>
      <c r="F248" s="35" t="s">
        <v>43</v>
      </c>
      <c r="G248" s="35" t="s">
        <v>45</v>
      </c>
      <c r="H248" s="36" t="s">
        <v>857</v>
      </c>
    </row>
    <row r="249" spans="1:8" ht="29" x14ac:dyDescent="0.35">
      <c r="A249" s="34">
        <v>247</v>
      </c>
      <c r="B249" s="35" t="s">
        <v>584</v>
      </c>
      <c r="C249" s="35" t="s">
        <v>242</v>
      </c>
      <c r="D249" s="35" t="s">
        <v>610</v>
      </c>
      <c r="E249" s="35" t="s">
        <v>41</v>
      </c>
      <c r="F249" s="35" t="s">
        <v>43</v>
      </c>
      <c r="G249" s="35" t="s">
        <v>39</v>
      </c>
      <c r="H249" s="36" t="s">
        <v>858</v>
      </c>
    </row>
    <row r="250" spans="1:8" ht="43.5" x14ac:dyDescent="0.35">
      <c r="A250" s="34">
        <v>248</v>
      </c>
      <c r="B250" s="35" t="s">
        <v>584</v>
      </c>
      <c r="C250" s="35" t="s">
        <v>243</v>
      </c>
      <c r="D250" s="35" t="s">
        <v>248</v>
      </c>
      <c r="E250" s="35" t="s">
        <v>41</v>
      </c>
      <c r="F250" s="35" t="s">
        <v>43</v>
      </c>
      <c r="G250" s="35" t="s">
        <v>612</v>
      </c>
      <c r="H250" s="36" t="s">
        <v>859</v>
      </c>
    </row>
    <row r="251" spans="1:8" ht="29" x14ac:dyDescent="0.35">
      <c r="A251" s="34">
        <v>249</v>
      </c>
      <c r="B251" s="35" t="s">
        <v>584</v>
      </c>
      <c r="C251" s="35" t="s">
        <v>614</v>
      </c>
      <c r="D251" s="35" t="s">
        <v>249</v>
      </c>
      <c r="E251" s="35" t="s">
        <v>41</v>
      </c>
      <c r="F251" s="35" t="s">
        <v>43</v>
      </c>
      <c r="G251" s="35" t="s">
        <v>40</v>
      </c>
      <c r="H251" s="36" t="s">
        <v>860</v>
      </c>
    </row>
  </sheetData>
  <mergeCells count="1">
    <mergeCell ref="C1:E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66FE-C1A4-4A25-A5BA-4804B89AC5F3}">
  <dimension ref="A1:H251"/>
  <sheetViews>
    <sheetView topLeftCell="A213" workbookViewId="0">
      <selection activeCell="H225" sqref="H225"/>
    </sheetView>
  </sheetViews>
  <sheetFormatPr defaultRowHeight="14.5" x14ac:dyDescent="0.35"/>
  <cols>
    <col min="1" max="1" width="7.81640625" bestFit="1" customWidth="1"/>
    <col min="2" max="2" width="10.26953125" bestFit="1" customWidth="1"/>
    <col min="3" max="3" width="19.26953125" bestFit="1" customWidth="1"/>
    <col min="4" max="4" width="16.453125" bestFit="1" customWidth="1"/>
    <col min="5" max="5" width="9" bestFit="1" customWidth="1"/>
    <col min="6" max="6" width="8.453125" bestFit="1" customWidth="1"/>
    <col min="7" max="7" width="8.26953125" bestFit="1" customWidth="1"/>
    <col min="8" max="8" width="63" customWidth="1"/>
  </cols>
  <sheetData>
    <row r="1" spans="1:8" x14ac:dyDescent="0.35">
      <c r="A1" s="75"/>
      <c r="B1" s="76"/>
      <c r="C1" s="302" t="s">
        <v>134</v>
      </c>
      <c r="D1" s="303"/>
      <c r="E1" s="304"/>
      <c r="F1" s="76"/>
      <c r="G1" s="76"/>
      <c r="H1" s="74"/>
    </row>
    <row r="2" spans="1:8" x14ac:dyDescent="0.35">
      <c r="A2" s="75" t="s">
        <v>135</v>
      </c>
      <c r="B2" s="76" t="s">
        <v>136</v>
      </c>
      <c r="C2" s="76" t="s">
        <v>137</v>
      </c>
      <c r="D2" s="76" t="s">
        <v>138</v>
      </c>
      <c r="E2" s="76" t="s">
        <v>55</v>
      </c>
      <c r="F2" s="76" t="s">
        <v>139</v>
      </c>
      <c r="G2" s="76" t="s">
        <v>140</v>
      </c>
      <c r="H2" s="77" t="s">
        <v>861</v>
      </c>
    </row>
    <row r="3" spans="1:8" x14ac:dyDescent="0.35">
      <c r="A3" s="75">
        <v>1</v>
      </c>
      <c r="B3" s="76" t="s">
        <v>142</v>
      </c>
      <c r="C3" s="76" t="s">
        <v>143</v>
      </c>
      <c r="D3" s="76" t="s">
        <v>144</v>
      </c>
      <c r="E3" s="76" t="s">
        <v>45</v>
      </c>
      <c r="F3" s="76" t="s">
        <v>46</v>
      </c>
      <c r="G3" s="76" t="s">
        <v>46</v>
      </c>
      <c r="H3" s="74" t="s">
        <v>862</v>
      </c>
    </row>
    <row r="4" spans="1:8" x14ac:dyDescent="0.35">
      <c r="A4" s="75">
        <v>2</v>
      </c>
      <c r="B4" s="76" t="s">
        <v>142</v>
      </c>
      <c r="C4" s="76" t="s">
        <v>144</v>
      </c>
      <c r="D4" s="76" t="s">
        <v>146</v>
      </c>
      <c r="E4" s="76" t="s">
        <v>45</v>
      </c>
      <c r="F4" s="76" t="s">
        <v>46</v>
      </c>
      <c r="G4" s="76" t="s">
        <v>38</v>
      </c>
      <c r="H4" s="74" t="s">
        <v>863</v>
      </c>
    </row>
    <row r="5" spans="1:8" x14ac:dyDescent="0.35">
      <c r="A5" s="75">
        <v>3</v>
      </c>
      <c r="B5" s="76" t="s">
        <v>142</v>
      </c>
      <c r="C5" s="76" t="s">
        <v>148</v>
      </c>
      <c r="D5" s="76" t="s">
        <v>149</v>
      </c>
      <c r="E5" s="76" t="s">
        <v>45</v>
      </c>
      <c r="F5" s="76" t="s">
        <v>46</v>
      </c>
      <c r="G5" s="76" t="s">
        <v>9</v>
      </c>
      <c r="H5" s="74" t="s">
        <v>4156</v>
      </c>
    </row>
    <row r="6" spans="1:8" x14ac:dyDescent="0.35">
      <c r="A6" s="75">
        <v>4</v>
      </c>
      <c r="B6" s="76" t="s">
        <v>142</v>
      </c>
      <c r="C6" s="76" t="s">
        <v>149</v>
      </c>
      <c r="D6" s="76" t="s">
        <v>151</v>
      </c>
      <c r="E6" s="76" t="s">
        <v>45</v>
      </c>
      <c r="F6" s="76" t="s">
        <v>46</v>
      </c>
      <c r="G6" s="76" t="s">
        <v>44</v>
      </c>
      <c r="H6" s="74" t="s">
        <v>864</v>
      </c>
    </row>
    <row r="7" spans="1:8" x14ac:dyDescent="0.35">
      <c r="A7" s="75">
        <v>5</v>
      </c>
      <c r="B7" s="76" t="s">
        <v>142</v>
      </c>
      <c r="C7" s="76" t="s">
        <v>153</v>
      </c>
      <c r="D7" s="76" t="s">
        <v>154</v>
      </c>
      <c r="E7" s="76" t="s">
        <v>45</v>
      </c>
      <c r="F7" s="76" t="s">
        <v>46</v>
      </c>
      <c r="G7" s="76" t="s">
        <v>45</v>
      </c>
      <c r="H7" s="74" t="s">
        <v>865</v>
      </c>
    </row>
    <row r="8" spans="1:8" x14ac:dyDescent="0.35">
      <c r="A8" s="75">
        <v>6</v>
      </c>
      <c r="B8" s="76" t="s">
        <v>142</v>
      </c>
      <c r="C8" s="76" t="s">
        <v>154</v>
      </c>
      <c r="D8" s="76" t="s">
        <v>156</v>
      </c>
      <c r="E8" s="76" t="s">
        <v>45</v>
      </c>
      <c r="F8" s="76" t="s">
        <v>46</v>
      </c>
      <c r="G8" s="76" t="s">
        <v>39</v>
      </c>
      <c r="H8" s="74" t="s">
        <v>866</v>
      </c>
    </row>
    <row r="9" spans="1:8" x14ac:dyDescent="0.35">
      <c r="A9" s="75">
        <v>7</v>
      </c>
      <c r="B9" s="76" t="s">
        <v>142</v>
      </c>
      <c r="C9" s="76" t="s">
        <v>158</v>
      </c>
      <c r="D9" s="76" t="s">
        <v>159</v>
      </c>
      <c r="E9" s="76" t="s">
        <v>45</v>
      </c>
      <c r="F9" s="76" t="s">
        <v>46</v>
      </c>
      <c r="G9" s="76" t="s">
        <v>41</v>
      </c>
      <c r="H9" s="74" t="s">
        <v>867</v>
      </c>
    </row>
    <row r="10" spans="1:8" x14ac:dyDescent="0.35">
      <c r="A10" s="75">
        <v>8</v>
      </c>
      <c r="B10" s="76" t="s">
        <v>142</v>
      </c>
      <c r="C10" s="76" t="s">
        <v>161</v>
      </c>
      <c r="D10" s="76" t="s">
        <v>162</v>
      </c>
      <c r="E10" s="76" t="s">
        <v>45</v>
      </c>
      <c r="F10" s="76" t="s">
        <v>46</v>
      </c>
      <c r="G10" s="76" t="s">
        <v>40</v>
      </c>
      <c r="H10" s="74" t="s">
        <v>868</v>
      </c>
    </row>
    <row r="11" spans="1:8" x14ac:dyDescent="0.35">
      <c r="A11" s="75">
        <v>9</v>
      </c>
      <c r="B11" s="76" t="s">
        <v>142</v>
      </c>
      <c r="C11" s="76" t="s">
        <v>164</v>
      </c>
      <c r="D11" s="76" t="s">
        <v>165</v>
      </c>
      <c r="E11" s="76" t="s">
        <v>45</v>
      </c>
      <c r="F11" s="76" t="s">
        <v>46</v>
      </c>
      <c r="G11" s="76" t="s">
        <v>43</v>
      </c>
      <c r="H11" s="74" t="s">
        <v>869</v>
      </c>
    </row>
    <row r="12" spans="1:8" x14ac:dyDescent="0.35">
      <c r="A12" s="75">
        <v>10</v>
      </c>
      <c r="B12" s="76" t="s">
        <v>142</v>
      </c>
      <c r="C12" s="76" t="s">
        <v>167</v>
      </c>
      <c r="D12" s="76" t="s">
        <v>168</v>
      </c>
      <c r="E12" s="76" t="s">
        <v>45</v>
      </c>
      <c r="F12" s="76" t="s">
        <v>38</v>
      </c>
      <c r="G12" s="76" t="s">
        <v>38</v>
      </c>
      <c r="H12" s="74" t="s">
        <v>870</v>
      </c>
    </row>
    <row r="13" spans="1:8" ht="29" x14ac:dyDescent="0.35">
      <c r="A13" s="75">
        <v>11</v>
      </c>
      <c r="B13" s="76" t="s">
        <v>142</v>
      </c>
      <c r="C13" s="76" t="s">
        <v>170</v>
      </c>
      <c r="D13" s="76" t="s">
        <v>171</v>
      </c>
      <c r="E13" s="76" t="s">
        <v>45</v>
      </c>
      <c r="F13" s="76" t="s">
        <v>38</v>
      </c>
      <c r="G13" s="76" t="s">
        <v>9</v>
      </c>
      <c r="H13" s="74" t="s">
        <v>871</v>
      </c>
    </row>
    <row r="14" spans="1:8" ht="29" x14ac:dyDescent="0.35">
      <c r="A14" s="75">
        <v>12</v>
      </c>
      <c r="B14" s="76" t="s">
        <v>142</v>
      </c>
      <c r="C14" s="76" t="s">
        <v>173</v>
      </c>
      <c r="D14" s="76" t="s">
        <v>174</v>
      </c>
      <c r="E14" s="76" t="s">
        <v>45</v>
      </c>
      <c r="F14" s="76" t="s">
        <v>38</v>
      </c>
      <c r="G14" s="76" t="s">
        <v>44</v>
      </c>
      <c r="H14" s="74" t="s">
        <v>872</v>
      </c>
    </row>
    <row r="15" spans="1:8" ht="29" x14ac:dyDescent="0.35">
      <c r="A15" s="75">
        <v>13</v>
      </c>
      <c r="B15" s="76" t="s">
        <v>142</v>
      </c>
      <c r="C15" s="76" t="s">
        <v>176</v>
      </c>
      <c r="D15" s="76" t="s">
        <v>177</v>
      </c>
      <c r="E15" s="76" t="s">
        <v>45</v>
      </c>
      <c r="F15" s="76" t="s">
        <v>38</v>
      </c>
      <c r="G15" s="76" t="s">
        <v>45</v>
      </c>
      <c r="H15" s="74" t="s">
        <v>873</v>
      </c>
    </row>
    <row r="16" spans="1:8" x14ac:dyDescent="0.35">
      <c r="A16" s="75">
        <v>14</v>
      </c>
      <c r="B16" s="76" t="s">
        <v>142</v>
      </c>
      <c r="C16" s="76" t="s">
        <v>177</v>
      </c>
      <c r="D16" s="76" t="s">
        <v>179</v>
      </c>
      <c r="E16" s="76" t="s">
        <v>45</v>
      </c>
      <c r="F16" s="76" t="s">
        <v>38</v>
      </c>
      <c r="G16" s="76" t="s">
        <v>39</v>
      </c>
      <c r="H16" s="74" t="s">
        <v>874</v>
      </c>
    </row>
    <row r="17" spans="1:8" ht="29" x14ac:dyDescent="0.35">
      <c r="A17" s="75">
        <v>15</v>
      </c>
      <c r="B17" s="76" t="s">
        <v>142</v>
      </c>
      <c r="C17" s="76" t="s">
        <v>181</v>
      </c>
      <c r="D17" s="76" t="s">
        <v>182</v>
      </c>
      <c r="E17" s="76" t="s">
        <v>45</v>
      </c>
      <c r="F17" s="76" t="s">
        <v>38</v>
      </c>
      <c r="G17" s="76" t="s">
        <v>41</v>
      </c>
      <c r="H17" s="74" t="s">
        <v>875</v>
      </c>
    </row>
    <row r="18" spans="1:8" ht="29" x14ac:dyDescent="0.35">
      <c r="A18" s="75">
        <v>16</v>
      </c>
      <c r="B18" s="76" t="s">
        <v>142</v>
      </c>
      <c r="C18" s="76" t="s">
        <v>182</v>
      </c>
      <c r="D18" s="76" t="s">
        <v>184</v>
      </c>
      <c r="E18" s="76" t="s">
        <v>45</v>
      </c>
      <c r="F18" s="76" t="s">
        <v>38</v>
      </c>
      <c r="G18" s="76" t="s">
        <v>40</v>
      </c>
      <c r="H18" s="74" t="s">
        <v>876</v>
      </c>
    </row>
    <row r="19" spans="1:8" x14ac:dyDescent="0.35">
      <c r="A19" s="75">
        <v>17</v>
      </c>
      <c r="B19" s="76" t="s">
        <v>142</v>
      </c>
      <c r="C19" s="76" t="s">
        <v>184</v>
      </c>
      <c r="D19" s="76" t="s">
        <v>186</v>
      </c>
      <c r="E19" s="76" t="s">
        <v>45</v>
      </c>
      <c r="F19" s="76" t="s">
        <v>38</v>
      </c>
      <c r="G19" s="76" t="s">
        <v>43</v>
      </c>
      <c r="H19" s="74" t="s">
        <v>877</v>
      </c>
    </row>
    <row r="20" spans="1:8" x14ac:dyDescent="0.35">
      <c r="A20" s="75">
        <v>18</v>
      </c>
      <c r="B20" s="76" t="s">
        <v>142</v>
      </c>
      <c r="C20" s="76" t="s">
        <v>186</v>
      </c>
      <c r="D20" s="76" t="s">
        <v>188</v>
      </c>
      <c r="E20" s="76" t="s">
        <v>45</v>
      </c>
      <c r="F20" s="76" t="s">
        <v>38</v>
      </c>
      <c r="G20" s="76" t="s">
        <v>46</v>
      </c>
      <c r="H20" s="74" t="s">
        <v>878</v>
      </c>
    </row>
    <row r="21" spans="1:8" x14ac:dyDescent="0.35">
      <c r="A21" s="75">
        <v>19</v>
      </c>
      <c r="B21" s="76" t="s">
        <v>142</v>
      </c>
      <c r="C21" s="76" t="s">
        <v>190</v>
      </c>
      <c r="D21" s="76" t="s">
        <v>191</v>
      </c>
      <c r="E21" s="76" t="s">
        <v>45</v>
      </c>
      <c r="F21" s="76" t="s">
        <v>9</v>
      </c>
      <c r="G21" s="76" t="s">
        <v>9</v>
      </c>
      <c r="H21" s="74" t="s">
        <v>879</v>
      </c>
    </row>
    <row r="22" spans="1:8" x14ac:dyDescent="0.35">
      <c r="A22" s="75">
        <v>20</v>
      </c>
      <c r="B22" s="76" t="s">
        <v>142</v>
      </c>
      <c r="C22" s="76" t="s">
        <v>191</v>
      </c>
      <c r="D22" s="76" t="s">
        <v>193</v>
      </c>
      <c r="E22" s="76" t="s">
        <v>45</v>
      </c>
      <c r="F22" s="76" t="s">
        <v>9</v>
      </c>
      <c r="G22" s="76" t="s">
        <v>44</v>
      </c>
      <c r="H22" s="74" t="s">
        <v>880</v>
      </c>
    </row>
    <row r="23" spans="1:8" x14ac:dyDescent="0.35">
      <c r="A23" s="75">
        <v>21</v>
      </c>
      <c r="B23" s="76" t="s">
        <v>142</v>
      </c>
      <c r="C23" s="76" t="s">
        <v>193</v>
      </c>
      <c r="D23" s="76" t="s">
        <v>195</v>
      </c>
      <c r="E23" s="76" t="s">
        <v>45</v>
      </c>
      <c r="F23" s="76" t="s">
        <v>9</v>
      </c>
      <c r="G23" s="76" t="s">
        <v>45</v>
      </c>
      <c r="H23" s="74" t="s">
        <v>881</v>
      </c>
    </row>
    <row r="24" spans="1:8" x14ac:dyDescent="0.35">
      <c r="A24" s="75">
        <v>22</v>
      </c>
      <c r="B24" s="76" t="s">
        <v>142</v>
      </c>
      <c r="C24" s="76" t="s">
        <v>195</v>
      </c>
      <c r="D24" s="76" t="s">
        <v>197</v>
      </c>
      <c r="E24" s="76" t="s">
        <v>45</v>
      </c>
      <c r="F24" s="76" t="s">
        <v>9</v>
      </c>
      <c r="G24" s="76" t="s">
        <v>39</v>
      </c>
      <c r="H24" s="74" t="s">
        <v>882</v>
      </c>
    </row>
    <row r="25" spans="1:8" x14ac:dyDescent="0.35">
      <c r="A25" s="75">
        <v>23</v>
      </c>
      <c r="B25" s="76" t="s">
        <v>199</v>
      </c>
      <c r="C25" s="76" t="s">
        <v>143</v>
      </c>
      <c r="D25" s="76" t="s">
        <v>200</v>
      </c>
      <c r="E25" s="76" t="s">
        <v>38</v>
      </c>
      <c r="F25" s="76" t="s">
        <v>9</v>
      </c>
      <c r="G25" s="76" t="s">
        <v>39</v>
      </c>
      <c r="H25" s="74" t="s">
        <v>883</v>
      </c>
    </row>
    <row r="26" spans="1:8" ht="29" x14ac:dyDescent="0.35">
      <c r="A26" s="75">
        <v>24</v>
      </c>
      <c r="B26" s="76" t="s">
        <v>199</v>
      </c>
      <c r="C26" s="76" t="s">
        <v>200</v>
      </c>
      <c r="D26" s="76" t="s">
        <v>202</v>
      </c>
      <c r="E26" s="76" t="s">
        <v>38</v>
      </c>
      <c r="F26" s="76" t="s">
        <v>9</v>
      </c>
      <c r="G26" s="76" t="s">
        <v>41</v>
      </c>
      <c r="H26" s="74" t="s">
        <v>884</v>
      </c>
    </row>
    <row r="27" spans="1:8" x14ac:dyDescent="0.35">
      <c r="A27" s="75">
        <v>25</v>
      </c>
      <c r="B27" s="76" t="s">
        <v>199</v>
      </c>
      <c r="C27" s="76" t="s">
        <v>146</v>
      </c>
      <c r="D27" s="76" t="s">
        <v>204</v>
      </c>
      <c r="E27" s="76" t="s">
        <v>38</v>
      </c>
      <c r="F27" s="76" t="s">
        <v>9</v>
      </c>
      <c r="G27" s="76" t="s">
        <v>40</v>
      </c>
      <c r="H27" s="74" t="s">
        <v>885</v>
      </c>
    </row>
    <row r="28" spans="1:8" x14ac:dyDescent="0.35">
      <c r="A28" s="75">
        <v>26</v>
      </c>
      <c r="B28" s="76" t="s">
        <v>199</v>
      </c>
      <c r="C28" s="76" t="s">
        <v>206</v>
      </c>
      <c r="D28" s="76" t="s">
        <v>207</v>
      </c>
      <c r="E28" s="76" t="s">
        <v>38</v>
      </c>
      <c r="F28" s="76" t="s">
        <v>9</v>
      </c>
      <c r="G28" s="76" t="s">
        <v>43</v>
      </c>
      <c r="H28" s="74" t="s">
        <v>886</v>
      </c>
    </row>
    <row r="29" spans="1:8" x14ac:dyDescent="0.35">
      <c r="A29" s="75">
        <v>27</v>
      </c>
      <c r="B29" s="76" t="s">
        <v>199</v>
      </c>
      <c r="C29" s="76" t="s">
        <v>207</v>
      </c>
      <c r="D29" s="76" t="s">
        <v>209</v>
      </c>
      <c r="E29" s="76" t="s">
        <v>38</v>
      </c>
      <c r="F29" s="76" t="s">
        <v>9</v>
      </c>
      <c r="G29" s="76" t="s">
        <v>46</v>
      </c>
      <c r="H29" s="74" t="s">
        <v>887</v>
      </c>
    </row>
    <row r="30" spans="1:8" ht="29" x14ac:dyDescent="0.35">
      <c r="A30" s="75">
        <v>28</v>
      </c>
      <c r="B30" s="76" t="s">
        <v>199</v>
      </c>
      <c r="C30" s="76" t="s">
        <v>211</v>
      </c>
      <c r="D30" s="76" t="s">
        <v>212</v>
      </c>
      <c r="E30" s="76" t="s">
        <v>38</v>
      </c>
      <c r="F30" s="76" t="s">
        <v>9</v>
      </c>
      <c r="G30" s="76" t="s">
        <v>38</v>
      </c>
      <c r="H30" s="74" t="s">
        <v>888</v>
      </c>
    </row>
    <row r="31" spans="1:8" x14ac:dyDescent="0.35">
      <c r="A31" s="75">
        <v>29</v>
      </c>
      <c r="B31" s="76" t="s">
        <v>199</v>
      </c>
      <c r="C31" s="76" t="s">
        <v>212</v>
      </c>
      <c r="D31" s="76" t="s">
        <v>214</v>
      </c>
      <c r="E31" s="76" t="s">
        <v>38</v>
      </c>
      <c r="F31" s="76" t="s">
        <v>44</v>
      </c>
      <c r="G31" s="76" t="s">
        <v>44</v>
      </c>
      <c r="H31" s="74" t="s">
        <v>889</v>
      </c>
    </row>
    <row r="32" spans="1:8" ht="29" x14ac:dyDescent="0.35">
      <c r="A32" s="75">
        <v>30</v>
      </c>
      <c r="B32" s="76" t="s">
        <v>199</v>
      </c>
      <c r="C32" s="76" t="s">
        <v>216</v>
      </c>
      <c r="D32" s="76" t="s">
        <v>217</v>
      </c>
      <c r="E32" s="76" t="s">
        <v>38</v>
      </c>
      <c r="F32" s="76" t="s">
        <v>44</v>
      </c>
      <c r="G32" s="76" t="s">
        <v>45</v>
      </c>
      <c r="H32" s="74" t="s">
        <v>890</v>
      </c>
    </row>
    <row r="33" spans="1:8" x14ac:dyDescent="0.35">
      <c r="A33" s="75">
        <v>31</v>
      </c>
      <c r="B33" s="76" t="s">
        <v>199</v>
      </c>
      <c r="C33" s="76" t="s">
        <v>219</v>
      </c>
      <c r="D33" s="76" t="s">
        <v>220</v>
      </c>
      <c r="E33" s="76" t="s">
        <v>38</v>
      </c>
      <c r="F33" s="76" t="s">
        <v>44</v>
      </c>
      <c r="G33" s="76" t="s">
        <v>39</v>
      </c>
      <c r="H33" s="74" t="s">
        <v>891</v>
      </c>
    </row>
    <row r="34" spans="1:8" x14ac:dyDescent="0.35">
      <c r="A34" s="75">
        <v>32</v>
      </c>
      <c r="B34" s="76" t="s">
        <v>199</v>
      </c>
      <c r="C34" s="76" t="s">
        <v>222</v>
      </c>
      <c r="D34" s="76" t="s">
        <v>223</v>
      </c>
      <c r="E34" s="76" t="s">
        <v>38</v>
      </c>
      <c r="F34" s="76" t="s">
        <v>44</v>
      </c>
      <c r="G34" s="76" t="s">
        <v>41</v>
      </c>
      <c r="H34" s="74" t="s">
        <v>892</v>
      </c>
    </row>
    <row r="35" spans="1:8" x14ac:dyDescent="0.35">
      <c r="A35" s="75">
        <v>33</v>
      </c>
      <c r="B35" s="76" t="s">
        <v>199</v>
      </c>
      <c r="C35" s="76" t="s">
        <v>225</v>
      </c>
      <c r="D35" s="76" t="s">
        <v>226</v>
      </c>
      <c r="E35" s="76" t="s">
        <v>38</v>
      </c>
      <c r="F35" s="76" t="s">
        <v>44</v>
      </c>
      <c r="G35" s="76" t="s">
        <v>40</v>
      </c>
      <c r="H35" s="74" t="s">
        <v>893</v>
      </c>
    </row>
    <row r="36" spans="1:8" x14ac:dyDescent="0.35">
      <c r="A36" s="75">
        <v>34</v>
      </c>
      <c r="B36" s="76" t="s">
        <v>199</v>
      </c>
      <c r="C36" s="76" t="s">
        <v>228</v>
      </c>
      <c r="D36" s="76" t="s">
        <v>229</v>
      </c>
      <c r="E36" s="76" t="s">
        <v>38</v>
      </c>
      <c r="F36" s="76" t="s">
        <v>44</v>
      </c>
      <c r="G36" s="76" t="s">
        <v>43</v>
      </c>
      <c r="H36" s="74" t="s">
        <v>894</v>
      </c>
    </row>
    <row r="37" spans="1:8" x14ac:dyDescent="0.35">
      <c r="A37" s="75">
        <v>35</v>
      </c>
      <c r="B37" s="76" t="s">
        <v>199</v>
      </c>
      <c r="C37" s="76" t="s">
        <v>231</v>
      </c>
      <c r="D37" s="76" t="s">
        <v>232</v>
      </c>
      <c r="E37" s="76" t="s">
        <v>38</v>
      </c>
      <c r="F37" s="76" t="s">
        <v>44</v>
      </c>
      <c r="G37" s="76" t="s">
        <v>46</v>
      </c>
      <c r="H37" s="74" t="s">
        <v>895</v>
      </c>
    </row>
    <row r="38" spans="1:8" ht="29" x14ac:dyDescent="0.35">
      <c r="A38" s="75">
        <v>36</v>
      </c>
      <c r="B38" s="76" t="s">
        <v>199</v>
      </c>
      <c r="C38" s="76" t="s">
        <v>234</v>
      </c>
      <c r="D38" s="76" t="s">
        <v>235</v>
      </c>
      <c r="E38" s="76" t="s">
        <v>38</v>
      </c>
      <c r="F38" s="76" t="s">
        <v>44</v>
      </c>
      <c r="G38" s="76" t="s">
        <v>38</v>
      </c>
      <c r="H38" s="74" t="s">
        <v>896</v>
      </c>
    </row>
    <row r="39" spans="1:8" x14ac:dyDescent="0.35">
      <c r="A39" s="75">
        <v>37</v>
      </c>
      <c r="B39" s="76" t="s">
        <v>199</v>
      </c>
      <c r="C39" s="76" t="s">
        <v>237</v>
      </c>
      <c r="D39" s="76" t="s">
        <v>238</v>
      </c>
      <c r="E39" s="76" t="s">
        <v>38</v>
      </c>
      <c r="F39" s="76" t="s">
        <v>44</v>
      </c>
      <c r="G39" s="76" t="s">
        <v>9</v>
      </c>
      <c r="H39" s="74" t="s">
        <v>897</v>
      </c>
    </row>
    <row r="40" spans="1:8" x14ac:dyDescent="0.35">
      <c r="A40" s="75">
        <v>38</v>
      </c>
      <c r="B40" s="76" t="s">
        <v>199</v>
      </c>
      <c r="C40" s="76" t="s">
        <v>238</v>
      </c>
      <c r="D40" s="76" t="s">
        <v>240</v>
      </c>
      <c r="E40" s="76" t="s">
        <v>38</v>
      </c>
      <c r="F40" s="76" t="s">
        <v>45</v>
      </c>
      <c r="G40" s="76" t="s">
        <v>45</v>
      </c>
      <c r="H40" s="74" t="s">
        <v>898</v>
      </c>
    </row>
    <row r="41" spans="1:8" x14ac:dyDescent="0.35">
      <c r="A41" s="75">
        <v>39</v>
      </c>
      <c r="B41" s="76" t="s">
        <v>199</v>
      </c>
      <c r="C41" s="76" t="s">
        <v>242</v>
      </c>
      <c r="D41" s="76" t="s">
        <v>243</v>
      </c>
      <c r="E41" s="76" t="s">
        <v>38</v>
      </c>
      <c r="F41" s="76" t="s">
        <v>45</v>
      </c>
      <c r="G41" s="76" t="s">
        <v>39</v>
      </c>
      <c r="H41" s="74" t="s">
        <v>899</v>
      </c>
    </row>
    <row r="42" spans="1:8" ht="29" x14ac:dyDescent="0.35">
      <c r="A42" s="75">
        <v>40</v>
      </c>
      <c r="B42" s="76" t="s">
        <v>199</v>
      </c>
      <c r="C42" s="76" t="s">
        <v>245</v>
      </c>
      <c r="D42" s="76" t="s">
        <v>246</v>
      </c>
      <c r="E42" s="76" t="s">
        <v>38</v>
      </c>
      <c r="F42" s="76" t="s">
        <v>45</v>
      </c>
      <c r="G42" s="76" t="s">
        <v>41</v>
      </c>
      <c r="H42" s="74" t="s">
        <v>900</v>
      </c>
    </row>
    <row r="43" spans="1:8" ht="29" x14ac:dyDescent="0.35">
      <c r="A43" s="75">
        <v>41</v>
      </c>
      <c r="B43" s="76" t="s">
        <v>199</v>
      </c>
      <c r="C43" s="76" t="s">
        <v>248</v>
      </c>
      <c r="D43" s="76" t="s">
        <v>249</v>
      </c>
      <c r="E43" s="76" t="s">
        <v>38</v>
      </c>
      <c r="F43" s="76" t="s">
        <v>45</v>
      </c>
      <c r="G43" s="76" t="s">
        <v>40</v>
      </c>
      <c r="H43" s="74" t="s">
        <v>901</v>
      </c>
    </row>
    <row r="44" spans="1:8" ht="29" x14ac:dyDescent="0.35">
      <c r="A44" s="75">
        <v>42</v>
      </c>
      <c r="B44" s="76" t="s">
        <v>251</v>
      </c>
      <c r="C44" s="76" t="s">
        <v>143</v>
      </c>
      <c r="D44" s="76" t="s">
        <v>252</v>
      </c>
      <c r="E44" s="76" t="s">
        <v>43</v>
      </c>
      <c r="F44" s="76" t="s">
        <v>45</v>
      </c>
      <c r="G44" s="76" t="s">
        <v>43</v>
      </c>
      <c r="H44" s="74" t="s">
        <v>902</v>
      </c>
    </row>
    <row r="45" spans="1:8" ht="29" x14ac:dyDescent="0.35">
      <c r="A45" s="75">
        <v>43</v>
      </c>
      <c r="B45" s="76" t="s">
        <v>251</v>
      </c>
      <c r="C45" s="76" t="s">
        <v>252</v>
      </c>
      <c r="D45" s="76" t="s">
        <v>254</v>
      </c>
      <c r="E45" s="76" t="s">
        <v>43</v>
      </c>
      <c r="F45" s="76" t="s">
        <v>45</v>
      </c>
      <c r="G45" s="76" t="s">
        <v>46</v>
      </c>
      <c r="H45" s="74" t="s">
        <v>903</v>
      </c>
    </row>
    <row r="46" spans="1:8" x14ac:dyDescent="0.35">
      <c r="A46" s="75">
        <v>44</v>
      </c>
      <c r="B46" s="76" t="s">
        <v>251</v>
      </c>
      <c r="C46" s="76" t="s">
        <v>256</v>
      </c>
      <c r="D46" s="76" t="s">
        <v>257</v>
      </c>
      <c r="E46" s="76" t="s">
        <v>43</v>
      </c>
      <c r="F46" s="76" t="s">
        <v>45</v>
      </c>
      <c r="G46" s="76" t="s">
        <v>38</v>
      </c>
      <c r="H46" s="74" t="s">
        <v>904</v>
      </c>
    </row>
    <row r="47" spans="1:8" x14ac:dyDescent="0.35">
      <c r="A47" s="75">
        <v>45</v>
      </c>
      <c r="B47" s="76" t="s">
        <v>251</v>
      </c>
      <c r="C47" s="76" t="s">
        <v>259</v>
      </c>
      <c r="D47" s="76" t="s">
        <v>154</v>
      </c>
      <c r="E47" s="76" t="s">
        <v>43</v>
      </c>
      <c r="F47" s="76" t="s">
        <v>45</v>
      </c>
      <c r="G47" s="76" t="s">
        <v>9</v>
      </c>
      <c r="H47" s="74" t="s">
        <v>905</v>
      </c>
    </row>
    <row r="48" spans="1:8" ht="29" x14ac:dyDescent="0.35">
      <c r="A48" s="75">
        <v>46</v>
      </c>
      <c r="B48" s="76" t="s">
        <v>251</v>
      </c>
      <c r="C48" s="76" t="s">
        <v>261</v>
      </c>
      <c r="D48" s="76" t="s">
        <v>262</v>
      </c>
      <c r="E48" s="76" t="s">
        <v>43</v>
      </c>
      <c r="F48" s="76" t="s">
        <v>45</v>
      </c>
      <c r="G48" s="76" t="s">
        <v>44</v>
      </c>
      <c r="H48" s="74" t="s">
        <v>906</v>
      </c>
    </row>
    <row r="49" spans="1:8" x14ac:dyDescent="0.35">
      <c r="A49" s="75">
        <v>47</v>
      </c>
      <c r="B49" s="76" t="s">
        <v>251</v>
      </c>
      <c r="C49" s="76" t="s">
        <v>262</v>
      </c>
      <c r="D49" s="76" t="s">
        <v>264</v>
      </c>
      <c r="E49" s="76" t="s">
        <v>43</v>
      </c>
      <c r="F49" s="76" t="s">
        <v>39</v>
      </c>
      <c r="G49" s="76" t="s">
        <v>39</v>
      </c>
      <c r="H49" s="74" t="s">
        <v>907</v>
      </c>
    </row>
    <row r="50" spans="1:8" x14ac:dyDescent="0.35">
      <c r="A50" s="75">
        <v>48</v>
      </c>
      <c r="B50" s="76" t="s">
        <v>251</v>
      </c>
      <c r="C50" s="76" t="s">
        <v>266</v>
      </c>
      <c r="D50" s="76" t="s">
        <v>267</v>
      </c>
      <c r="E50" s="76" t="s">
        <v>43</v>
      </c>
      <c r="F50" s="76" t="s">
        <v>39</v>
      </c>
      <c r="G50" s="76" t="s">
        <v>41</v>
      </c>
      <c r="H50" s="74" t="s">
        <v>3740</v>
      </c>
    </row>
    <row r="51" spans="1:8" x14ac:dyDescent="0.35">
      <c r="A51" s="75">
        <v>49</v>
      </c>
      <c r="B51" s="76" t="s">
        <v>251</v>
      </c>
      <c r="C51" s="76" t="s">
        <v>267</v>
      </c>
      <c r="D51" s="76" t="s">
        <v>269</v>
      </c>
      <c r="E51" s="76" t="s">
        <v>43</v>
      </c>
      <c r="F51" s="76" t="s">
        <v>39</v>
      </c>
      <c r="G51" s="76" t="s">
        <v>40</v>
      </c>
      <c r="H51" s="74" t="s">
        <v>908</v>
      </c>
    </row>
    <row r="52" spans="1:8" ht="29" x14ac:dyDescent="0.35">
      <c r="A52" s="75">
        <v>50</v>
      </c>
      <c r="B52" s="76" t="s">
        <v>251</v>
      </c>
      <c r="C52" s="76" t="s">
        <v>271</v>
      </c>
      <c r="D52" s="76" t="s">
        <v>272</v>
      </c>
      <c r="E52" s="76" t="s">
        <v>43</v>
      </c>
      <c r="F52" s="76" t="s">
        <v>39</v>
      </c>
      <c r="G52" s="76" t="s">
        <v>43</v>
      </c>
      <c r="H52" s="74" t="s">
        <v>909</v>
      </c>
    </row>
    <row r="53" spans="1:8" ht="29" x14ac:dyDescent="0.35">
      <c r="A53" s="75">
        <v>51</v>
      </c>
      <c r="B53" s="76" t="s">
        <v>251</v>
      </c>
      <c r="C53" s="76" t="s">
        <v>272</v>
      </c>
      <c r="D53" s="76" t="s">
        <v>274</v>
      </c>
      <c r="E53" s="76" t="s">
        <v>43</v>
      </c>
      <c r="F53" s="76" t="s">
        <v>39</v>
      </c>
      <c r="G53" s="76" t="s">
        <v>46</v>
      </c>
      <c r="H53" s="74" t="s">
        <v>910</v>
      </c>
    </row>
    <row r="54" spans="1:8" ht="29" x14ac:dyDescent="0.35">
      <c r="A54" s="75">
        <v>52</v>
      </c>
      <c r="B54" s="76" t="s">
        <v>251</v>
      </c>
      <c r="C54" s="76" t="s">
        <v>274</v>
      </c>
      <c r="D54" s="76" t="s">
        <v>276</v>
      </c>
      <c r="E54" s="76" t="s">
        <v>43</v>
      </c>
      <c r="F54" s="76" t="s">
        <v>39</v>
      </c>
      <c r="G54" s="76" t="s">
        <v>38</v>
      </c>
      <c r="H54" s="74" t="s">
        <v>911</v>
      </c>
    </row>
    <row r="55" spans="1:8" x14ac:dyDescent="0.35">
      <c r="A55" s="75">
        <v>53</v>
      </c>
      <c r="B55" s="76" t="s">
        <v>251</v>
      </c>
      <c r="C55" s="76" t="s">
        <v>276</v>
      </c>
      <c r="D55" s="76" t="s">
        <v>177</v>
      </c>
      <c r="E55" s="76" t="s">
        <v>43</v>
      </c>
      <c r="F55" s="76" t="s">
        <v>39</v>
      </c>
      <c r="G55" s="76" t="s">
        <v>9</v>
      </c>
      <c r="H55" s="74" t="s">
        <v>912</v>
      </c>
    </row>
    <row r="56" spans="1:8" x14ac:dyDescent="0.35">
      <c r="A56" s="75">
        <v>54</v>
      </c>
      <c r="B56" s="76" t="s">
        <v>251</v>
      </c>
      <c r="C56" s="76" t="s">
        <v>279</v>
      </c>
      <c r="D56" s="76" t="s">
        <v>280</v>
      </c>
      <c r="E56" s="76" t="s">
        <v>43</v>
      </c>
      <c r="F56" s="76" t="s">
        <v>39</v>
      </c>
      <c r="G56" s="76" t="s">
        <v>44</v>
      </c>
      <c r="H56" s="74" t="s">
        <v>913</v>
      </c>
    </row>
    <row r="57" spans="1:8" x14ac:dyDescent="0.35">
      <c r="A57" s="75">
        <v>55</v>
      </c>
      <c r="B57" s="76" t="s">
        <v>251</v>
      </c>
      <c r="C57" s="76" t="s">
        <v>282</v>
      </c>
      <c r="D57" s="76" t="s">
        <v>283</v>
      </c>
      <c r="E57" s="76" t="s">
        <v>43</v>
      </c>
      <c r="F57" s="76" t="s">
        <v>39</v>
      </c>
      <c r="G57" s="76" t="s">
        <v>45</v>
      </c>
      <c r="H57" s="74" t="s">
        <v>914</v>
      </c>
    </row>
    <row r="58" spans="1:8" ht="29" x14ac:dyDescent="0.35">
      <c r="A58" s="75">
        <v>56</v>
      </c>
      <c r="B58" s="76" t="s">
        <v>251</v>
      </c>
      <c r="C58" s="76" t="s">
        <v>283</v>
      </c>
      <c r="D58" s="76" t="s">
        <v>285</v>
      </c>
      <c r="E58" s="76" t="s">
        <v>43</v>
      </c>
      <c r="F58" s="76" t="s">
        <v>41</v>
      </c>
      <c r="G58" s="76" t="s">
        <v>41</v>
      </c>
      <c r="H58" s="74" t="s">
        <v>915</v>
      </c>
    </row>
    <row r="59" spans="1:8" x14ac:dyDescent="0.35">
      <c r="A59" s="75">
        <v>57</v>
      </c>
      <c r="B59" s="76" t="s">
        <v>251</v>
      </c>
      <c r="C59" s="76" t="s">
        <v>287</v>
      </c>
      <c r="D59" s="76" t="s">
        <v>288</v>
      </c>
      <c r="E59" s="76" t="s">
        <v>43</v>
      </c>
      <c r="F59" s="76" t="s">
        <v>41</v>
      </c>
      <c r="G59" s="76" t="s">
        <v>40</v>
      </c>
      <c r="H59" s="74" t="s">
        <v>916</v>
      </c>
    </row>
    <row r="60" spans="1:8" ht="29" x14ac:dyDescent="0.35">
      <c r="A60" s="75">
        <v>58</v>
      </c>
      <c r="B60" s="76" t="s">
        <v>251</v>
      </c>
      <c r="C60" s="76" t="s">
        <v>290</v>
      </c>
      <c r="D60" s="76" t="s">
        <v>291</v>
      </c>
      <c r="E60" s="76" t="s">
        <v>43</v>
      </c>
      <c r="F60" s="76" t="s">
        <v>41</v>
      </c>
      <c r="G60" s="76" t="s">
        <v>43</v>
      </c>
      <c r="H60" s="74" t="s">
        <v>917</v>
      </c>
    </row>
    <row r="61" spans="1:8" x14ac:dyDescent="0.35">
      <c r="A61" s="75">
        <v>59</v>
      </c>
      <c r="B61" s="76" t="s">
        <v>251</v>
      </c>
      <c r="C61" s="76" t="s">
        <v>293</v>
      </c>
      <c r="D61" s="76" t="s">
        <v>294</v>
      </c>
      <c r="E61" s="76" t="s">
        <v>43</v>
      </c>
      <c r="F61" s="76" t="s">
        <v>41</v>
      </c>
      <c r="G61" s="76" t="s">
        <v>46</v>
      </c>
      <c r="H61" s="74" t="s">
        <v>918</v>
      </c>
    </row>
    <row r="62" spans="1:8" ht="29" x14ac:dyDescent="0.35">
      <c r="A62" s="75">
        <v>60</v>
      </c>
      <c r="B62" s="76" t="s">
        <v>251</v>
      </c>
      <c r="C62" s="76" t="s">
        <v>296</v>
      </c>
      <c r="D62" s="76" t="s">
        <v>297</v>
      </c>
      <c r="E62" s="76" t="s">
        <v>43</v>
      </c>
      <c r="F62" s="76" t="s">
        <v>41</v>
      </c>
      <c r="G62" s="76" t="s">
        <v>38</v>
      </c>
      <c r="H62" s="74" t="s">
        <v>919</v>
      </c>
    </row>
    <row r="63" spans="1:8" ht="29" x14ac:dyDescent="0.35">
      <c r="A63" s="75">
        <v>61</v>
      </c>
      <c r="B63" s="76" t="s">
        <v>251</v>
      </c>
      <c r="C63" s="76" t="s">
        <v>297</v>
      </c>
      <c r="D63" s="76" t="s">
        <v>299</v>
      </c>
      <c r="E63" s="76" t="s">
        <v>43</v>
      </c>
      <c r="F63" s="76" t="s">
        <v>41</v>
      </c>
      <c r="G63" s="76" t="s">
        <v>9</v>
      </c>
      <c r="H63" s="74" t="s">
        <v>920</v>
      </c>
    </row>
    <row r="64" spans="1:8" x14ac:dyDescent="0.35">
      <c r="A64" s="75">
        <v>62</v>
      </c>
      <c r="B64" s="76" t="s">
        <v>251</v>
      </c>
      <c r="C64" s="76" t="s">
        <v>299</v>
      </c>
      <c r="D64" s="76" t="s">
        <v>197</v>
      </c>
      <c r="E64" s="76" t="s">
        <v>43</v>
      </c>
      <c r="F64" s="76" t="s">
        <v>41</v>
      </c>
      <c r="G64" s="76" t="s">
        <v>44</v>
      </c>
      <c r="H64" s="74" t="s">
        <v>921</v>
      </c>
    </row>
    <row r="65" spans="1:8" ht="29" x14ac:dyDescent="0.35">
      <c r="A65" s="75">
        <v>63</v>
      </c>
      <c r="B65" s="76" t="s">
        <v>302</v>
      </c>
      <c r="C65" s="76" t="s">
        <v>143</v>
      </c>
      <c r="D65" s="76" t="s">
        <v>303</v>
      </c>
      <c r="E65" s="76" t="s">
        <v>44</v>
      </c>
      <c r="F65" s="76" t="s">
        <v>41</v>
      </c>
      <c r="G65" s="76" t="s">
        <v>44</v>
      </c>
      <c r="H65" s="74" t="s">
        <v>922</v>
      </c>
    </row>
    <row r="66" spans="1:8" ht="29" x14ac:dyDescent="0.35">
      <c r="A66" s="75">
        <v>64</v>
      </c>
      <c r="B66" s="76" t="s">
        <v>302</v>
      </c>
      <c r="C66" s="76" t="s">
        <v>303</v>
      </c>
      <c r="D66" s="76" t="s">
        <v>305</v>
      </c>
      <c r="E66" s="76" t="s">
        <v>44</v>
      </c>
      <c r="F66" s="76" t="s">
        <v>41</v>
      </c>
      <c r="G66" s="76" t="s">
        <v>45</v>
      </c>
      <c r="H66" s="74" t="s">
        <v>923</v>
      </c>
    </row>
    <row r="67" spans="1:8" ht="29" x14ac:dyDescent="0.35">
      <c r="A67" s="75">
        <v>65</v>
      </c>
      <c r="B67" s="76" t="s">
        <v>302</v>
      </c>
      <c r="C67" s="76" t="s">
        <v>307</v>
      </c>
      <c r="D67" s="76" t="s">
        <v>308</v>
      </c>
      <c r="E67" s="76" t="s">
        <v>44</v>
      </c>
      <c r="F67" s="76" t="s">
        <v>41</v>
      </c>
      <c r="G67" s="76" t="s">
        <v>39</v>
      </c>
      <c r="H67" s="74" t="s">
        <v>924</v>
      </c>
    </row>
    <row r="68" spans="1:8" x14ac:dyDescent="0.35">
      <c r="A68" s="75">
        <v>66</v>
      </c>
      <c r="B68" s="76" t="s">
        <v>302</v>
      </c>
      <c r="C68" s="76" t="s">
        <v>310</v>
      </c>
      <c r="D68" s="76" t="s">
        <v>311</v>
      </c>
      <c r="E68" s="76" t="s">
        <v>44</v>
      </c>
      <c r="F68" s="76" t="s">
        <v>40</v>
      </c>
      <c r="G68" s="76" t="s">
        <v>40</v>
      </c>
      <c r="H68" s="74" t="s">
        <v>925</v>
      </c>
    </row>
    <row r="69" spans="1:8" x14ac:dyDescent="0.35">
      <c r="A69" s="75">
        <v>67</v>
      </c>
      <c r="B69" s="76" t="s">
        <v>302</v>
      </c>
      <c r="C69" s="76" t="s">
        <v>311</v>
      </c>
      <c r="D69" s="76" t="s">
        <v>307</v>
      </c>
      <c r="E69" s="76" t="s">
        <v>44</v>
      </c>
      <c r="F69" s="76" t="s">
        <v>40</v>
      </c>
      <c r="G69" s="76" t="s">
        <v>43</v>
      </c>
      <c r="H69" s="74" t="s">
        <v>926</v>
      </c>
    </row>
    <row r="70" spans="1:8" x14ac:dyDescent="0.35">
      <c r="A70" s="75">
        <v>68</v>
      </c>
      <c r="B70" s="76" t="s">
        <v>302</v>
      </c>
      <c r="C70" s="76" t="s">
        <v>307</v>
      </c>
      <c r="D70" s="76" t="s">
        <v>314</v>
      </c>
      <c r="E70" s="76" t="s">
        <v>44</v>
      </c>
      <c r="F70" s="76" t="s">
        <v>40</v>
      </c>
      <c r="G70" s="76" t="s">
        <v>46</v>
      </c>
      <c r="H70" s="74" t="s">
        <v>927</v>
      </c>
    </row>
    <row r="71" spans="1:8" x14ac:dyDescent="0.35">
      <c r="A71" s="75">
        <v>69</v>
      </c>
      <c r="B71" s="76" t="s">
        <v>302</v>
      </c>
      <c r="C71" s="76" t="s">
        <v>316</v>
      </c>
      <c r="D71" s="76" t="s">
        <v>317</v>
      </c>
      <c r="E71" s="76" t="s">
        <v>44</v>
      </c>
      <c r="F71" s="76" t="s">
        <v>40</v>
      </c>
      <c r="G71" s="76" t="s">
        <v>38</v>
      </c>
      <c r="H71" s="74" t="s">
        <v>928</v>
      </c>
    </row>
    <row r="72" spans="1:8" x14ac:dyDescent="0.35">
      <c r="A72" s="75">
        <v>70</v>
      </c>
      <c r="B72" s="76" t="s">
        <v>302</v>
      </c>
      <c r="C72" s="76" t="s">
        <v>319</v>
      </c>
      <c r="D72" s="76" t="s">
        <v>320</v>
      </c>
      <c r="E72" s="76" t="s">
        <v>44</v>
      </c>
      <c r="F72" s="76" t="s">
        <v>40</v>
      </c>
      <c r="G72" s="76" t="s">
        <v>9</v>
      </c>
      <c r="H72" s="74" t="s">
        <v>929</v>
      </c>
    </row>
    <row r="73" spans="1:8" ht="29" x14ac:dyDescent="0.35">
      <c r="A73" s="75">
        <v>71</v>
      </c>
      <c r="B73" s="76" t="s">
        <v>302</v>
      </c>
      <c r="C73" s="76" t="s">
        <v>322</v>
      </c>
      <c r="D73" s="76" t="s">
        <v>323</v>
      </c>
      <c r="E73" s="76" t="s">
        <v>44</v>
      </c>
      <c r="F73" s="76" t="s">
        <v>40</v>
      </c>
      <c r="G73" s="76" t="s">
        <v>44</v>
      </c>
      <c r="H73" s="74" t="s">
        <v>930</v>
      </c>
    </row>
    <row r="74" spans="1:8" x14ac:dyDescent="0.35">
      <c r="A74" s="75">
        <v>72</v>
      </c>
      <c r="B74" s="76" t="s">
        <v>302</v>
      </c>
      <c r="C74" s="76" t="s">
        <v>325</v>
      </c>
      <c r="D74" s="76" t="s">
        <v>326</v>
      </c>
      <c r="E74" s="76" t="s">
        <v>44</v>
      </c>
      <c r="F74" s="76" t="s">
        <v>40</v>
      </c>
      <c r="G74" s="76" t="s">
        <v>45</v>
      </c>
      <c r="H74" s="74" t="s">
        <v>931</v>
      </c>
    </row>
    <row r="75" spans="1:8" x14ac:dyDescent="0.35">
      <c r="A75" s="75">
        <v>73</v>
      </c>
      <c r="B75" s="76" t="s">
        <v>302</v>
      </c>
      <c r="C75" s="76" t="s">
        <v>328</v>
      </c>
      <c r="D75" s="76" t="s">
        <v>329</v>
      </c>
      <c r="E75" s="76" t="s">
        <v>44</v>
      </c>
      <c r="F75" s="76" t="s">
        <v>40</v>
      </c>
      <c r="G75" s="76" t="s">
        <v>39</v>
      </c>
      <c r="H75" s="74" t="s">
        <v>932</v>
      </c>
    </row>
    <row r="76" spans="1:8" x14ac:dyDescent="0.35">
      <c r="A76" s="75">
        <v>74</v>
      </c>
      <c r="B76" s="76" t="s">
        <v>302</v>
      </c>
      <c r="C76" s="76" t="s">
        <v>329</v>
      </c>
      <c r="D76" s="76" t="s">
        <v>331</v>
      </c>
      <c r="E76" s="76" t="s">
        <v>44</v>
      </c>
      <c r="F76" s="76" t="s">
        <v>40</v>
      </c>
      <c r="G76" s="76" t="s">
        <v>41</v>
      </c>
      <c r="H76" s="74" t="s">
        <v>933</v>
      </c>
    </row>
    <row r="77" spans="1:8" x14ac:dyDescent="0.35">
      <c r="A77" s="75">
        <v>75</v>
      </c>
      <c r="B77" s="76" t="s">
        <v>302</v>
      </c>
      <c r="C77" s="76" t="s">
        <v>333</v>
      </c>
      <c r="D77" s="76" t="s">
        <v>334</v>
      </c>
      <c r="E77" s="76" t="s">
        <v>44</v>
      </c>
      <c r="F77" s="76" t="s">
        <v>43</v>
      </c>
      <c r="G77" s="76" t="s">
        <v>43</v>
      </c>
      <c r="H77" s="74" t="s">
        <v>934</v>
      </c>
    </row>
    <row r="78" spans="1:8" x14ac:dyDescent="0.35">
      <c r="A78" s="75">
        <v>76</v>
      </c>
      <c r="B78" s="76" t="s">
        <v>302</v>
      </c>
      <c r="C78" s="76" t="s">
        <v>336</v>
      </c>
      <c r="D78" s="76" t="s">
        <v>337</v>
      </c>
      <c r="E78" s="76" t="s">
        <v>44</v>
      </c>
      <c r="F78" s="76" t="s">
        <v>43</v>
      </c>
      <c r="G78" s="76" t="s">
        <v>46</v>
      </c>
      <c r="H78" s="74" t="s">
        <v>935</v>
      </c>
    </row>
    <row r="79" spans="1:8" ht="29" x14ac:dyDescent="0.35">
      <c r="A79" s="75">
        <v>77</v>
      </c>
      <c r="B79" s="76" t="s">
        <v>302</v>
      </c>
      <c r="C79" s="76" t="s">
        <v>337</v>
      </c>
      <c r="D79" s="76" t="s">
        <v>339</v>
      </c>
      <c r="E79" s="76" t="s">
        <v>44</v>
      </c>
      <c r="F79" s="76" t="s">
        <v>43</v>
      </c>
      <c r="G79" s="76" t="s">
        <v>38</v>
      </c>
      <c r="H79" s="74" t="s">
        <v>936</v>
      </c>
    </row>
    <row r="80" spans="1:8" x14ac:dyDescent="0.35">
      <c r="A80" s="75">
        <v>78</v>
      </c>
      <c r="B80" s="76" t="s">
        <v>302</v>
      </c>
      <c r="C80" s="76" t="s">
        <v>339</v>
      </c>
      <c r="D80" s="76" t="s">
        <v>341</v>
      </c>
      <c r="E80" s="76" t="s">
        <v>44</v>
      </c>
      <c r="F80" s="76" t="s">
        <v>43</v>
      </c>
      <c r="G80" s="76" t="s">
        <v>9</v>
      </c>
      <c r="H80" s="74" t="s">
        <v>937</v>
      </c>
    </row>
    <row r="81" spans="1:8" ht="29" x14ac:dyDescent="0.35">
      <c r="A81" s="75">
        <v>79</v>
      </c>
      <c r="B81" s="76" t="s">
        <v>302</v>
      </c>
      <c r="C81" s="76" t="s">
        <v>341</v>
      </c>
      <c r="D81" s="76" t="s">
        <v>343</v>
      </c>
      <c r="E81" s="76" t="s">
        <v>44</v>
      </c>
      <c r="F81" s="76" t="s">
        <v>43</v>
      </c>
      <c r="G81" s="76" t="s">
        <v>44</v>
      </c>
      <c r="H81" s="74" t="s">
        <v>938</v>
      </c>
    </row>
    <row r="82" spans="1:8" x14ac:dyDescent="0.35">
      <c r="A82" s="75">
        <v>80</v>
      </c>
      <c r="B82" s="76" t="s">
        <v>302</v>
      </c>
      <c r="C82" s="76" t="s">
        <v>343</v>
      </c>
      <c r="D82" s="76" t="s">
        <v>345</v>
      </c>
      <c r="E82" s="76" t="s">
        <v>44</v>
      </c>
      <c r="F82" s="76" t="s">
        <v>43</v>
      </c>
      <c r="G82" s="76" t="s">
        <v>45</v>
      </c>
      <c r="H82" s="74" t="s">
        <v>939</v>
      </c>
    </row>
    <row r="83" spans="1:8" x14ac:dyDescent="0.35">
      <c r="A83" s="75">
        <v>81</v>
      </c>
      <c r="B83" s="76" t="s">
        <v>302</v>
      </c>
      <c r="C83" s="76" t="s">
        <v>345</v>
      </c>
      <c r="D83" s="76" t="s">
        <v>245</v>
      </c>
      <c r="E83" s="76" t="s">
        <v>44</v>
      </c>
      <c r="F83" s="76" t="s">
        <v>43</v>
      </c>
      <c r="G83" s="76" t="s">
        <v>39</v>
      </c>
      <c r="H83" s="74" t="s">
        <v>940</v>
      </c>
    </row>
    <row r="84" spans="1:8" ht="29" x14ac:dyDescent="0.35">
      <c r="A84" s="75">
        <v>82</v>
      </c>
      <c r="B84" s="76" t="s">
        <v>302</v>
      </c>
      <c r="C84" s="76" t="s">
        <v>243</v>
      </c>
      <c r="D84" s="76" t="s">
        <v>248</v>
      </c>
      <c r="E84" s="76" t="s">
        <v>44</v>
      </c>
      <c r="F84" s="76" t="s">
        <v>43</v>
      </c>
      <c r="G84" s="76" t="s">
        <v>41</v>
      </c>
      <c r="H84" s="74" t="s">
        <v>941</v>
      </c>
    </row>
    <row r="85" spans="1:8" ht="29" x14ac:dyDescent="0.35">
      <c r="A85" s="75">
        <v>83</v>
      </c>
      <c r="B85" s="76" t="s">
        <v>302</v>
      </c>
      <c r="C85" s="76" t="s">
        <v>248</v>
      </c>
      <c r="D85" s="76" t="s">
        <v>249</v>
      </c>
      <c r="E85" s="76" t="s">
        <v>44</v>
      </c>
      <c r="F85" s="76" t="s">
        <v>43</v>
      </c>
      <c r="G85" s="76" t="s">
        <v>40</v>
      </c>
      <c r="H85" s="74" t="s">
        <v>942</v>
      </c>
    </row>
    <row r="86" spans="1:8" x14ac:dyDescent="0.35">
      <c r="A86" s="75">
        <v>84</v>
      </c>
      <c r="B86" s="76" t="s">
        <v>350</v>
      </c>
      <c r="C86" s="76" t="s">
        <v>143</v>
      </c>
      <c r="D86" s="76" t="s">
        <v>144</v>
      </c>
      <c r="E86" s="76" t="s">
        <v>9</v>
      </c>
      <c r="F86" s="76" t="s">
        <v>46</v>
      </c>
      <c r="G86" s="76" t="s">
        <v>46</v>
      </c>
      <c r="H86" s="74" t="s">
        <v>943</v>
      </c>
    </row>
    <row r="87" spans="1:8" ht="29" x14ac:dyDescent="0.35">
      <c r="A87" s="75">
        <v>85</v>
      </c>
      <c r="B87" s="76" t="s">
        <v>350</v>
      </c>
      <c r="C87" s="76" t="s">
        <v>144</v>
      </c>
      <c r="D87" s="76" t="s">
        <v>146</v>
      </c>
      <c r="E87" s="76" t="s">
        <v>9</v>
      </c>
      <c r="F87" s="76" t="s">
        <v>46</v>
      </c>
      <c r="G87" s="76" t="s">
        <v>38</v>
      </c>
      <c r="H87" s="74" t="s">
        <v>944</v>
      </c>
    </row>
    <row r="88" spans="1:8" x14ac:dyDescent="0.35">
      <c r="A88" s="75">
        <v>86</v>
      </c>
      <c r="B88" s="76" t="s">
        <v>350</v>
      </c>
      <c r="C88" s="76" t="s">
        <v>146</v>
      </c>
      <c r="D88" s="76" t="s">
        <v>149</v>
      </c>
      <c r="E88" s="76" t="s">
        <v>9</v>
      </c>
      <c r="F88" s="76" t="s">
        <v>46</v>
      </c>
      <c r="G88" s="76" t="s">
        <v>9</v>
      </c>
      <c r="H88" s="74" t="s">
        <v>945</v>
      </c>
    </row>
    <row r="89" spans="1:8" x14ac:dyDescent="0.35">
      <c r="A89" s="75">
        <v>87</v>
      </c>
      <c r="B89" s="76" t="s">
        <v>350</v>
      </c>
      <c r="C89" s="76" t="s">
        <v>354</v>
      </c>
      <c r="D89" s="76" t="s">
        <v>355</v>
      </c>
      <c r="E89" s="76" t="s">
        <v>9</v>
      </c>
      <c r="F89" s="76" t="s">
        <v>46</v>
      </c>
      <c r="G89" s="76" t="s">
        <v>44</v>
      </c>
      <c r="H89" s="74" t="s">
        <v>946</v>
      </c>
    </row>
    <row r="90" spans="1:8" x14ac:dyDescent="0.35">
      <c r="A90" s="75">
        <v>88</v>
      </c>
      <c r="B90" s="76" t="s">
        <v>350</v>
      </c>
      <c r="C90" s="76" t="s">
        <v>357</v>
      </c>
      <c r="D90" s="76" t="s">
        <v>261</v>
      </c>
      <c r="E90" s="76" t="s">
        <v>9</v>
      </c>
      <c r="F90" s="76" t="s">
        <v>46</v>
      </c>
      <c r="G90" s="76" t="s">
        <v>45</v>
      </c>
      <c r="H90" s="74" t="s">
        <v>4158</v>
      </c>
    </row>
    <row r="91" spans="1:8" x14ac:dyDescent="0.35">
      <c r="A91" s="75">
        <v>89</v>
      </c>
      <c r="B91" s="76" t="s">
        <v>350</v>
      </c>
      <c r="C91" s="76" t="s">
        <v>154</v>
      </c>
      <c r="D91" s="76" t="s">
        <v>156</v>
      </c>
      <c r="E91" s="76" t="s">
        <v>9</v>
      </c>
      <c r="F91" s="76" t="s">
        <v>46</v>
      </c>
      <c r="G91" s="76" t="s">
        <v>39</v>
      </c>
      <c r="H91" s="74" t="s">
        <v>947</v>
      </c>
    </row>
    <row r="92" spans="1:8" x14ac:dyDescent="0.35">
      <c r="A92" s="75">
        <v>90</v>
      </c>
      <c r="B92" s="76" t="s">
        <v>350</v>
      </c>
      <c r="C92" s="76" t="s">
        <v>158</v>
      </c>
      <c r="D92" s="76" t="s">
        <v>159</v>
      </c>
      <c r="E92" s="76" t="s">
        <v>9</v>
      </c>
      <c r="F92" s="76" t="s">
        <v>46</v>
      </c>
      <c r="G92" s="76" t="s">
        <v>41</v>
      </c>
      <c r="H92" s="74" t="s">
        <v>948</v>
      </c>
    </row>
    <row r="93" spans="1:8" ht="29" x14ac:dyDescent="0.35">
      <c r="A93" s="75">
        <v>91</v>
      </c>
      <c r="B93" s="76" t="s">
        <v>350</v>
      </c>
      <c r="C93" s="76" t="s">
        <v>159</v>
      </c>
      <c r="D93" s="76" t="s">
        <v>162</v>
      </c>
      <c r="E93" s="76" t="s">
        <v>9</v>
      </c>
      <c r="F93" s="76" t="s">
        <v>46</v>
      </c>
      <c r="G93" s="76" t="s">
        <v>40</v>
      </c>
      <c r="H93" s="74" t="s">
        <v>949</v>
      </c>
    </row>
    <row r="94" spans="1:8" x14ac:dyDescent="0.35">
      <c r="A94" s="75">
        <v>92</v>
      </c>
      <c r="B94" s="76" t="s">
        <v>350</v>
      </c>
      <c r="C94" s="76" t="s">
        <v>362</v>
      </c>
      <c r="D94" s="76" t="s">
        <v>167</v>
      </c>
      <c r="E94" s="76" t="s">
        <v>9</v>
      </c>
      <c r="F94" s="76" t="s">
        <v>46</v>
      </c>
      <c r="G94" s="76" t="s">
        <v>43</v>
      </c>
      <c r="H94" s="74" t="s">
        <v>950</v>
      </c>
    </row>
    <row r="95" spans="1:8" ht="29" x14ac:dyDescent="0.35">
      <c r="A95" s="75">
        <v>93</v>
      </c>
      <c r="B95" s="76" t="s">
        <v>350</v>
      </c>
      <c r="C95" s="76" t="s">
        <v>165</v>
      </c>
      <c r="D95" s="76" t="s">
        <v>168</v>
      </c>
      <c r="E95" s="76" t="s">
        <v>9</v>
      </c>
      <c r="F95" s="76" t="s">
        <v>38</v>
      </c>
      <c r="G95" s="76" t="s">
        <v>38</v>
      </c>
      <c r="H95" s="74" t="s">
        <v>951</v>
      </c>
    </row>
    <row r="96" spans="1:8" ht="29" x14ac:dyDescent="0.35">
      <c r="A96" s="75">
        <v>94</v>
      </c>
      <c r="B96" s="76" t="s">
        <v>350</v>
      </c>
      <c r="C96" s="76" t="s">
        <v>168</v>
      </c>
      <c r="D96" s="76" t="s">
        <v>173</v>
      </c>
      <c r="E96" s="76" t="s">
        <v>9</v>
      </c>
      <c r="F96" s="76" t="s">
        <v>38</v>
      </c>
      <c r="G96" s="76" t="s">
        <v>9</v>
      </c>
      <c r="H96" s="74" t="s">
        <v>952</v>
      </c>
    </row>
    <row r="97" spans="1:8" x14ac:dyDescent="0.35">
      <c r="A97" s="75">
        <v>95</v>
      </c>
      <c r="B97" s="76" t="s">
        <v>350</v>
      </c>
      <c r="C97" s="76" t="s">
        <v>171</v>
      </c>
      <c r="D97" s="76" t="s">
        <v>366</v>
      </c>
      <c r="E97" s="76" t="s">
        <v>9</v>
      </c>
      <c r="F97" s="76" t="s">
        <v>38</v>
      </c>
      <c r="G97" s="76" t="s">
        <v>44</v>
      </c>
      <c r="H97" s="74" t="s">
        <v>953</v>
      </c>
    </row>
    <row r="98" spans="1:8" ht="29" x14ac:dyDescent="0.35">
      <c r="A98" s="75">
        <v>96</v>
      </c>
      <c r="B98" s="76" t="s">
        <v>350</v>
      </c>
      <c r="C98" s="76" t="s">
        <v>368</v>
      </c>
      <c r="D98" s="76" t="s">
        <v>177</v>
      </c>
      <c r="E98" s="76" t="s">
        <v>9</v>
      </c>
      <c r="F98" s="76" t="s">
        <v>38</v>
      </c>
      <c r="G98" s="76" t="s">
        <v>45</v>
      </c>
      <c r="H98" s="74" t="s">
        <v>954</v>
      </c>
    </row>
    <row r="99" spans="1:8" x14ac:dyDescent="0.35">
      <c r="A99" s="75">
        <v>97</v>
      </c>
      <c r="B99" s="76" t="s">
        <v>350</v>
      </c>
      <c r="C99" s="76" t="s">
        <v>177</v>
      </c>
      <c r="D99" s="76" t="s">
        <v>179</v>
      </c>
      <c r="E99" s="76" t="s">
        <v>9</v>
      </c>
      <c r="F99" s="76" t="s">
        <v>38</v>
      </c>
      <c r="G99" s="76" t="s">
        <v>39</v>
      </c>
      <c r="H99" s="74" t="s">
        <v>955</v>
      </c>
    </row>
    <row r="100" spans="1:8" ht="29" x14ac:dyDescent="0.35">
      <c r="A100" s="75">
        <v>98</v>
      </c>
      <c r="B100" s="76" t="s">
        <v>350</v>
      </c>
      <c r="C100" s="76" t="s">
        <v>179</v>
      </c>
      <c r="D100" s="76" t="s">
        <v>182</v>
      </c>
      <c r="E100" s="76" t="s">
        <v>9</v>
      </c>
      <c r="F100" s="76" t="s">
        <v>38</v>
      </c>
      <c r="G100" s="76" t="s">
        <v>41</v>
      </c>
      <c r="H100" s="74" t="s">
        <v>956</v>
      </c>
    </row>
    <row r="101" spans="1:8" ht="29" x14ac:dyDescent="0.35">
      <c r="A101" s="75">
        <v>99</v>
      </c>
      <c r="B101" s="76" t="s">
        <v>350</v>
      </c>
      <c r="C101" s="76" t="s">
        <v>372</v>
      </c>
      <c r="D101" s="76" t="s">
        <v>184</v>
      </c>
      <c r="E101" s="76" t="s">
        <v>9</v>
      </c>
      <c r="F101" s="76" t="s">
        <v>38</v>
      </c>
      <c r="G101" s="76" t="s">
        <v>40</v>
      </c>
      <c r="H101" s="74" t="s">
        <v>957</v>
      </c>
    </row>
    <row r="102" spans="1:8" x14ac:dyDescent="0.35">
      <c r="A102" s="75">
        <v>100</v>
      </c>
      <c r="B102" s="76" t="s">
        <v>350</v>
      </c>
      <c r="C102" s="76" t="s">
        <v>374</v>
      </c>
      <c r="D102" s="76" t="s">
        <v>375</v>
      </c>
      <c r="E102" s="76" t="s">
        <v>9</v>
      </c>
      <c r="F102" s="76" t="s">
        <v>38</v>
      </c>
      <c r="G102" s="76" t="s">
        <v>43</v>
      </c>
      <c r="H102" s="74" t="s">
        <v>958</v>
      </c>
    </row>
    <row r="103" spans="1:8" x14ac:dyDescent="0.35">
      <c r="A103" s="75">
        <v>101</v>
      </c>
      <c r="B103" s="76" t="s">
        <v>350</v>
      </c>
      <c r="C103" s="76" t="s">
        <v>186</v>
      </c>
      <c r="D103" s="76" t="s">
        <v>188</v>
      </c>
      <c r="E103" s="76" t="s">
        <v>9</v>
      </c>
      <c r="F103" s="76" t="s">
        <v>38</v>
      </c>
      <c r="G103" s="76" t="s">
        <v>46</v>
      </c>
      <c r="H103" s="74" t="s">
        <v>959</v>
      </c>
    </row>
    <row r="104" spans="1:8" ht="29" x14ac:dyDescent="0.35">
      <c r="A104" s="75">
        <v>102</v>
      </c>
      <c r="B104" s="76" t="s">
        <v>350</v>
      </c>
      <c r="C104" s="76" t="s">
        <v>188</v>
      </c>
      <c r="D104" s="76" t="s">
        <v>191</v>
      </c>
      <c r="E104" s="76" t="s">
        <v>9</v>
      </c>
      <c r="F104" s="76" t="s">
        <v>9</v>
      </c>
      <c r="G104" s="76" t="s">
        <v>9</v>
      </c>
      <c r="H104" s="74" t="s">
        <v>960</v>
      </c>
    </row>
    <row r="105" spans="1:8" x14ac:dyDescent="0.35">
      <c r="A105" s="75">
        <v>103</v>
      </c>
      <c r="B105" s="76" t="s">
        <v>350</v>
      </c>
      <c r="C105" s="76" t="s">
        <v>379</v>
      </c>
      <c r="D105" s="76" t="s">
        <v>380</v>
      </c>
      <c r="E105" s="76" t="s">
        <v>9</v>
      </c>
      <c r="F105" s="76" t="s">
        <v>9</v>
      </c>
      <c r="G105" s="76" t="s">
        <v>44</v>
      </c>
      <c r="H105" s="74" t="s">
        <v>961</v>
      </c>
    </row>
    <row r="106" spans="1:8" ht="29" x14ac:dyDescent="0.35">
      <c r="A106" s="75">
        <v>104</v>
      </c>
      <c r="B106" s="76" t="s">
        <v>350</v>
      </c>
      <c r="C106" s="76" t="s">
        <v>193</v>
      </c>
      <c r="D106" s="76" t="s">
        <v>382</v>
      </c>
      <c r="E106" s="76" t="s">
        <v>9</v>
      </c>
      <c r="F106" s="76" t="s">
        <v>9</v>
      </c>
      <c r="G106" s="76" t="s">
        <v>45</v>
      </c>
      <c r="H106" s="74" t="s">
        <v>4025</v>
      </c>
    </row>
    <row r="107" spans="1:8" x14ac:dyDescent="0.35">
      <c r="A107" s="75">
        <v>105</v>
      </c>
      <c r="B107" s="76" t="s">
        <v>350</v>
      </c>
      <c r="C107" s="76" t="s">
        <v>384</v>
      </c>
      <c r="D107" s="76" t="s">
        <v>197</v>
      </c>
      <c r="E107" s="76" t="s">
        <v>9</v>
      </c>
      <c r="F107" s="76" t="s">
        <v>9</v>
      </c>
      <c r="G107" s="76" t="s">
        <v>39</v>
      </c>
      <c r="H107" s="74" t="s">
        <v>962</v>
      </c>
    </row>
    <row r="108" spans="1:8" ht="29" x14ac:dyDescent="0.35">
      <c r="A108" s="75">
        <v>106</v>
      </c>
      <c r="B108" s="76" t="s">
        <v>386</v>
      </c>
      <c r="C108" s="76" t="s">
        <v>387</v>
      </c>
      <c r="D108" s="76" t="s">
        <v>388</v>
      </c>
      <c r="E108" s="76" t="s">
        <v>43</v>
      </c>
      <c r="F108" s="76" t="s">
        <v>9</v>
      </c>
      <c r="G108" s="76" t="s">
        <v>39</v>
      </c>
      <c r="H108" s="74" t="s">
        <v>963</v>
      </c>
    </row>
    <row r="109" spans="1:8" ht="29" x14ac:dyDescent="0.35">
      <c r="A109" s="75" t="s">
        <v>390</v>
      </c>
      <c r="B109" s="76" t="s">
        <v>386</v>
      </c>
      <c r="C109" s="76" t="s">
        <v>391</v>
      </c>
      <c r="D109" s="76" t="s">
        <v>148</v>
      </c>
      <c r="E109" s="76" t="s">
        <v>43</v>
      </c>
      <c r="F109" s="76" t="s">
        <v>9</v>
      </c>
      <c r="G109" s="76" t="s">
        <v>41</v>
      </c>
      <c r="H109" s="74" t="s">
        <v>964</v>
      </c>
    </row>
    <row r="110" spans="1:8" ht="29" x14ac:dyDescent="0.35">
      <c r="A110" s="75">
        <v>108</v>
      </c>
      <c r="B110" s="76" t="s">
        <v>386</v>
      </c>
      <c r="C110" s="76" t="s">
        <v>146</v>
      </c>
      <c r="D110" s="76" t="s">
        <v>206</v>
      </c>
      <c r="E110" s="76" t="s">
        <v>43</v>
      </c>
      <c r="F110" s="76" t="s">
        <v>9</v>
      </c>
      <c r="G110" s="76" t="s">
        <v>40</v>
      </c>
      <c r="H110" s="74" t="s">
        <v>965</v>
      </c>
    </row>
    <row r="111" spans="1:8" x14ac:dyDescent="0.35">
      <c r="A111" s="75">
        <v>109</v>
      </c>
      <c r="B111" s="76" t="s">
        <v>386</v>
      </c>
      <c r="C111" s="76" t="s">
        <v>206</v>
      </c>
      <c r="D111" s="76" t="s">
        <v>207</v>
      </c>
      <c r="E111" s="76" t="s">
        <v>43</v>
      </c>
      <c r="F111" s="76" t="s">
        <v>9</v>
      </c>
      <c r="G111" s="76" t="s">
        <v>43</v>
      </c>
      <c r="H111" s="74" t="s">
        <v>966</v>
      </c>
    </row>
    <row r="112" spans="1:8" x14ac:dyDescent="0.35">
      <c r="A112" s="75">
        <v>110</v>
      </c>
      <c r="B112" s="76" t="s">
        <v>386</v>
      </c>
      <c r="C112" s="76" t="s">
        <v>207</v>
      </c>
      <c r="D112" s="76" t="s">
        <v>395</v>
      </c>
      <c r="E112" s="76" t="s">
        <v>43</v>
      </c>
      <c r="F112" s="76" t="s">
        <v>9</v>
      </c>
      <c r="G112" s="76" t="s">
        <v>46</v>
      </c>
      <c r="H112" s="74" t="s">
        <v>967</v>
      </c>
    </row>
    <row r="113" spans="1:8" x14ac:dyDescent="0.35">
      <c r="A113" s="75">
        <v>111</v>
      </c>
      <c r="B113" s="76" t="s">
        <v>386</v>
      </c>
      <c r="C113" s="76" t="s">
        <v>397</v>
      </c>
      <c r="D113" s="76" t="s">
        <v>398</v>
      </c>
      <c r="E113" s="76" t="s">
        <v>43</v>
      </c>
      <c r="F113" s="76" t="s">
        <v>9</v>
      </c>
      <c r="G113" s="76" t="s">
        <v>38</v>
      </c>
      <c r="H113" s="74" t="s">
        <v>3981</v>
      </c>
    </row>
    <row r="114" spans="1:8" x14ac:dyDescent="0.35">
      <c r="A114" s="75">
        <v>112</v>
      </c>
      <c r="B114" s="76" t="s">
        <v>386</v>
      </c>
      <c r="C114" s="76" t="s">
        <v>398</v>
      </c>
      <c r="D114" s="76" t="s">
        <v>216</v>
      </c>
      <c r="E114" s="76" t="s">
        <v>43</v>
      </c>
      <c r="F114" s="76" t="s">
        <v>44</v>
      </c>
      <c r="G114" s="76" t="s">
        <v>44</v>
      </c>
      <c r="H114" s="74" t="s">
        <v>968</v>
      </c>
    </row>
    <row r="115" spans="1:8" ht="29" x14ac:dyDescent="0.35">
      <c r="A115" s="75">
        <v>113</v>
      </c>
      <c r="B115" s="76" t="s">
        <v>386</v>
      </c>
      <c r="C115" s="76" t="s">
        <v>401</v>
      </c>
      <c r="D115" s="76" t="s">
        <v>219</v>
      </c>
      <c r="E115" s="76" t="s">
        <v>43</v>
      </c>
      <c r="F115" s="76" t="s">
        <v>44</v>
      </c>
      <c r="G115" s="76" t="s">
        <v>45</v>
      </c>
      <c r="H115" s="74" t="s">
        <v>969</v>
      </c>
    </row>
    <row r="116" spans="1:8" x14ac:dyDescent="0.35">
      <c r="A116" s="75">
        <v>114</v>
      </c>
      <c r="B116" s="76" t="s">
        <v>386</v>
      </c>
      <c r="C116" s="76" t="s">
        <v>219</v>
      </c>
      <c r="D116" s="76" t="s">
        <v>222</v>
      </c>
      <c r="E116" s="76" t="s">
        <v>43</v>
      </c>
      <c r="F116" s="76" t="s">
        <v>44</v>
      </c>
      <c r="G116" s="76" t="s">
        <v>39</v>
      </c>
      <c r="H116" s="74" t="s">
        <v>970</v>
      </c>
    </row>
    <row r="117" spans="1:8" ht="29" x14ac:dyDescent="0.35">
      <c r="A117" s="75">
        <v>115</v>
      </c>
      <c r="B117" s="76" t="s">
        <v>386</v>
      </c>
      <c r="C117" s="76" t="s">
        <v>222</v>
      </c>
      <c r="D117" s="76" t="s">
        <v>225</v>
      </c>
      <c r="E117" s="76" t="s">
        <v>43</v>
      </c>
      <c r="F117" s="76" t="s">
        <v>44</v>
      </c>
      <c r="G117" s="76" t="s">
        <v>41</v>
      </c>
      <c r="H117" s="74" t="s">
        <v>971</v>
      </c>
    </row>
    <row r="118" spans="1:8" ht="29" x14ac:dyDescent="0.35">
      <c r="A118" s="75">
        <v>116</v>
      </c>
      <c r="B118" s="76" t="s">
        <v>386</v>
      </c>
      <c r="C118" s="76" t="s">
        <v>223</v>
      </c>
      <c r="D118" s="76" t="s">
        <v>405</v>
      </c>
      <c r="E118" s="76" t="s">
        <v>43</v>
      </c>
      <c r="F118" s="76" t="s">
        <v>44</v>
      </c>
      <c r="G118" s="76" t="s">
        <v>40</v>
      </c>
      <c r="H118" s="74" t="s">
        <v>972</v>
      </c>
    </row>
    <row r="119" spans="1:8" ht="29" x14ac:dyDescent="0.35">
      <c r="A119" s="75">
        <v>117</v>
      </c>
      <c r="B119" s="76" t="s">
        <v>386</v>
      </c>
      <c r="C119" s="76" t="s">
        <v>228</v>
      </c>
      <c r="D119" s="76" t="s">
        <v>229</v>
      </c>
      <c r="E119" s="76" t="s">
        <v>43</v>
      </c>
      <c r="F119" s="76" t="s">
        <v>44</v>
      </c>
      <c r="G119" s="76" t="s">
        <v>43</v>
      </c>
      <c r="H119" s="74" t="s">
        <v>973</v>
      </c>
    </row>
    <row r="120" spans="1:8" x14ac:dyDescent="0.35">
      <c r="A120" s="75">
        <v>118</v>
      </c>
      <c r="B120" s="76" t="s">
        <v>386</v>
      </c>
      <c r="C120" s="76" t="s">
        <v>229</v>
      </c>
      <c r="D120" s="76" t="s">
        <v>408</v>
      </c>
      <c r="E120" s="76" t="s">
        <v>43</v>
      </c>
      <c r="F120" s="76" t="s">
        <v>44</v>
      </c>
      <c r="G120" s="76" t="s">
        <v>46</v>
      </c>
      <c r="H120" s="74" t="s">
        <v>974</v>
      </c>
    </row>
    <row r="121" spans="1:8" ht="29" x14ac:dyDescent="0.35">
      <c r="A121" s="75">
        <v>119</v>
      </c>
      <c r="B121" s="76" t="s">
        <v>386</v>
      </c>
      <c r="C121" s="76" t="s">
        <v>234</v>
      </c>
      <c r="D121" s="76" t="s">
        <v>235</v>
      </c>
      <c r="E121" s="76" t="s">
        <v>43</v>
      </c>
      <c r="F121" s="76" t="s">
        <v>44</v>
      </c>
      <c r="G121" s="76" t="s">
        <v>38</v>
      </c>
      <c r="H121" s="74" t="s">
        <v>975</v>
      </c>
    </row>
    <row r="122" spans="1:8" ht="29" x14ac:dyDescent="0.35">
      <c r="A122" s="75">
        <v>120</v>
      </c>
      <c r="B122" s="76" t="s">
        <v>386</v>
      </c>
      <c r="C122" s="76" t="s">
        <v>237</v>
      </c>
      <c r="D122" s="76" t="s">
        <v>411</v>
      </c>
      <c r="E122" s="76" t="s">
        <v>43</v>
      </c>
      <c r="F122" s="76" t="s">
        <v>44</v>
      </c>
      <c r="G122" s="76" t="s">
        <v>9</v>
      </c>
      <c r="H122" s="74" t="s">
        <v>976</v>
      </c>
    </row>
    <row r="123" spans="1:8" x14ac:dyDescent="0.35">
      <c r="A123" s="75">
        <v>121</v>
      </c>
      <c r="B123" s="76" t="s">
        <v>386</v>
      </c>
      <c r="C123" s="76" t="s">
        <v>413</v>
      </c>
      <c r="D123" s="76" t="s">
        <v>345</v>
      </c>
      <c r="E123" s="76" t="s">
        <v>43</v>
      </c>
      <c r="F123" s="76" t="s">
        <v>45</v>
      </c>
      <c r="G123" s="76" t="s">
        <v>45</v>
      </c>
      <c r="H123" s="74" t="s">
        <v>977</v>
      </c>
    </row>
    <row r="124" spans="1:8" x14ac:dyDescent="0.35">
      <c r="A124" s="75">
        <v>122</v>
      </c>
      <c r="B124" s="76" t="s">
        <v>386</v>
      </c>
      <c r="C124" s="76" t="s">
        <v>415</v>
      </c>
      <c r="D124" s="76" t="s">
        <v>416</v>
      </c>
      <c r="E124" s="76" t="s">
        <v>43</v>
      </c>
      <c r="F124" s="76" t="s">
        <v>45</v>
      </c>
      <c r="G124" s="76" t="s">
        <v>39</v>
      </c>
      <c r="H124" s="74" t="s">
        <v>978</v>
      </c>
    </row>
    <row r="125" spans="1:8" ht="29" x14ac:dyDescent="0.35">
      <c r="A125" s="75">
        <v>123</v>
      </c>
      <c r="B125" s="76" t="s">
        <v>386</v>
      </c>
      <c r="C125" s="76" t="s">
        <v>243</v>
      </c>
      <c r="D125" s="76" t="s">
        <v>418</v>
      </c>
      <c r="E125" s="76" t="s">
        <v>43</v>
      </c>
      <c r="F125" s="76" t="s">
        <v>45</v>
      </c>
      <c r="G125" s="76" t="s">
        <v>41</v>
      </c>
      <c r="H125" s="74" t="s">
        <v>979</v>
      </c>
    </row>
    <row r="126" spans="1:8" x14ac:dyDescent="0.35">
      <c r="A126" s="75">
        <v>124</v>
      </c>
      <c r="B126" s="76" t="s">
        <v>386</v>
      </c>
      <c r="C126" s="76" t="s">
        <v>248</v>
      </c>
      <c r="D126" s="76" t="s">
        <v>249</v>
      </c>
      <c r="E126" s="76" t="s">
        <v>43</v>
      </c>
      <c r="F126" s="76" t="s">
        <v>45</v>
      </c>
      <c r="G126" s="76" t="s">
        <v>40</v>
      </c>
      <c r="H126" s="74" t="s">
        <v>980</v>
      </c>
    </row>
    <row r="127" spans="1:8" x14ac:dyDescent="0.35">
      <c r="A127" s="75">
        <v>125</v>
      </c>
      <c r="B127" s="76" t="s">
        <v>421</v>
      </c>
      <c r="C127" s="76" t="s">
        <v>387</v>
      </c>
      <c r="D127" s="76" t="s">
        <v>422</v>
      </c>
      <c r="E127" s="76" t="s">
        <v>38</v>
      </c>
      <c r="F127" s="76" t="s">
        <v>45</v>
      </c>
      <c r="G127" s="76" t="s">
        <v>43</v>
      </c>
      <c r="H127" s="74" t="s">
        <v>981</v>
      </c>
    </row>
    <row r="128" spans="1:8" x14ac:dyDescent="0.35">
      <c r="A128" s="75">
        <v>126</v>
      </c>
      <c r="B128" s="76" t="s">
        <v>421</v>
      </c>
      <c r="C128" s="76" t="s">
        <v>252</v>
      </c>
      <c r="D128" s="76" t="s">
        <v>256</v>
      </c>
      <c r="E128" s="76" t="s">
        <v>38</v>
      </c>
      <c r="F128" s="76" t="s">
        <v>45</v>
      </c>
      <c r="G128" s="76" t="s">
        <v>46</v>
      </c>
      <c r="H128" s="74" t="s">
        <v>982</v>
      </c>
    </row>
    <row r="129" spans="1:8" x14ac:dyDescent="0.35">
      <c r="A129" s="75">
        <v>127</v>
      </c>
      <c r="B129" s="76" t="s">
        <v>421</v>
      </c>
      <c r="C129" s="76" t="s">
        <v>256</v>
      </c>
      <c r="D129" s="76" t="s">
        <v>257</v>
      </c>
      <c r="E129" s="76" t="s">
        <v>38</v>
      </c>
      <c r="F129" s="76" t="s">
        <v>45</v>
      </c>
      <c r="G129" s="76" t="s">
        <v>38</v>
      </c>
      <c r="H129" s="74" t="s">
        <v>983</v>
      </c>
    </row>
    <row r="130" spans="1:8" x14ac:dyDescent="0.35">
      <c r="A130" s="75">
        <v>128</v>
      </c>
      <c r="B130" s="76" t="s">
        <v>421</v>
      </c>
      <c r="C130" s="76" t="s">
        <v>426</v>
      </c>
      <c r="D130" s="76" t="s">
        <v>261</v>
      </c>
      <c r="E130" s="76" t="s">
        <v>38</v>
      </c>
      <c r="F130" s="76" t="s">
        <v>45</v>
      </c>
      <c r="G130" s="76" t="s">
        <v>9</v>
      </c>
      <c r="H130" s="74" t="s">
        <v>984</v>
      </c>
    </row>
    <row r="131" spans="1:8" x14ac:dyDescent="0.35">
      <c r="A131" s="75">
        <v>129</v>
      </c>
      <c r="B131" s="76" t="s">
        <v>421</v>
      </c>
      <c r="C131" s="76" t="s">
        <v>154</v>
      </c>
      <c r="D131" s="76" t="s">
        <v>428</v>
      </c>
      <c r="E131" s="76" t="s">
        <v>38</v>
      </c>
      <c r="F131" s="76" t="s">
        <v>45</v>
      </c>
      <c r="G131" s="76" t="s">
        <v>44</v>
      </c>
      <c r="H131" s="74" t="s">
        <v>985</v>
      </c>
    </row>
    <row r="132" spans="1:8" x14ac:dyDescent="0.35">
      <c r="A132" s="75">
        <v>130</v>
      </c>
      <c r="B132" s="76" t="s">
        <v>421</v>
      </c>
      <c r="C132" s="76" t="s">
        <v>428</v>
      </c>
      <c r="D132" s="76" t="s">
        <v>430</v>
      </c>
      <c r="E132" s="76" t="s">
        <v>38</v>
      </c>
      <c r="F132" s="76" t="s">
        <v>39</v>
      </c>
      <c r="G132" s="76" t="s">
        <v>39</v>
      </c>
      <c r="H132" s="74" t="s">
        <v>986</v>
      </c>
    </row>
    <row r="133" spans="1:8" x14ac:dyDescent="0.35">
      <c r="A133" s="75">
        <v>131</v>
      </c>
      <c r="B133" s="76" t="s">
        <v>421</v>
      </c>
      <c r="C133" s="76" t="s">
        <v>432</v>
      </c>
      <c r="D133" s="76" t="s">
        <v>433</v>
      </c>
      <c r="E133" s="76" t="s">
        <v>38</v>
      </c>
      <c r="F133" s="76" t="s">
        <v>39</v>
      </c>
      <c r="G133" s="76" t="s">
        <v>41</v>
      </c>
      <c r="H133" s="74" t="s">
        <v>987</v>
      </c>
    </row>
    <row r="134" spans="1:8" x14ac:dyDescent="0.35">
      <c r="A134" s="75">
        <v>132</v>
      </c>
      <c r="B134" s="76" t="s">
        <v>421</v>
      </c>
      <c r="C134" s="76" t="s">
        <v>267</v>
      </c>
      <c r="D134" s="76" t="s">
        <v>435</v>
      </c>
      <c r="E134" s="76" t="s">
        <v>38</v>
      </c>
      <c r="F134" s="76" t="s">
        <v>39</v>
      </c>
      <c r="G134" s="76" t="s">
        <v>40</v>
      </c>
      <c r="H134" s="74" t="s">
        <v>988</v>
      </c>
    </row>
    <row r="135" spans="1:8" ht="29" x14ac:dyDescent="0.35">
      <c r="A135" s="75">
        <v>133</v>
      </c>
      <c r="B135" s="76" t="s">
        <v>421</v>
      </c>
      <c r="C135" s="76" t="s">
        <v>435</v>
      </c>
      <c r="D135" s="76" t="s">
        <v>272</v>
      </c>
      <c r="E135" s="76" t="s">
        <v>38</v>
      </c>
      <c r="F135" s="76" t="s">
        <v>39</v>
      </c>
      <c r="G135" s="76" t="s">
        <v>43</v>
      </c>
      <c r="H135" s="74" t="s">
        <v>989</v>
      </c>
    </row>
    <row r="136" spans="1:8" x14ac:dyDescent="0.35">
      <c r="A136" s="75">
        <v>134</v>
      </c>
      <c r="B136" s="76" t="s">
        <v>421</v>
      </c>
      <c r="C136" s="76" t="s">
        <v>438</v>
      </c>
      <c r="D136" s="76" t="s">
        <v>274</v>
      </c>
      <c r="E136" s="76" t="s">
        <v>38</v>
      </c>
      <c r="F136" s="76" t="s">
        <v>39</v>
      </c>
      <c r="G136" s="76" t="s">
        <v>46</v>
      </c>
      <c r="H136" s="74" t="s">
        <v>990</v>
      </c>
    </row>
    <row r="137" spans="1:8" x14ac:dyDescent="0.35">
      <c r="A137" s="75">
        <v>135</v>
      </c>
      <c r="B137" s="76" t="s">
        <v>421</v>
      </c>
      <c r="C137" s="76" t="s">
        <v>274</v>
      </c>
      <c r="D137" s="76" t="s">
        <v>276</v>
      </c>
      <c r="E137" s="76" t="s">
        <v>38</v>
      </c>
      <c r="F137" s="76" t="s">
        <v>39</v>
      </c>
      <c r="G137" s="76" t="s">
        <v>38</v>
      </c>
      <c r="H137" s="74" t="s">
        <v>991</v>
      </c>
    </row>
    <row r="138" spans="1:8" x14ac:dyDescent="0.35">
      <c r="A138" s="75">
        <v>136</v>
      </c>
      <c r="B138" s="76" t="s">
        <v>421</v>
      </c>
      <c r="C138" s="76" t="s">
        <v>276</v>
      </c>
      <c r="D138" s="76" t="s">
        <v>441</v>
      </c>
      <c r="E138" s="76" t="s">
        <v>38</v>
      </c>
      <c r="F138" s="76" t="s">
        <v>39</v>
      </c>
      <c r="G138" s="76" t="s">
        <v>9</v>
      </c>
      <c r="H138" s="74" t="s">
        <v>992</v>
      </c>
    </row>
    <row r="139" spans="1:8" x14ac:dyDescent="0.35">
      <c r="A139" s="75">
        <v>137</v>
      </c>
      <c r="B139" s="76" t="s">
        <v>421</v>
      </c>
      <c r="C139" s="76" t="s">
        <v>443</v>
      </c>
      <c r="D139" s="76" t="s">
        <v>444</v>
      </c>
      <c r="E139" s="76" t="s">
        <v>38</v>
      </c>
      <c r="F139" s="76" t="s">
        <v>39</v>
      </c>
      <c r="G139" s="76" t="s">
        <v>44</v>
      </c>
      <c r="H139" s="74" t="s">
        <v>993</v>
      </c>
    </row>
    <row r="140" spans="1:8" x14ac:dyDescent="0.35">
      <c r="A140" s="75">
        <v>138</v>
      </c>
      <c r="B140" s="76" t="s">
        <v>421</v>
      </c>
      <c r="C140" s="76" t="s">
        <v>282</v>
      </c>
      <c r="D140" s="76" t="s">
        <v>446</v>
      </c>
      <c r="E140" s="76" t="s">
        <v>38</v>
      </c>
      <c r="F140" s="76" t="s">
        <v>39</v>
      </c>
      <c r="G140" s="76" t="s">
        <v>45</v>
      </c>
      <c r="H140" s="74" t="s">
        <v>994</v>
      </c>
    </row>
    <row r="141" spans="1:8" ht="29" x14ac:dyDescent="0.35">
      <c r="A141" s="75">
        <v>139</v>
      </c>
      <c r="B141" s="76" t="s">
        <v>421</v>
      </c>
      <c r="C141" s="76" t="s">
        <v>283</v>
      </c>
      <c r="D141" s="76" t="s">
        <v>285</v>
      </c>
      <c r="E141" s="76" t="s">
        <v>38</v>
      </c>
      <c r="F141" s="76" t="s">
        <v>41</v>
      </c>
      <c r="G141" s="76" t="s">
        <v>41</v>
      </c>
      <c r="H141" s="74" t="s">
        <v>995</v>
      </c>
    </row>
    <row r="142" spans="1:8" ht="29" x14ac:dyDescent="0.35">
      <c r="A142" s="75">
        <v>140</v>
      </c>
      <c r="B142" s="76" t="s">
        <v>421</v>
      </c>
      <c r="C142" s="76" t="s">
        <v>287</v>
      </c>
      <c r="D142" s="76" t="s">
        <v>290</v>
      </c>
      <c r="E142" s="76" t="s">
        <v>38</v>
      </c>
      <c r="F142" s="76" t="s">
        <v>41</v>
      </c>
      <c r="G142" s="76" t="s">
        <v>40</v>
      </c>
      <c r="H142" s="74" t="s">
        <v>996</v>
      </c>
    </row>
    <row r="143" spans="1:8" ht="29" x14ac:dyDescent="0.35">
      <c r="A143" s="75">
        <v>141</v>
      </c>
      <c r="B143" s="76" t="s">
        <v>421</v>
      </c>
      <c r="C143" s="76" t="s">
        <v>290</v>
      </c>
      <c r="D143" s="76" t="s">
        <v>291</v>
      </c>
      <c r="E143" s="76" t="s">
        <v>38</v>
      </c>
      <c r="F143" s="76" t="s">
        <v>41</v>
      </c>
      <c r="G143" s="76" t="s">
        <v>43</v>
      </c>
      <c r="H143" s="74" t="s">
        <v>997</v>
      </c>
    </row>
    <row r="144" spans="1:8" x14ac:dyDescent="0.35">
      <c r="A144" s="75">
        <v>142</v>
      </c>
      <c r="B144" s="76" t="s">
        <v>421</v>
      </c>
      <c r="C144" s="76" t="s">
        <v>293</v>
      </c>
      <c r="D144" s="76" t="s">
        <v>451</v>
      </c>
      <c r="E144" s="76" t="s">
        <v>38</v>
      </c>
      <c r="F144" s="76" t="s">
        <v>41</v>
      </c>
      <c r="G144" s="76" t="s">
        <v>46</v>
      </c>
      <c r="H144" s="74" t="s">
        <v>998</v>
      </c>
    </row>
    <row r="145" spans="1:8" x14ac:dyDescent="0.35">
      <c r="A145" s="75">
        <v>143</v>
      </c>
      <c r="B145" s="76" t="s">
        <v>421</v>
      </c>
      <c r="C145" s="76" t="s">
        <v>451</v>
      </c>
      <c r="D145" s="76" t="s">
        <v>297</v>
      </c>
      <c r="E145" s="76" t="s">
        <v>38</v>
      </c>
      <c r="F145" s="76" t="s">
        <v>41</v>
      </c>
      <c r="G145" s="76" t="s">
        <v>38</v>
      </c>
      <c r="H145" s="74" t="s">
        <v>999</v>
      </c>
    </row>
    <row r="146" spans="1:8" ht="29" x14ac:dyDescent="0.35">
      <c r="A146" s="75">
        <v>144</v>
      </c>
      <c r="B146" s="76" t="s">
        <v>421</v>
      </c>
      <c r="C146" s="76" t="s">
        <v>297</v>
      </c>
      <c r="D146" s="76" t="s">
        <v>454</v>
      </c>
      <c r="E146" s="76" t="s">
        <v>38</v>
      </c>
      <c r="F146" s="76" t="s">
        <v>41</v>
      </c>
      <c r="G146" s="76" t="s">
        <v>9</v>
      </c>
      <c r="H146" s="74" t="s">
        <v>1000</v>
      </c>
    </row>
    <row r="147" spans="1:8" ht="29" x14ac:dyDescent="0.35">
      <c r="A147" s="75">
        <v>145</v>
      </c>
      <c r="B147" s="76" t="s">
        <v>421</v>
      </c>
      <c r="C147" s="76" t="s">
        <v>299</v>
      </c>
      <c r="D147" s="76" t="s">
        <v>197</v>
      </c>
      <c r="E147" s="76" t="s">
        <v>38</v>
      </c>
      <c r="F147" s="76" t="s">
        <v>41</v>
      </c>
      <c r="G147" s="76" t="s">
        <v>44</v>
      </c>
      <c r="H147" s="74" t="s">
        <v>1001</v>
      </c>
    </row>
    <row r="148" spans="1:8" x14ac:dyDescent="0.35">
      <c r="A148" s="75">
        <v>146</v>
      </c>
      <c r="B148" s="76" t="s">
        <v>457</v>
      </c>
      <c r="C148" s="76" t="s">
        <v>143</v>
      </c>
      <c r="D148" s="76" t="s">
        <v>458</v>
      </c>
      <c r="E148" s="76" t="s">
        <v>45</v>
      </c>
      <c r="F148" s="76" t="s">
        <v>41</v>
      </c>
      <c r="G148" s="76" t="s">
        <v>44</v>
      </c>
      <c r="H148" s="74" t="s">
        <v>1002</v>
      </c>
    </row>
    <row r="149" spans="1:8" x14ac:dyDescent="0.35">
      <c r="A149" s="75">
        <v>147</v>
      </c>
      <c r="B149" s="76" t="s">
        <v>457</v>
      </c>
      <c r="C149" s="76" t="s">
        <v>303</v>
      </c>
      <c r="D149" s="76" t="s">
        <v>305</v>
      </c>
      <c r="E149" s="76" t="s">
        <v>45</v>
      </c>
      <c r="F149" s="76" t="s">
        <v>41</v>
      </c>
      <c r="G149" s="76" t="s">
        <v>45</v>
      </c>
      <c r="H149" s="74" t="s">
        <v>1003</v>
      </c>
    </row>
    <row r="150" spans="1:8" x14ac:dyDescent="0.35">
      <c r="A150" s="75">
        <v>148</v>
      </c>
      <c r="B150" s="76" t="s">
        <v>457</v>
      </c>
      <c r="C150" s="76" t="s">
        <v>305</v>
      </c>
      <c r="D150" s="76" t="s">
        <v>461</v>
      </c>
      <c r="E150" s="76" t="s">
        <v>45</v>
      </c>
      <c r="F150" s="76" t="s">
        <v>41</v>
      </c>
      <c r="G150" s="76" t="s">
        <v>39</v>
      </c>
      <c r="H150" s="74" t="s">
        <v>3992</v>
      </c>
    </row>
    <row r="151" spans="1:8" ht="29" x14ac:dyDescent="0.35">
      <c r="A151" s="75">
        <v>149</v>
      </c>
      <c r="B151" s="76" t="s">
        <v>457</v>
      </c>
      <c r="C151" s="76" t="s">
        <v>310</v>
      </c>
      <c r="D151" s="76" t="s">
        <v>463</v>
      </c>
      <c r="E151" s="76" t="s">
        <v>45</v>
      </c>
      <c r="F151" s="76" t="s">
        <v>40</v>
      </c>
      <c r="G151" s="76" t="s">
        <v>40</v>
      </c>
      <c r="H151" s="74" t="s">
        <v>1004</v>
      </c>
    </row>
    <row r="152" spans="1:8" ht="29" x14ac:dyDescent="0.35">
      <c r="A152" s="75">
        <v>150</v>
      </c>
      <c r="B152" s="76" t="s">
        <v>457</v>
      </c>
      <c r="C152" s="76" t="s">
        <v>311</v>
      </c>
      <c r="D152" s="76" t="s">
        <v>307</v>
      </c>
      <c r="E152" s="76" t="s">
        <v>45</v>
      </c>
      <c r="F152" s="76" t="s">
        <v>40</v>
      </c>
      <c r="G152" s="76" t="s">
        <v>43</v>
      </c>
      <c r="H152" s="74" t="s">
        <v>3741</v>
      </c>
    </row>
    <row r="153" spans="1:8" x14ac:dyDescent="0.35">
      <c r="A153" s="75">
        <v>151</v>
      </c>
      <c r="B153" s="76" t="s">
        <v>457</v>
      </c>
      <c r="C153" s="76" t="s">
        <v>307</v>
      </c>
      <c r="D153" s="76" t="s">
        <v>314</v>
      </c>
      <c r="E153" s="76" t="s">
        <v>45</v>
      </c>
      <c r="F153" s="76" t="s">
        <v>40</v>
      </c>
      <c r="G153" s="76" t="s">
        <v>46</v>
      </c>
      <c r="H153" s="74" t="s">
        <v>1005</v>
      </c>
    </row>
    <row r="154" spans="1:8" ht="29" x14ac:dyDescent="0.35">
      <c r="A154" s="75">
        <v>152</v>
      </c>
      <c r="B154" s="76" t="s">
        <v>457</v>
      </c>
      <c r="C154" s="76" t="s">
        <v>314</v>
      </c>
      <c r="D154" s="76" t="s">
        <v>319</v>
      </c>
      <c r="E154" s="76" t="s">
        <v>45</v>
      </c>
      <c r="F154" s="76" t="s">
        <v>40</v>
      </c>
      <c r="G154" s="76" t="s">
        <v>38</v>
      </c>
      <c r="H154" s="74" t="s">
        <v>1006</v>
      </c>
    </row>
    <row r="155" spans="1:8" x14ac:dyDescent="0.35">
      <c r="A155" s="75">
        <v>153</v>
      </c>
      <c r="B155" s="76" t="s">
        <v>457</v>
      </c>
      <c r="C155" s="76" t="s">
        <v>319</v>
      </c>
      <c r="D155" s="76" t="s">
        <v>468</v>
      </c>
      <c r="E155" s="76" t="s">
        <v>45</v>
      </c>
      <c r="F155" s="76" t="s">
        <v>40</v>
      </c>
      <c r="G155" s="76" t="s">
        <v>9</v>
      </c>
      <c r="H155" s="74" t="s">
        <v>1007</v>
      </c>
    </row>
    <row r="156" spans="1:8" x14ac:dyDescent="0.35">
      <c r="A156" s="75">
        <v>154</v>
      </c>
      <c r="B156" s="76" t="s">
        <v>457</v>
      </c>
      <c r="C156" s="76" t="s">
        <v>470</v>
      </c>
      <c r="D156" s="76" t="s">
        <v>471</v>
      </c>
      <c r="E156" s="76" t="s">
        <v>45</v>
      </c>
      <c r="F156" s="76" t="s">
        <v>40</v>
      </c>
      <c r="G156" s="76" t="s">
        <v>44</v>
      </c>
      <c r="H156" s="74" t="s">
        <v>1008</v>
      </c>
    </row>
    <row r="157" spans="1:8" ht="43.5" x14ac:dyDescent="0.35">
      <c r="A157" s="75">
        <v>155</v>
      </c>
      <c r="B157" s="76" t="s">
        <v>457</v>
      </c>
      <c r="C157" s="76" t="s">
        <v>473</v>
      </c>
      <c r="D157" s="76" t="s">
        <v>326</v>
      </c>
      <c r="E157" s="76" t="s">
        <v>45</v>
      </c>
      <c r="F157" s="76" t="s">
        <v>40</v>
      </c>
      <c r="G157" s="76" t="s">
        <v>45</v>
      </c>
      <c r="H157" s="74" t="s">
        <v>1009</v>
      </c>
    </row>
    <row r="158" spans="1:8" ht="29" x14ac:dyDescent="0.35">
      <c r="A158" s="75">
        <v>156</v>
      </c>
      <c r="B158" s="76" t="s">
        <v>457</v>
      </c>
      <c r="C158" s="76" t="s">
        <v>328</v>
      </c>
      <c r="D158" s="76" t="s">
        <v>475</v>
      </c>
      <c r="E158" s="76" t="s">
        <v>45</v>
      </c>
      <c r="F158" s="76" t="s">
        <v>40</v>
      </c>
      <c r="G158" s="76" t="s">
        <v>39</v>
      </c>
      <c r="H158" s="74" t="s">
        <v>1010</v>
      </c>
    </row>
    <row r="159" spans="1:8" x14ac:dyDescent="0.35">
      <c r="A159" s="75">
        <v>157</v>
      </c>
      <c r="B159" s="76" t="s">
        <v>457</v>
      </c>
      <c r="C159" s="76" t="s">
        <v>477</v>
      </c>
      <c r="D159" s="76" t="s">
        <v>331</v>
      </c>
      <c r="E159" s="76" t="s">
        <v>45</v>
      </c>
      <c r="F159" s="76" t="s">
        <v>40</v>
      </c>
      <c r="G159" s="76" t="s">
        <v>41</v>
      </c>
      <c r="H159" s="74" t="s">
        <v>1011</v>
      </c>
    </row>
    <row r="160" spans="1:8" ht="29" x14ac:dyDescent="0.35">
      <c r="A160" s="75">
        <v>158</v>
      </c>
      <c r="B160" s="76" t="s">
        <v>457</v>
      </c>
      <c r="C160" s="76" t="s">
        <v>331</v>
      </c>
      <c r="D160" s="76" t="s">
        <v>479</v>
      </c>
      <c r="E160" s="76" t="s">
        <v>45</v>
      </c>
      <c r="F160" s="76" t="s">
        <v>43</v>
      </c>
      <c r="G160" s="76" t="s">
        <v>43</v>
      </c>
      <c r="H160" s="74" t="s">
        <v>1012</v>
      </c>
    </row>
    <row r="161" spans="1:8" ht="29" x14ac:dyDescent="0.35">
      <c r="A161" s="75">
        <v>159</v>
      </c>
      <c r="B161" s="76" t="s">
        <v>457</v>
      </c>
      <c r="C161" s="76" t="s">
        <v>481</v>
      </c>
      <c r="D161" s="76" t="s">
        <v>482</v>
      </c>
      <c r="E161" s="76" t="s">
        <v>45</v>
      </c>
      <c r="F161" s="76" t="s">
        <v>43</v>
      </c>
      <c r="G161" s="76" t="s">
        <v>46</v>
      </c>
      <c r="H161" s="74" t="s">
        <v>1013</v>
      </c>
    </row>
    <row r="162" spans="1:8" x14ac:dyDescent="0.35">
      <c r="A162" s="75">
        <v>160</v>
      </c>
      <c r="B162" s="76" t="s">
        <v>457</v>
      </c>
      <c r="C162" s="76" t="s">
        <v>482</v>
      </c>
      <c r="D162" s="76" t="s">
        <v>339</v>
      </c>
      <c r="E162" s="76" t="s">
        <v>45</v>
      </c>
      <c r="F162" s="76" t="s">
        <v>43</v>
      </c>
      <c r="G162" s="76" t="s">
        <v>38</v>
      </c>
      <c r="H162" s="74" t="s">
        <v>1014</v>
      </c>
    </row>
    <row r="163" spans="1:8" ht="29" x14ac:dyDescent="0.35">
      <c r="A163" s="75">
        <v>161</v>
      </c>
      <c r="B163" s="76" t="s">
        <v>457</v>
      </c>
      <c r="C163" s="76" t="s">
        <v>485</v>
      </c>
      <c r="D163" s="76" t="s">
        <v>341</v>
      </c>
      <c r="E163" s="76" t="s">
        <v>45</v>
      </c>
      <c r="F163" s="76" t="s">
        <v>43</v>
      </c>
      <c r="G163" s="76" t="s">
        <v>9</v>
      </c>
      <c r="H163" s="74" t="s">
        <v>1015</v>
      </c>
    </row>
    <row r="164" spans="1:8" ht="29" x14ac:dyDescent="0.35">
      <c r="A164" s="75">
        <v>162</v>
      </c>
      <c r="B164" s="76" t="s">
        <v>457</v>
      </c>
      <c r="C164" s="76" t="s">
        <v>341</v>
      </c>
      <c r="D164" s="76" t="s">
        <v>238</v>
      </c>
      <c r="E164" s="76" t="s">
        <v>45</v>
      </c>
      <c r="F164" s="76" t="s">
        <v>43</v>
      </c>
      <c r="G164" s="76" t="s">
        <v>44</v>
      </c>
      <c r="H164" s="74" t="s">
        <v>1016</v>
      </c>
    </row>
    <row r="165" spans="1:8" ht="29" x14ac:dyDescent="0.35">
      <c r="A165" s="75">
        <v>163</v>
      </c>
      <c r="B165" s="76" t="s">
        <v>457</v>
      </c>
      <c r="C165" s="76" t="s">
        <v>411</v>
      </c>
      <c r="D165" s="76" t="s">
        <v>242</v>
      </c>
      <c r="E165" s="76" t="s">
        <v>45</v>
      </c>
      <c r="F165" s="76" t="s">
        <v>43</v>
      </c>
      <c r="G165" s="76" t="s">
        <v>45</v>
      </c>
      <c r="H165" s="74" t="s">
        <v>1017</v>
      </c>
    </row>
    <row r="166" spans="1:8" x14ac:dyDescent="0.35">
      <c r="A166" s="75">
        <v>164</v>
      </c>
      <c r="B166" s="76" t="s">
        <v>457</v>
      </c>
      <c r="C166" s="76" t="s">
        <v>242</v>
      </c>
      <c r="D166" s="76" t="s">
        <v>245</v>
      </c>
      <c r="E166" s="76" t="s">
        <v>45</v>
      </c>
      <c r="F166" s="76" t="s">
        <v>43</v>
      </c>
      <c r="G166" s="76" t="s">
        <v>39</v>
      </c>
      <c r="H166" s="74" t="s">
        <v>1018</v>
      </c>
    </row>
    <row r="167" spans="1:8" ht="43.5" x14ac:dyDescent="0.35">
      <c r="A167" s="75">
        <v>165</v>
      </c>
      <c r="B167" s="76" t="s">
        <v>457</v>
      </c>
      <c r="C167" s="76" t="s">
        <v>243</v>
      </c>
      <c r="D167" s="76" t="s">
        <v>248</v>
      </c>
      <c r="E167" s="76" t="s">
        <v>45</v>
      </c>
      <c r="F167" s="76" t="s">
        <v>43</v>
      </c>
      <c r="G167" s="76" t="s">
        <v>41</v>
      </c>
      <c r="H167" s="74" t="s">
        <v>1019</v>
      </c>
    </row>
    <row r="168" spans="1:8" ht="29" x14ac:dyDescent="0.35">
      <c r="A168" s="75">
        <v>166</v>
      </c>
      <c r="B168" s="76" t="s">
        <v>457</v>
      </c>
      <c r="C168" s="76" t="s">
        <v>248</v>
      </c>
      <c r="D168" s="76" t="s">
        <v>197</v>
      </c>
      <c r="E168" s="76" t="s">
        <v>45</v>
      </c>
      <c r="F168" s="76" t="s">
        <v>43</v>
      </c>
      <c r="G168" s="76" t="s">
        <v>40</v>
      </c>
      <c r="H168" s="74" t="s">
        <v>1020</v>
      </c>
    </row>
    <row r="169" spans="1:8" x14ac:dyDescent="0.35">
      <c r="A169" s="75">
        <v>167</v>
      </c>
      <c r="B169" s="76" t="s">
        <v>492</v>
      </c>
      <c r="C169" s="76" t="s">
        <v>143</v>
      </c>
      <c r="D169" s="76" t="s">
        <v>493</v>
      </c>
      <c r="E169" s="76" t="s">
        <v>41</v>
      </c>
      <c r="F169" s="76" t="s">
        <v>46</v>
      </c>
      <c r="G169" s="76" t="s">
        <v>46</v>
      </c>
      <c r="H169" s="74" t="s">
        <v>1021</v>
      </c>
    </row>
    <row r="170" spans="1:8" x14ac:dyDescent="0.35">
      <c r="A170" s="75">
        <v>168</v>
      </c>
      <c r="B170" s="76" t="s">
        <v>492</v>
      </c>
      <c r="C170" s="76" t="s">
        <v>495</v>
      </c>
      <c r="D170" s="76" t="s">
        <v>148</v>
      </c>
      <c r="E170" s="76" t="s">
        <v>41</v>
      </c>
      <c r="F170" s="76" t="s">
        <v>46</v>
      </c>
      <c r="G170" s="76" t="s">
        <v>38</v>
      </c>
      <c r="H170" s="74" t="s">
        <v>1022</v>
      </c>
    </row>
    <row r="171" spans="1:8" x14ac:dyDescent="0.35">
      <c r="A171" s="75">
        <v>169</v>
      </c>
      <c r="B171" s="76" t="s">
        <v>492</v>
      </c>
      <c r="C171" s="76" t="s">
        <v>146</v>
      </c>
      <c r="D171" s="76" t="s">
        <v>354</v>
      </c>
      <c r="E171" s="76" t="s">
        <v>41</v>
      </c>
      <c r="F171" s="76" t="s">
        <v>46</v>
      </c>
      <c r="G171" s="76" t="s">
        <v>9</v>
      </c>
      <c r="H171" s="74" t="s">
        <v>1023</v>
      </c>
    </row>
    <row r="172" spans="1:8" x14ac:dyDescent="0.35">
      <c r="A172" s="75">
        <v>170</v>
      </c>
      <c r="B172" s="76" t="s">
        <v>492</v>
      </c>
      <c r="C172" s="76" t="s">
        <v>498</v>
      </c>
      <c r="D172" s="76" t="s">
        <v>151</v>
      </c>
      <c r="E172" s="76" t="s">
        <v>41</v>
      </c>
      <c r="F172" s="76" t="s">
        <v>46</v>
      </c>
      <c r="G172" s="76" t="s">
        <v>44</v>
      </c>
      <c r="H172" s="74" t="s">
        <v>1024</v>
      </c>
    </row>
    <row r="173" spans="1:8" x14ac:dyDescent="0.35">
      <c r="A173" s="75">
        <v>171</v>
      </c>
      <c r="B173" s="76" t="s">
        <v>492</v>
      </c>
      <c r="C173" s="76" t="s">
        <v>500</v>
      </c>
      <c r="D173" s="76" t="s">
        <v>501</v>
      </c>
      <c r="E173" s="76" t="s">
        <v>41</v>
      </c>
      <c r="F173" s="76" t="s">
        <v>46</v>
      </c>
      <c r="G173" s="76" t="s">
        <v>45</v>
      </c>
      <c r="H173" s="74" t="s">
        <v>1025</v>
      </c>
    </row>
    <row r="174" spans="1:8" ht="29" x14ac:dyDescent="0.35">
      <c r="A174" s="75">
        <v>172</v>
      </c>
      <c r="B174" s="76" t="s">
        <v>492</v>
      </c>
      <c r="C174" s="76" t="s">
        <v>503</v>
      </c>
      <c r="D174" s="76" t="s">
        <v>158</v>
      </c>
      <c r="E174" s="76" t="s">
        <v>41</v>
      </c>
      <c r="F174" s="76" t="s">
        <v>46</v>
      </c>
      <c r="G174" s="76" t="s">
        <v>39</v>
      </c>
      <c r="H174" s="74" t="s">
        <v>1026</v>
      </c>
    </row>
    <row r="175" spans="1:8" x14ac:dyDescent="0.35">
      <c r="A175" s="75">
        <v>173</v>
      </c>
      <c r="B175" s="76" t="s">
        <v>492</v>
      </c>
      <c r="C175" s="76" t="s">
        <v>156</v>
      </c>
      <c r="D175" s="76" t="s">
        <v>159</v>
      </c>
      <c r="E175" s="76" t="s">
        <v>41</v>
      </c>
      <c r="F175" s="76" t="s">
        <v>46</v>
      </c>
      <c r="G175" s="76" t="s">
        <v>41</v>
      </c>
      <c r="H175" s="74" t="s">
        <v>1027</v>
      </c>
    </row>
    <row r="176" spans="1:8" x14ac:dyDescent="0.35">
      <c r="A176" s="75">
        <v>174</v>
      </c>
      <c r="B176" s="76" t="s">
        <v>492</v>
      </c>
      <c r="C176" s="76" t="s">
        <v>159</v>
      </c>
      <c r="D176" s="76" t="s">
        <v>162</v>
      </c>
      <c r="E176" s="76" t="s">
        <v>41</v>
      </c>
      <c r="F176" s="76" t="s">
        <v>46</v>
      </c>
      <c r="G176" s="76" t="s">
        <v>40</v>
      </c>
      <c r="H176" s="74" t="s">
        <v>1028</v>
      </c>
    </row>
    <row r="177" spans="1:8" x14ac:dyDescent="0.35">
      <c r="A177" s="75">
        <v>175</v>
      </c>
      <c r="B177" s="76" t="s">
        <v>492</v>
      </c>
      <c r="C177" s="76" t="s">
        <v>162</v>
      </c>
      <c r="D177" s="76" t="s">
        <v>507</v>
      </c>
      <c r="E177" s="76" t="s">
        <v>41</v>
      </c>
      <c r="F177" s="76" t="s">
        <v>46</v>
      </c>
      <c r="G177" s="76" t="s">
        <v>43</v>
      </c>
      <c r="H177" s="74" t="s">
        <v>1029</v>
      </c>
    </row>
    <row r="178" spans="1:8" x14ac:dyDescent="0.35">
      <c r="A178" s="75">
        <v>176</v>
      </c>
      <c r="B178" s="76" t="s">
        <v>492</v>
      </c>
      <c r="C178" s="76" t="s">
        <v>165</v>
      </c>
      <c r="D178" s="76" t="s">
        <v>168</v>
      </c>
      <c r="E178" s="76" t="s">
        <v>41</v>
      </c>
      <c r="F178" s="76" t="s">
        <v>38</v>
      </c>
      <c r="G178" s="76" t="s">
        <v>38</v>
      </c>
      <c r="H178" s="74" t="s">
        <v>1030</v>
      </c>
    </row>
    <row r="179" spans="1:8" x14ac:dyDescent="0.35">
      <c r="A179" s="75">
        <v>177</v>
      </c>
      <c r="B179" s="76" t="s">
        <v>492</v>
      </c>
      <c r="C179" s="76" t="s">
        <v>168</v>
      </c>
      <c r="D179" s="76" t="s">
        <v>173</v>
      </c>
      <c r="E179" s="76" t="s">
        <v>41</v>
      </c>
      <c r="F179" s="76" t="s">
        <v>38</v>
      </c>
      <c r="G179" s="76" t="s">
        <v>9</v>
      </c>
      <c r="H179" s="74" t="s">
        <v>1031</v>
      </c>
    </row>
    <row r="180" spans="1:8" x14ac:dyDescent="0.35">
      <c r="A180" s="75">
        <v>178</v>
      </c>
      <c r="B180" s="76" t="s">
        <v>492</v>
      </c>
      <c r="C180" s="76" t="s">
        <v>173</v>
      </c>
      <c r="D180" s="76" t="s">
        <v>368</v>
      </c>
      <c r="E180" s="76" t="s">
        <v>41</v>
      </c>
      <c r="F180" s="76" t="s">
        <v>38</v>
      </c>
      <c r="G180" s="76" t="s">
        <v>44</v>
      </c>
      <c r="H180" s="74" t="s">
        <v>1032</v>
      </c>
    </row>
    <row r="181" spans="1:8" ht="29" x14ac:dyDescent="0.35">
      <c r="A181" s="75">
        <v>179</v>
      </c>
      <c r="B181" s="76" t="s">
        <v>492</v>
      </c>
      <c r="C181" s="76" t="s">
        <v>368</v>
      </c>
      <c r="D181" s="76" t="s">
        <v>441</v>
      </c>
      <c r="E181" s="76" t="s">
        <v>41</v>
      </c>
      <c r="F181" s="76" t="s">
        <v>38</v>
      </c>
      <c r="G181" s="76" t="s">
        <v>45</v>
      </c>
      <c r="H181" s="74" t="s">
        <v>1033</v>
      </c>
    </row>
    <row r="182" spans="1:8" ht="29" x14ac:dyDescent="0.35">
      <c r="A182" s="75">
        <v>180</v>
      </c>
      <c r="B182" s="76" t="s">
        <v>492</v>
      </c>
      <c r="C182" s="76" t="s">
        <v>177</v>
      </c>
      <c r="D182" s="76" t="s">
        <v>513</v>
      </c>
      <c r="E182" s="76" t="s">
        <v>41</v>
      </c>
      <c r="F182" s="76" t="s">
        <v>38</v>
      </c>
      <c r="G182" s="76" t="s">
        <v>39</v>
      </c>
      <c r="H182" s="74" t="s">
        <v>1034</v>
      </c>
    </row>
    <row r="183" spans="1:8" ht="29" x14ac:dyDescent="0.35">
      <c r="A183" s="75">
        <v>181</v>
      </c>
      <c r="B183" s="76" t="s">
        <v>492</v>
      </c>
      <c r="C183" s="76" t="s">
        <v>179</v>
      </c>
      <c r="D183" s="76" t="s">
        <v>515</v>
      </c>
      <c r="E183" s="76" t="s">
        <v>41</v>
      </c>
      <c r="F183" s="76" t="s">
        <v>38</v>
      </c>
      <c r="G183" s="76" t="s">
        <v>41</v>
      </c>
      <c r="H183" s="74" t="s">
        <v>1035</v>
      </c>
    </row>
    <row r="184" spans="1:8" ht="29" x14ac:dyDescent="0.35">
      <c r="A184" s="75">
        <v>182</v>
      </c>
      <c r="B184" s="76" t="s">
        <v>492</v>
      </c>
      <c r="C184" s="76" t="s">
        <v>182</v>
      </c>
      <c r="D184" s="76" t="s">
        <v>517</v>
      </c>
      <c r="E184" s="76" t="s">
        <v>41</v>
      </c>
      <c r="F184" s="76" t="s">
        <v>38</v>
      </c>
      <c r="G184" s="76" t="s">
        <v>40</v>
      </c>
      <c r="H184" s="74" t="s">
        <v>1036</v>
      </c>
    </row>
    <row r="185" spans="1:8" ht="43.5" x14ac:dyDescent="0.35">
      <c r="A185" s="75">
        <v>183</v>
      </c>
      <c r="B185" s="76" t="s">
        <v>492</v>
      </c>
      <c r="C185" s="76" t="s">
        <v>374</v>
      </c>
      <c r="D185" s="76" t="s">
        <v>186</v>
      </c>
      <c r="E185" s="76" t="s">
        <v>41</v>
      </c>
      <c r="F185" s="76" t="s">
        <v>38</v>
      </c>
      <c r="G185" s="76" t="s">
        <v>43</v>
      </c>
      <c r="H185" s="74" t="s">
        <v>1037</v>
      </c>
    </row>
    <row r="186" spans="1:8" ht="29" x14ac:dyDescent="0.35">
      <c r="A186" s="75">
        <v>184</v>
      </c>
      <c r="B186" s="76" t="s">
        <v>492</v>
      </c>
      <c r="C186" s="76" t="s">
        <v>520</v>
      </c>
      <c r="D186" s="76" t="s">
        <v>190</v>
      </c>
      <c r="E186" s="76" t="s">
        <v>41</v>
      </c>
      <c r="F186" s="76" t="s">
        <v>38</v>
      </c>
      <c r="G186" s="76" t="s">
        <v>46</v>
      </c>
      <c r="H186" s="74" t="s">
        <v>1038</v>
      </c>
    </row>
    <row r="187" spans="1:8" x14ac:dyDescent="0.35">
      <c r="A187" s="75">
        <v>185</v>
      </c>
      <c r="B187" s="76" t="s">
        <v>492</v>
      </c>
      <c r="C187" s="76" t="s">
        <v>522</v>
      </c>
      <c r="D187" s="76" t="s">
        <v>191</v>
      </c>
      <c r="E187" s="76" t="s">
        <v>41</v>
      </c>
      <c r="F187" s="76" t="s">
        <v>9</v>
      </c>
      <c r="G187" s="76" t="s">
        <v>9</v>
      </c>
      <c r="H187" s="74" t="s">
        <v>1039</v>
      </c>
    </row>
    <row r="188" spans="1:8" x14ac:dyDescent="0.35">
      <c r="A188" s="75">
        <v>186</v>
      </c>
      <c r="B188" s="76" t="s">
        <v>492</v>
      </c>
      <c r="C188" s="76" t="s">
        <v>379</v>
      </c>
      <c r="D188" s="76" t="s">
        <v>380</v>
      </c>
      <c r="E188" s="76" t="s">
        <v>41</v>
      </c>
      <c r="F188" s="76" t="s">
        <v>9</v>
      </c>
      <c r="G188" s="76" t="s">
        <v>44</v>
      </c>
      <c r="H188" s="74" t="s">
        <v>1040</v>
      </c>
    </row>
    <row r="189" spans="1:8" ht="29" x14ac:dyDescent="0.35">
      <c r="A189" s="75">
        <v>187</v>
      </c>
      <c r="B189" s="76" t="s">
        <v>492</v>
      </c>
      <c r="C189" s="76" t="s">
        <v>525</v>
      </c>
      <c r="D189" s="76" t="s">
        <v>382</v>
      </c>
      <c r="E189" s="76" t="s">
        <v>41</v>
      </c>
      <c r="F189" s="76" t="s">
        <v>9</v>
      </c>
      <c r="G189" s="76" t="s">
        <v>45</v>
      </c>
      <c r="H189" s="74" t="s">
        <v>1041</v>
      </c>
    </row>
    <row r="190" spans="1:8" x14ac:dyDescent="0.35">
      <c r="A190" s="75">
        <v>188</v>
      </c>
      <c r="B190" s="76" t="s">
        <v>492</v>
      </c>
      <c r="C190" s="76" t="s">
        <v>527</v>
      </c>
      <c r="D190" s="76" t="s">
        <v>197</v>
      </c>
      <c r="E190" s="76" t="s">
        <v>41</v>
      </c>
      <c r="F190" s="76" t="s">
        <v>9</v>
      </c>
      <c r="G190" s="76" t="s">
        <v>39</v>
      </c>
      <c r="H190" s="74" t="s">
        <v>1042</v>
      </c>
    </row>
    <row r="191" spans="1:8" x14ac:dyDescent="0.35">
      <c r="A191" s="75">
        <v>189</v>
      </c>
      <c r="B191" s="76" t="s">
        <v>529</v>
      </c>
      <c r="C191" s="76" t="s">
        <v>143</v>
      </c>
      <c r="D191" s="76" t="s">
        <v>391</v>
      </c>
      <c r="E191" s="76" t="s">
        <v>40</v>
      </c>
      <c r="F191" s="76" t="s">
        <v>9</v>
      </c>
      <c r="G191" s="76" t="s">
        <v>39</v>
      </c>
      <c r="H191" s="74" t="s">
        <v>1043</v>
      </c>
    </row>
    <row r="192" spans="1:8" ht="43.5" x14ac:dyDescent="0.35">
      <c r="A192" s="75">
        <v>190</v>
      </c>
      <c r="B192" s="76" t="s">
        <v>529</v>
      </c>
      <c r="C192" s="76" t="s">
        <v>391</v>
      </c>
      <c r="D192" s="76" t="s">
        <v>148</v>
      </c>
      <c r="E192" s="76" t="s">
        <v>40</v>
      </c>
      <c r="F192" s="76" t="s">
        <v>9</v>
      </c>
      <c r="G192" s="76" t="s">
        <v>41</v>
      </c>
      <c r="H192" s="74" t="s">
        <v>1044</v>
      </c>
    </row>
    <row r="193" spans="1:8" ht="29" x14ac:dyDescent="0.35">
      <c r="A193" s="75">
        <v>191</v>
      </c>
      <c r="B193" s="76" t="s">
        <v>529</v>
      </c>
      <c r="C193" s="76" t="s">
        <v>146</v>
      </c>
      <c r="D193" s="76" t="s">
        <v>206</v>
      </c>
      <c r="E193" s="76" t="s">
        <v>40</v>
      </c>
      <c r="F193" s="76" t="s">
        <v>9</v>
      </c>
      <c r="G193" s="76" t="s">
        <v>40</v>
      </c>
      <c r="H193" s="74" t="s">
        <v>1045</v>
      </c>
    </row>
    <row r="194" spans="1:8" ht="43.5" x14ac:dyDescent="0.35">
      <c r="A194" s="75">
        <v>192</v>
      </c>
      <c r="B194" s="76" t="s">
        <v>529</v>
      </c>
      <c r="C194" s="76" t="s">
        <v>206</v>
      </c>
      <c r="D194" s="76" t="s">
        <v>533</v>
      </c>
      <c r="E194" s="76" t="s">
        <v>40</v>
      </c>
      <c r="F194" s="76" t="s">
        <v>9</v>
      </c>
      <c r="G194" s="76" t="s">
        <v>43</v>
      </c>
      <c r="H194" s="74" t="s">
        <v>1046</v>
      </c>
    </row>
    <row r="195" spans="1:8" ht="29" x14ac:dyDescent="0.35">
      <c r="A195" s="75">
        <v>193</v>
      </c>
      <c r="B195" s="76" t="s">
        <v>529</v>
      </c>
      <c r="C195" s="76" t="s">
        <v>207</v>
      </c>
      <c r="D195" s="76" t="s">
        <v>397</v>
      </c>
      <c r="E195" s="76" t="s">
        <v>40</v>
      </c>
      <c r="F195" s="76" t="s">
        <v>9</v>
      </c>
      <c r="G195" s="76" t="s">
        <v>46</v>
      </c>
      <c r="H195" s="74" t="s">
        <v>1047</v>
      </c>
    </row>
    <row r="196" spans="1:8" ht="29" x14ac:dyDescent="0.35">
      <c r="A196" s="75">
        <v>194</v>
      </c>
      <c r="B196" s="76" t="s">
        <v>529</v>
      </c>
      <c r="C196" s="76" t="s">
        <v>395</v>
      </c>
      <c r="D196" s="76" t="s">
        <v>212</v>
      </c>
      <c r="E196" s="76" t="s">
        <v>40</v>
      </c>
      <c r="F196" s="76" t="s">
        <v>9</v>
      </c>
      <c r="G196" s="76" t="s">
        <v>38</v>
      </c>
      <c r="H196" s="74" t="s">
        <v>1048</v>
      </c>
    </row>
    <row r="197" spans="1:8" ht="29" x14ac:dyDescent="0.35">
      <c r="A197" s="75">
        <v>195</v>
      </c>
      <c r="B197" s="76" t="s">
        <v>529</v>
      </c>
      <c r="C197" s="76" t="s">
        <v>212</v>
      </c>
      <c r="D197" s="76" t="s">
        <v>401</v>
      </c>
      <c r="E197" s="76" t="s">
        <v>40</v>
      </c>
      <c r="F197" s="76" t="s">
        <v>44</v>
      </c>
      <c r="G197" s="76" t="s">
        <v>44</v>
      </c>
      <c r="H197" s="74" t="s">
        <v>1049</v>
      </c>
    </row>
    <row r="198" spans="1:8" ht="58" x14ac:dyDescent="0.35">
      <c r="A198" s="75">
        <v>196</v>
      </c>
      <c r="B198" s="76" t="s">
        <v>529</v>
      </c>
      <c r="C198" s="76" t="s">
        <v>216</v>
      </c>
      <c r="D198" s="76" t="s">
        <v>219</v>
      </c>
      <c r="E198" s="76" t="s">
        <v>40</v>
      </c>
      <c r="F198" s="76" t="s">
        <v>44</v>
      </c>
      <c r="G198" s="76" t="s">
        <v>45</v>
      </c>
      <c r="H198" s="74" t="s">
        <v>1050</v>
      </c>
    </row>
    <row r="199" spans="1:8" ht="29" x14ac:dyDescent="0.35">
      <c r="A199" s="75">
        <v>197</v>
      </c>
      <c r="B199" s="76" t="s">
        <v>529</v>
      </c>
      <c r="C199" s="76" t="s">
        <v>539</v>
      </c>
      <c r="D199" s="76" t="s">
        <v>222</v>
      </c>
      <c r="E199" s="76" t="s">
        <v>40</v>
      </c>
      <c r="F199" s="76" t="s">
        <v>44</v>
      </c>
      <c r="G199" s="76" t="s">
        <v>39</v>
      </c>
      <c r="H199" s="74" t="s">
        <v>1051</v>
      </c>
    </row>
    <row r="200" spans="1:8" ht="43.5" x14ac:dyDescent="0.35">
      <c r="A200" s="75">
        <v>198</v>
      </c>
      <c r="B200" s="76" t="s">
        <v>529</v>
      </c>
      <c r="C200" s="76" t="s">
        <v>220</v>
      </c>
      <c r="D200" s="76" t="s">
        <v>225</v>
      </c>
      <c r="E200" s="76" t="s">
        <v>40</v>
      </c>
      <c r="F200" s="76" t="s">
        <v>44</v>
      </c>
      <c r="G200" s="76" t="s">
        <v>41</v>
      </c>
      <c r="H200" s="74" t="s">
        <v>1052</v>
      </c>
    </row>
    <row r="201" spans="1:8" ht="43.5" x14ac:dyDescent="0.35">
      <c r="A201" s="75">
        <v>199</v>
      </c>
      <c r="B201" s="76" t="s">
        <v>529</v>
      </c>
      <c r="C201" s="76" t="s">
        <v>543</v>
      </c>
      <c r="D201" s="76" t="s">
        <v>228</v>
      </c>
      <c r="E201" s="76" t="s">
        <v>40</v>
      </c>
      <c r="F201" s="76" t="s">
        <v>44</v>
      </c>
      <c r="G201" s="76" t="s">
        <v>40</v>
      </c>
      <c r="H201" s="74" t="s">
        <v>4125</v>
      </c>
    </row>
    <row r="202" spans="1:8" x14ac:dyDescent="0.35">
      <c r="A202" s="75">
        <v>200</v>
      </c>
      <c r="B202" s="76" t="s">
        <v>529</v>
      </c>
      <c r="C202" s="76" t="s">
        <v>545</v>
      </c>
      <c r="D202" s="76" t="s">
        <v>546</v>
      </c>
      <c r="E202" s="76" t="s">
        <v>40</v>
      </c>
      <c r="F202" s="76" t="s">
        <v>44</v>
      </c>
      <c r="G202" s="76" t="s">
        <v>43</v>
      </c>
      <c r="H202" s="74" t="s">
        <v>1053</v>
      </c>
    </row>
    <row r="203" spans="1:8" x14ac:dyDescent="0.35">
      <c r="A203" s="75">
        <v>201</v>
      </c>
      <c r="B203" s="76" t="s">
        <v>529</v>
      </c>
      <c r="C203" s="76" t="s">
        <v>548</v>
      </c>
      <c r="D203" s="76" t="s">
        <v>549</v>
      </c>
      <c r="E203" s="76" t="s">
        <v>40</v>
      </c>
      <c r="F203" s="76" t="s">
        <v>44</v>
      </c>
      <c r="G203" s="76" t="s">
        <v>46</v>
      </c>
      <c r="H203" s="74" t="s">
        <v>1053</v>
      </c>
    </row>
    <row r="204" spans="1:8" ht="29" x14ac:dyDescent="0.35">
      <c r="A204" s="75">
        <v>202</v>
      </c>
      <c r="B204" s="76" t="s">
        <v>529</v>
      </c>
      <c r="C204" s="76" t="s">
        <v>549</v>
      </c>
      <c r="D204" s="76" t="s">
        <v>550</v>
      </c>
      <c r="E204" s="76" t="s">
        <v>40</v>
      </c>
      <c r="F204" s="76" t="s">
        <v>44</v>
      </c>
      <c r="G204" s="76" t="s">
        <v>38</v>
      </c>
      <c r="H204" s="74" t="s">
        <v>1054</v>
      </c>
    </row>
    <row r="205" spans="1:8" ht="43.5" x14ac:dyDescent="0.35">
      <c r="A205" s="75">
        <v>203</v>
      </c>
      <c r="B205" s="76" t="s">
        <v>529</v>
      </c>
      <c r="C205" s="76" t="s">
        <v>235</v>
      </c>
      <c r="D205" s="76" t="s">
        <v>238</v>
      </c>
      <c r="E205" s="76" t="s">
        <v>40</v>
      </c>
      <c r="F205" s="76" t="s">
        <v>44</v>
      </c>
      <c r="G205" s="76" t="s">
        <v>9</v>
      </c>
      <c r="H205" s="74" t="s">
        <v>1055</v>
      </c>
    </row>
    <row r="206" spans="1:8" ht="43.5" x14ac:dyDescent="0.35">
      <c r="A206" s="75">
        <v>204</v>
      </c>
      <c r="B206" s="76" t="s">
        <v>529</v>
      </c>
      <c r="C206" s="76" t="s">
        <v>238</v>
      </c>
      <c r="D206" s="76" t="s">
        <v>242</v>
      </c>
      <c r="E206" s="76" t="s">
        <v>40</v>
      </c>
      <c r="F206" s="76" t="s">
        <v>45</v>
      </c>
      <c r="G206" s="76" t="s">
        <v>45</v>
      </c>
      <c r="H206" s="74" t="s">
        <v>1056</v>
      </c>
    </row>
    <row r="207" spans="1:8" ht="29" x14ac:dyDescent="0.35">
      <c r="A207" s="75">
        <v>205</v>
      </c>
      <c r="B207" s="76" t="s">
        <v>529</v>
      </c>
      <c r="C207" s="76" t="s">
        <v>242</v>
      </c>
      <c r="D207" s="76" t="s">
        <v>243</v>
      </c>
      <c r="E207" s="76" t="s">
        <v>40</v>
      </c>
      <c r="F207" s="76" t="s">
        <v>45</v>
      </c>
      <c r="G207" s="76" t="s">
        <v>39</v>
      </c>
      <c r="H207" s="74" t="s">
        <v>1057</v>
      </c>
    </row>
    <row r="208" spans="1:8" ht="43.5" x14ac:dyDescent="0.35">
      <c r="A208" s="75">
        <v>206</v>
      </c>
      <c r="B208" s="76" t="s">
        <v>529</v>
      </c>
      <c r="C208" s="76" t="s">
        <v>245</v>
      </c>
      <c r="D208" s="76" t="s">
        <v>248</v>
      </c>
      <c r="E208" s="76" t="s">
        <v>40</v>
      </c>
      <c r="F208" s="76" t="s">
        <v>45</v>
      </c>
      <c r="G208" s="76" t="s">
        <v>41</v>
      </c>
      <c r="H208" s="74" t="s">
        <v>1058</v>
      </c>
    </row>
    <row r="209" spans="1:8" ht="29" x14ac:dyDescent="0.35">
      <c r="A209" s="75">
        <v>207</v>
      </c>
      <c r="B209" s="76" t="s">
        <v>529</v>
      </c>
      <c r="C209" s="76" t="s">
        <v>248</v>
      </c>
      <c r="D209" s="76" t="s">
        <v>197</v>
      </c>
      <c r="E209" s="76" t="s">
        <v>40</v>
      </c>
      <c r="F209" s="76" t="s">
        <v>45</v>
      </c>
      <c r="G209" s="76" t="s">
        <v>40</v>
      </c>
      <c r="H209" s="74" t="s">
        <v>1059</v>
      </c>
    </row>
    <row r="210" spans="1:8" x14ac:dyDescent="0.35">
      <c r="A210" s="75">
        <v>208</v>
      </c>
      <c r="B210" s="76" t="s">
        <v>557</v>
      </c>
      <c r="C210" s="76" t="s">
        <v>387</v>
      </c>
      <c r="D210" s="76" t="s">
        <v>252</v>
      </c>
      <c r="E210" s="76" t="s">
        <v>40</v>
      </c>
      <c r="F210" s="76" t="s">
        <v>45</v>
      </c>
      <c r="G210" s="76" t="s">
        <v>43</v>
      </c>
      <c r="H210" s="74" t="s">
        <v>1060</v>
      </c>
    </row>
    <row r="211" spans="1:8" x14ac:dyDescent="0.35">
      <c r="A211" s="75">
        <v>209</v>
      </c>
      <c r="B211" s="76" t="s">
        <v>557</v>
      </c>
      <c r="C211" s="76" t="s">
        <v>252</v>
      </c>
      <c r="D211" s="76" t="s">
        <v>256</v>
      </c>
      <c r="E211" s="76" t="s">
        <v>40</v>
      </c>
      <c r="F211" s="76" t="s">
        <v>45</v>
      </c>
      <c r="G211" s="76" t="s">
        <v>46</v>
      </c>
      <c r="H211" s="74" t="s">
        <v>1061</v>
      </c>
    </row>
    <row r="212" spans="1:8" x14ac:dyDescent="0.35">
      <c r="A212" s="75">
        <v>210</v>
      </c>
      <c r="B212" s="76" t="s">
        <v>557</v>
      </c>
      <c r="C212" s="76" t="s">
        <v>256</v>
      </c>
      <c r="D212" s="76" t="s">
        <v>257</v>
      </c>
      <c r="E212" s="76" t="s">
        <v>40</v>
      </c>
      <c r="F212" s="76" t="s">
        <v>45</v>
      </c>
      <c r="G212" s="76" t="s">
        <v>38</v>
      </c>
      <c r="H212" s="74" t="s">
        <v>1062</v>
      </c>
    </row>
    <row r="213" spans="1:8" x14ac:dyDescent="0.35">
      <c r="A213" s="75">
        <v>211</v>
      </c>
      <c r="B213" s="76" t="s">
        <v>557</v>
      </c>
      <c r="C213" s="76" t="s">
        <v>561</v>
      </c>
      <c r="D213" s="76" t="s">
        <v>261</v>
      </c>
      <c r="E213" s="76" t="s">
        <v>40</v>
      </c>
      <c r="F213" s="76" t="s">
        <v>45</v>
      </c>
      <c r="G213" s="76" t="s">
        <v>9</v>
      </c>
      <c r="H213" s="74" t="s">
        <v>1063</v>
      </c>
    </row>
    <row r="214" spans="1:8" x14ac:dyDescent="0.35">
      <c r="A214" s="75">
        <v>212</v>
      </c>
      <c r="B214" s="76" t="s">
        <v>557</v>
      </c>
      <c r="C214" s="76" t="s">
        <v>154</v>
      </c>
      <c r="D214" s="76" t="s">
        <v>563</v>
      </c>
      <c r="E214" s="76" t="s">
        <v>40</v>
      </c>
      <c r="F214" s="76" t="s">
        <v>45</v>
      </c>
      <c r="G214" s="76" t="s">
        <v>44</v>
      </c>
      <c r="H214" s="74" t="s">
        <v>1064</v>
      </c>
    </row>
    <row r="215" spans="1:8" ht="29" x14ac:dyDescent="0.35">
      <c r="A215" s="75">
        <v>213</v>
      </c>
      <c r="B215" s="76" t="s">
        <v>557</v>
      </c>
      <c r="C215" s="76" t="s">
        <v>563</v>
      </c>
      <c r="D215" s="76" t="s">
        <v>264</v>
      </c>
      <c r="E215" s="76" t="s">
        <v>40</v>
      </c>
      <c r="F215" s="76" t="s">
        <v>39</v>
      </c>
      <c r="G215" s="76" t="s">
        <v>39</v>
      </c>
      <c r="H215" s="74" t="s">
        <v>1065</v>
      </c>
    </row>
    <row r="216" spans="1:8" ht="29" x14ac:dyDescent="0.35">
      <c r="A216" s="75">
        <v>214</v>
      </c>
      <c r="B216" s="76" t="s">
        <v>557</v>
      </c>
      <c r="C216" s="76" t="s">
        <v>266</v>
      </c>
      <c r="D216" s="76" t="s">
        <v>267</v>
      </c>
      <c r="E216" s="76" t="s">
        <v>40</v>
      </c>
      <c r="F216" s="76" t="s">
        <v>39</v>
      </c>
      <c r="G216" s="76" t="s">
        <v>41</v>
      </c>
      <c r="H216" s="74" t="s">
        <v>3988</v>
      </c>
    </row>
    <row r="217" spans="1:8" x14ac:dyDescent="0.35">
      <c r="A217" s="75">
        <v>215</v>
      </c>
      <c r="B217" s="76" t="s">
        <v>557</v>
      </c>
      <c r="C217" s="76" t="s">
        <v>267</v>
      </c>
      <c r="D217" s="76" t="s">
        <v>566</v>
      </c>
      <c r="E217" s="76" t="s">
        <v>40</v>
      </c>
      <c r="F217" s="76" t="s">
        <v>39</v>
      </c>
      <c r="G217" s="76" t="s">
        <v>40</v>
      </c>
      <c r="H217" s="74" t="s">
        <v>1066</v>
      </c>
    </row>
    <row r="218" spans="1:8" x14ac:dyDescent="0.35">
      <c r="A218" s="75">
        <v>216</v>
      </c>
      <c r="B218" s="76" t="s">
        <v>557</v>
      </c>
      <c r="C218" s="76" t="s">
        <v>435</v>
      </c>
      <c r="D218" s="76" t="s">
        <v>272</v>
      </c>
      <c r="E218" s="76" t="s">
        <v>40</v>
      </c>
      <c r="F218" s="76" t="s">
        <v>39</v>
      </c>
      <c r="G218" s="76" t="s">
        <v>43</v>
      </c>
      <c r="H218" s="74" t="s">
        <v>1067</v>
      </c>
    </row>
    <row r="219" spans="1:8" x14ac:dyDescent="0.35">
      <c r="A219" s="75">
        <v>217</v>
      </c>
      <c r="B219" s="76" t="s">
        <v>557</v>
      </c>
      <c r="C219" s="76" t="s">
        <v>438</v>
      </c>
      <c r="D219" s="76" t="s">
        <v>274</v>
      </c>
      <c r="E219" s="76" t="s">
        <v>40</v>
      </c>
      <c r="F219" s="76" t="s">
        <v>39</v>
      </c>
      <c r="G219" s="76" t="s">
        <v>46</v>
      </c>
      <c r="H219" s="74" t="s">
        <v>1068</v>
      </c>
    </row>
    <row r="220" spans="1:8" x14ac:dyDescent="0.35">
      <c r="A220" s="75">
        <v>218</v>
      </c>
      <c r="B220" s="76" t="s">
        <v>557</v>
      </c>
      <c r="C220" s="76" t="s">
        <v>274</v>
      </c>
      <c r="D220" s="76" t="s">
        <v>276</v>
      </c>
      <c r="E220" s="76" t="s">
        <v>40</v>
      </c>
      <c r="F220" s="76" t="s">
        <v>39</v>
      </c>
      <c r="G220" s="76" t="s">
        <v>38</v>
      </c>
      <c r="H220" s="74" t="s">
        <v>1069</v>
      </c>
    </row>
    <row r="221" spans="1:8" ht="29" x14ac:dyDescent="0.35">
      <c r="A221" s="75">
        <v>219</v>
      </c>
      <c r="B221" s="76" t="s">
        <v>557</v>
      </c>
      <c r="C221" s="76" t="s">
        <v>276</v>
      </c>
      <c r="D221" s="76" t="s">
        <v>177</v>
      </c>
      <c r="E221" s="76" t="s">
        <v>40</v>
      </c>
      <c r="F221" s="76" t="s">
        <v>39</v>
      </c>
      <c r="G221" s="76" t="s">
        <v>9</v>
      </c>
      <c r="H221" s="74" t="s">
        <v>1070</v>
      </c>
    </row>
    <row r="222" spans="1:8" x14ac:dyDescent="0.35">
      <c r="A222" s="75">
        <v>220</v>
      </c>
      <c r="B222" s="76" t="s">
        <v>557</v>
      </c>
      <c r="C222" s="76" t="s">
        <v>441</v>
      </c>
      <c r="D222" s="76" t="s">
        <v>282</v>
      </c>
      <c r="E222" s="76" t="s">
        <v>40</v>
      </c>
      <c r="F222" s="76" t="s">
        <v>39</v>
      </c>
      <c r="G222" s="76" t="s">
        <v>44</v>
      </c>
      <c r="H222" s="74" t="s">
        <v>1071</v>
      </c>
    </row>
    <row r="223" spans="1:8" ht="29" x14ac:dyDescent="0.35">
      <c r="A223" s="75">
        <v>221</v>
      </c>
      <c r="B223" s="76" t="s">
        <v>557</v>
      </c>
      <c r="C223" s="76" t="s">
        <v>280</v>
      </c>
      <c r="D223" s="76" t="s">
        <v>446</v>
      </c>
      <c r="E223" s="76" t="s">
        <v>40</v>
      </c>
      <c r="F223" s="76" t="s">
        <v>39</v>
      </c>
      <c r="G223" s="76" t="s">
        <v>45</v>
      </c>
      <c r="H223" s="74" t="s">
        <v>1072</v>
      </c>
    </row>
    <row r="224" spans="1:8" ht="29" x14ac:dyDescent="0.35">
      <c r="A224" s="75">
        <v>222</v>
      </c>
      <c r="B224" s="76" t="s">
        <v>557</v>
      </c>
      <c r="C224" s="76" t="s">
        <v>446</v>
      </c>
      <c r="D224" s="76" t="s">
        <v>287</v>
      </c>
      <c r="E224" s="76" t="s">
        <v>40</v>
      </c>
      <c r="F224" s="76" t="s">
        <v>41</v>
      </c>
      <c r="G224" s="76" t="s">
        <v>41</v>
      </c>
      <c r="H224" s="74" t="s">
        <v>1073</v>
      </c>
    </row>
    <row r="225" spans="1:8" x14ac:dyDescent="0.35">
      <c r="A225" s="75">
        <v>223</v>
      </c>
      <c r="B225" s="76" t="s">
        <v>557</v>
      </c>
      <c r="C225" s="76" t="s">
        <v>575</v>
      </c>
      <c r="D225" s="76" t="s">
        <v>290</v>
      </c>
      <c r="E225" s="76" t="s">
        <v>40</v>
      </c>
      <c r="F225" s="76" t="s">
        <v>41</v>
      </c>
      <c r="G225" s="76" t="s">
        <v>40</v>
      </c>
      <c r="H225" s="74" t="s">
        <v>1074</v>
      </c>
    </row>
    <row r="226" spans="1:8" ht="29" x14ac:dyDescent="0.35">
      <c r="A226" s="75">
        <v>224</v>
      </c>
      <c r="B226" s="76" t="s">
        <v>557</v>
      </c>
      <c r="C226" s="76" t="s">
        <v>577</v>
      </c>
      <c r="D226" s="76" t="s">
        <v>293</v>
      </c>
      <c r="E226" s="76" t="s">
        <v>40</v>
      </c>
      <c r="F226" s="76" t="s">
        <v>41</v>
      </c>
      <c r="G226" s="76" t="s">
        <v>43</v>
      </c>
      <c r="H226" s="74" t="s">
        <v>1075</v>
      </c>
    </row>
    <row r="227" spans="1:8" x14ac:dyDescent="0.35">
      <c r="A227" s="75">
        <v>225</v>
      </c>
      <c r="B227" s="76" t="s">
        <v>557</v>
      </c>
      <c r="C227" s="76" t="s">
        <v>293</v>
      </c>
      <c r="D227" s="76" t="s">
        <v>451</v>
      </c>
      <c r="E227" s="76" t="s">
        <v>40</v>
      </c>
      <c r="F227" s="76" t="s">
        <v>41</v>
      </c>
      <c r="G227" s="76" t="s">
        <v>46</v>
      </c>
      <c r="H227" s="74" t="s">
        <v>1076</v>
      </c>
    </row>
    <row r="228" spans="1:8" ht="29" x14ac:dyDescent="0.35">
      <c r="A228" s="75">
        <v>226</v>
      </c>
      <c r="B228" s="76" t="s">
        <v>557</v>
      </c>
      <c r="C228" s="76" t="s">
        <v>294</v>
      </c>
      <c r="D228" s="76" t="s">
        <v>297</v>
      </c>
      <c r="E228" s="76" t="s">
        <v>40</v>
      </c>
      <c r="F228" s="76" t="s">
        <v>41</v>
      </c>
      <c r="G228" s="76" t="s">
        <v>38</v>
      </c>
      <c r="H228" s="74" t="s">
        <v>1077</v>
      </c>
    </row>
    <row r="229" spans="1:8" ht="29" x14ac:dyDescent="0.35">
      <c r="A229" s="75">
        <v>227</v>
      </c>
      <c r="B229" s="76" t="s">
        <v>557</v>
      </c>
      <c r="C229" s="76" t="s">
        <v>297</v>
      </c>
      <c r="D229" s="76" t="s">
        <v>299</v>
      </c>
      <c r="E229" s="76" t="s">
        <v>40</v>
      </c>
      <c r="F229" s="76" t="s">
        <v>41</v>
      </c>
      <c r="G229" s="76" t="s">
        <v>9</v>
      </c>
      <c r="H229" s="74" t="s">
        <v>1078</v>
      </c>
    </row>
    <row r="230" spans="1:8" x14ac:dyDescent="0.35">
      <c r="A230" s="75">
        <v>228</v>
      </c>
      <c r="B230" s="76" t="s">
        <v>557</v>
      </c>
      <c r="C230" s="76" t="s">
        <v>582</v>
      </c>
      <c r="D230" s="76" t="s">
        <v>197</v>
      </c>
      <c r="E230" s="76" t="s">
        <v>40</v>
      </c>
      <c r="F230" s="76" t="s">
        <v>41</v>
      </c>
      <c r="G230" s="76" t="s">
        <v>44</v>
      </c>
      <c r="H230" s="74" t="s">
        <v>1079</v>
      </c>
    </row>
    <row r="231" spans="1:8" x14ac:dyDescent="0.35">
      <c r="A231" s="75">
        <v>229</v>
      </c>
      <c r="B231" s="76" t="s">
        <v>584</v>
      </c>
      <c r="C231" s="76" t="s">
        <v>143</v>
      </c>
      <c r="D231" s="76" t="s">
        <v>303</v>
      </c>
      <c r="E231" s="76" t="s">
        <v>41</v>
      </c>
      <c r="F231" s="76" t="s">
        <v>41</v>
      </c>
      <c r="G231" s="76" t="s">
        <v>44</v>
      </c>
      <c r="H231" s="74" t="s">
        <v>1080</v>
      </c>
    </row>
    <row r="232" spans="1:8" x14ac:dyDescent="0.35">
      <c r="A232" s="75">
        <v>230</v>
      </c>
      <c r="B232" s="76" t="s">
        <v>584</v>
      </c>
      <c r="C232" s="76" t="s">
        <v>303</v>
      </c>
      <c r="D232" s="76" t="s">
        <v>305</v>
      </c>
      <c r="E232" s="76" t="s">
        <v>41</v>
      </c>
      <c r="F232" s="76" t="s">
        <v>41</v>
      </c>
      <c r="G232" s="76" t="s">
        <v>45</v>
      </c>
      <c r="H232" s="74" t="s">
        <v>1081</v>
      </c>
    </row>
    <row r="233" spans="1:8" ht="29" x14ac:dyDescent="0.35">
      <c r="A233" s="75">
        <v>231</v>
      </c>
      <c r="B233" s="76" t="s">
        <v>584</v>
      </c>
      <c r="C233" s="76" t="s">
        <v>305</v>
      </c>
      <c r="D233" s="76" t="s">
        <v>461</v>
      </c>
      <c r="E233" s="76" t="s">
        <v>41</v>
      </c>
      <c r="F233" s="76" t="s">
        <v>41</v>
      </c>
      <c r="G233" s="76" t="s">
        <v>39</v>
      </c>
      <c r="H233" s="74" t="s">
        <v>1082</v>
      </c>
    </row>
    <row r="234" spans="1:8" x14ac:dyDescent="0.35">
      <c r="A234" s="75">
        <v>232</v>
      </c>
      <c r="B234" s="76" t="s">
        <v>584</v>
      </c>
      <c r="C234" s="76" t="s">
        <v>310</v>
      </c>
      <c r="D234" s="76" t="s">
        <v>311</v>
      </c>
      <c r="E234" s="76" t="s">
        <v>41</v>
      </c>
      <c r="F234" s="76" t="s">
        <v>40</v>
      </c>
      <c r="G234" s="76" t="s">
        <v>40</v>
      </c>
      <c r="H234" s="74" t="s">
        <v>1083</v>
      </c>
    </row>
    <row r="235" spans="1:8" x14ac:dyDescent="0.35">
      <c r="A235" s="75">
        <v>233</v>
      </c>
      <c r="B235" s="76" t="s">
        <v>584</v>
      </c>
      <c r="C235" s="76" t="s">
        <v>589</v>
      </c>
      <c r="D235" s="76" t="s">
        <v>307</v>
      </c>
      <c r="E235" s="76" t="s">
        <v>41</v>
      </c>
      <c r="F235" s="76" t="s">
        <v>40</v>
      </c>
      <c r="G235" s="76" t="s">
        <v>43</v>
      </c>
      <c r="H235" s="74" t="s">
        <v>1084</v>
      </c>
    </row>
    <row r="236" spans="1:8" ht="29" x14ac:dyDescent="0.35">
      <c r="A236" s="75">
        <v>234</v>
      </c>
      <c r="B236" s="76" t="s">
        <v>584</v>
      </c>
      <c r="C236" s="76" t="s">
        <v>591</v>
      </c>
      <c r="D236" s="76" t="s">
        <v>316</v>
      </c>
      <c r="E236" s="76" t="s">
        <v>41</v>
      </c>
      <c r="F236" s="76" t="s">
        <v>40</v>
      </c>
      <c r="G236" s="76" t="s">
        <v>46</v>
      </c>
      <c r="H236" s="74" t="s">
        <v>1085</v>
      </c>
    </row>
    <row r="237" spans="1:8" x14ac:dyDescent="0.35">
      <c r="A237" s="75">
        <v>235</v>
      </c>
      <c r="B237" s="76" t="s">
        <v>584</v>
      </c>
      <c r="C237" s="76" t="s">
        <v>316</v>
      </c>
      <c r="D237" s="76" t="s">
        <v>593</v>
      </c>
      <c r="E237" s="76" t="s">
        <v>41</v>
      </c>
      <c r="F237" s="76" t="s">
        <v>40</v>
      </c>
      <c r="G237" s="76" t="s">
        <v>38</v>
      </c>
      <c r="H237" s="74" t="s">
        <v>1086</v>
      </c>
    </row>
    <row r="238" spans="1:8" x14ac:dyDescent="0.35">
      <c r="A238" s="75">
        <v>236</v>
      </c>
      <c r="B238" s="76" t="s">
        <v>584</v>
      </c>
      <c r="C238" s="76" t="s">
        <v>319</v>
      </c>
      <c r="D238" s="76" t="s">
        <v>470</v>
      </c>
      <c r="E238" s="76" t="s">
        <v>41</v>
      </c>
      <c r="F238" s="76" t="s">
        <v>40</v>
      </c>
      <c r="G238" s="76" t="s">
        <v>9</v>
      </c>
      <c r="H238" s="74" t="s">
        <v>1087</v>
      </c>
    </row>
    <row r="239" spans="1:8" x14ac:dyDescent="0.35">
      <c r="A239" s="75">
        <v>237</v>
      </c>
      <c r="B239" s="76" t="s">
        <v>584</v>
      </c>
      <c r="C239" s="76" t="s">
        <v>470</v>
      </c>
      <c r="D239" s="76" t="s">
        <v>471</v>
      </c>
      <c r="E239" s="76" t="s">
        <v>41</v>
      </c>
      <c r="F239" s="76" t="s">
        <v>40</v>
      </c>
      <c r="G239" s="76" t="s">
        <v>44</v>
      </c>
      <c r="H239" s="74" t="s">
        <v>1088</v>
      </c>
    </row>
    <row r="240" spans="1:8" x14ac:dyDescent="0.35">
      <c r="A240" s="75">
        <v>238</v>
      </c>
      <c r="B240" s="76" t="s">
        <v>584</v>
      </c>
      <c r="C240" s="76" t="s">
        <v>471</v>
      </c>
      <c r="D240" s="76" t="s">
        <v>597</v>
      </c>
      <c r="E240" s="76" t="s">
        <v>41</v>
      </c>
      <c r="F240" s="76" t="s">
        <v>40</v>
      </c>
      <c r="G240" s="76" t="s">
        <v>45</v>
      </c>
      <c r="H240" s="74" t="s">
        <v>1089</v>
      </c>
    </row>
    <row r="241" spans="1:8" ht="29" x14ac:dyDescent="0.35">
      <c r="A241" s="75">
        <v>239</v>
      </c>
      <c r="B241" s="76" t="s">
        <v>584</v>
      </c>
      <c r="C241" s="76" t="s">
        <v>328</v>
      </c>
      <c r="D241" s="76" t="s">
        <v>329</v>
      </c>
      <c r="E241" s="76" t="s">
        <v>41</v>
      </c>
      <c r="F241" s="76" t="s">
        <v>40</v>
      </c>
      <c r="G241" s="76" t="s">
        <v>39</v>
      </c>
      <c r="H241" s="74" t="s">
        <v>1090</v>
      </c>
    </row>
    <row r="242" spans="1:8" ht="43.5" x14ac:dyDescent="0.35">
      <c r="A242" s="75">
        <v>240</v>
      </c>
      <c r="B242" s="76" t="s">
        <v>584</v>
      </c>
      <c r="C242" s="76" t="s">
        <v>475</v>
      </c>
      <c r="D242" s="76" t="s">
        <v>600</v>
      </c>
      <c r="E242" s="76" t="s">
        <v>41</v>
      </c>
      <c r="F242" s="76" t="s">
        <v>40</v>
      </c>
      <c r="G242" s="76" t="s">
        <v>41</v>
      </c>
      <c r="H242" s="74" t="s">
        <v>1091</v>
      </c>
    </row>
    <row r="243" spans="1:8" ht="29" x14ac:dyDescent="0.35">
      <c r="A243" s="75">
        <v>241</v>
      </c>
      <c r="B243" s="76" t="s">
        <v>584</v>
      </c>
      <c r="C243" s="76" t="s">
        <v>331</v>
      </c>
      <c r="D243" s="76" t="s">
        <v>479</v>
      </c>
      <c r="E243" s="76" t="s">
        <v>41</v>
      </c>
      <c r="F243" s="76" t="s">
        <v>43</v>
      </c>
      <c r="G243" s="76" t="s">
        <v>43</v>
      </c>
      <c r="H243" s="74" t="s">
        <v>1092</v>
      </c>
    </row>
    <row r="244" spans="1:8" ht="29" x14ac:dyDescent="0.35">
      <c r="A244" s="75">
        <v>242</v>
      </c>
      <c r="B244" s="76" t="s">
        <v>584</v>
      </c>
      <c r="C244" s="76" t="s">
        <v>481</v>
      </c>
      <c r="D244" s="76" t="s">
        <v>482</v>
      </c>
      <c r="E244" s="76" t="s">
        <v>41</v>
      </c>
      <c r="F244" s="76" t="s">
        <v>43</v>
      </c>
      <c r="G244" s="76" t="s">
        <v>46</v>
      </c>
      <c r="H244" s="74" t="s">
        <v>1093</v>
      </c>
    </row>
    <row r="245" spans="1:8" ht="43.5" x14ac:dyDescent="0.35">
      <c r="A245" s="75">
        <v>243</v>
      </c>
      <c r="B245" s="76" t="s">
        <v>584</v>
      </c>
      <c r="C245" s="76" t="s">
        <v>482</v>
      </c>
      <c r="D245" s="76" t="s">
        <v>604</v>
      </c>
      <c r="E245" s="76" t="s">
        <v>41</v>
      </c>
      <c r="F245" s="76" t="s">
        <v>43</v>
      </c>
      <c r="G245" s="76" t="s">
        <v>38</v>
      </c>
      <c r="H245" s="74" t="s">
        <v>1094</v>
      </c>
    </row>
    <row r="246" spans="1:8" x14ac:dyDescent="0.35">
      <c r="A246" s="75">
        <v>244</v>
      </c>
      <c r="B246" s="76" t="s">
        <v>584</v>
      </c>
      <c r="C246" s="76" t="s">
        <v>485</v>
      </c>
      <c r="D246" s="76" t="s">
        <v>606</v>
      </c>
      <c r="E246" s="76" t="s">
        <v>41</v>
      </c>
      <c r="F246" s="76" t="s">
        <v>43</v>
      </c>
      <c r="G246" s="76" t="s">
        <v>9</v>
      </c>
      <c r="H246" s="74" t="s">
        <v>1095</v>
      </c>
    </row>
    <row r="247" spans="1:8" x14ac:dyDescent="0.35">
      <c r="A247" s="75">
        <v>245</v>
      </c>
      <c r="B247" s="76" t="s">
        <v>584</v>
      </c>
      <c r="C247" s="76" t="s">
        <v>606</v>
      </c>
      <c r="D247" s="76" t="s">
        <v>411</v>
      </c>
      <c r="E247" s="76" t="s">
        <v>41</v>
      </c>
      <c r="F247" s="76" t="s">
        <v>43</v>
      </c>
      <c r="G247" s="76" t="s">
        <v>44</v>
      </c>
      <c r="H247" s="74" t="s">
        <v>1096</v>
      </c>
    </row>
    <row r="248" spans="1:8" ht="43.5" x14ac:dyDescent="0.35">
      <c r="A248" s="75">
        <v>246</v>
      </c>
      <c r="B248" s="76" t="s">
        <v>584</v>
      </c>
      <c r="C248" s="76" t="s">
        <v>411</v>
      </c>
      <c r="D248" s="76" t="s">
        <v>345</v>
      </c>
      <c r="E248" s="76" t="s">
        <v>41</v>
      </c>
      <c r="F248" s="76" t="s">
        <v>43</v>
      </c>
      <c r="G248" s="76" t="s">
        <v>45</v>
      </c>
      <c r="H248" s="74" t="s">
        <v>1097</v>
      </c>
    </row>
    <row r="249" spans="1:8" ht="29" x14ac:dyDescent="0.35">
      <c r="A249" s="75">
        <v>247</v>
      </c>
      <c r="B249" s="76" t="s">
        <v>584</v>
      </c>
      <c r="C249" s="76" t="s">
        <v>242</v>
      </c>
      <c r="D249" s="76" t="s">
        <v>610</v>
      </c>
      <c r="E249" s="76" t="s">
        <v>41</v>
      </c>
      <c r="F249" s="76" t="s">
        <v>43</v>
      </c>
      <c r="G249" s="76" t="s">
        <v>39</v>
      </c>
      <c r="H249" s="74" t="s">
        <v>1098</v>
      </c>
    </row>
    <row r="250" spans="1:8" ht="58" x14ac:dyDescent="0.35">
      <c r="A250" s="75">
        <v>248</v>
      </c>
      <c r="B250" s="76" t="s">
        <v>584</v>
      </c>
      <c r="C250" s="76" t="s">
        <v>243</v>
      </c>
      <c r="D250" s="76" t="s">
        <v>248</v>
      </c>
      <c r="E250" s="76" t="s">
        <v>41</v>
      </c>
      <c r="F250" s="76" t="s">
        <v>43</v>
      </c>
      <c r="G250" s="76" t="s">
        <v>612</v>
      </c>
      <c r="H250" s="74" t="s">
        <v>3796</v>
      </c>
    </row>
    <row r="251" spans="1:8" ht="43.5" x14ac:dyDescent="0.35">
      <c r="A251" s="75">
        <v>249</v>
      </c>
      <c r="B251" s="76" t="s">
        <v>584</v>
      </c>
      <c r="C251" s="76" t="s">
        <v>614</v>
      </c>
      <c r="D251" s="76" t="s">
        <v>249</v>
      </c>
      <c r="E251" s="76" t="s">
        <v>41</v>
      </c>
      <c r="F251" s="76" t="s">
        <v>43</v>
      </c>
      <c r="G251" s="76" t="s">
        <v>40</v>
      </c>
      <c r="H251" s="74" t="s">
        <v>1099</v>
      </c>
    </row>
  </sheetData>
  <mergeCells count="1">
    <mergeCell ref="C1:E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B399-460F-4D50-9528-B1A7F91CB0D4}">
  <dimension ref="A1:K252"/>
  <sheetViews>
    <sheetView topLeftCell="A61" workbookViewId="0">
      <selection activeCell="J8" sqref="J8"/>
    </sheetView>
  </sheetViews>
  <sheetFormatPr defaultRowHeight="14.5" x14ac:dyDescent="0.35"/>
  <cols>
    <col min="2" max="2" width="17.7265625" customWidth="1"/>
    <col min="3" max="3" width="22.26953125" customWidth="1"/>
    <col min="4" max="8" width="17.7265625" customWidth="1"/>
    <col min="9" max="9" width="15" customWidth="1"/>
  </cols>
  <sheetData>
    <row r="1" spans="1:11" ht="17" x14ac:dyDescent="0.35">
      <c r="A1" s="305" t="s">
        <v>3475</v>
      </c>
      <c r="B1" s="305"/>
      <c r="C1" s="305"/>
      <c r="D1" s="305"/>
      <c r="E1" s="305"/>
      <c r="F1" s="305"/>
      <c r="G1" s="305"/>
      <c r="H1" s="305"/>
    </row>
    <row r="2" spans="1:11" ht="17" x14ac:dyDescent="0.35">
      <c r="A2" s="306" t="s">
        <v>3476</v>
      </c>
      <c r="B2" s="306"/>
      <c r="C2" s="306"/>
      <c r="D2" s="306"/>
      <c r="E2" s="306"/>
      <c r="F2" s="306"/>
      <c r="G2" s="306"/>
      <c r="H2" s="306"/>
    </row>
    <row r="3" spans="1:11" ht="31" x14ac:dyDescent="0.5">
      <c r="A3" s="69" t="s">
        <v>3477</v>
      </c>
      <c r="B3" s="69" t="s">
        <v>3478</v>
      </c>
      <c r="C3" s="69" t="s">
        <v>3369</v>
      </c>
      <c r="D3" s="69" t="s">
        <v>3479</v>
      </c>
      <c r="E3" s="69" t="s">
        <v>3480</v>
      </c>
      <c r="F3" s="69" t="s">
        <v>3481</v>
      </c>
      <c r="G3" s="69" t="s">
        <v>3482</v>
      </c>
      <c r="H3" s="69" t="s">
        <v>3483</v>
      </c>
      <c r="I3" s="109" t="s">
        <v>3285</v>
      </c>
      <c r="J3" s="31">
        <v>9</v>
      </c>
      <c r="K3" s="31"/>
    </row>
    <row r="4" spans="1:11" ht="21" x14ac:dyDescent="0.5">
      <c r="A4" s="70">
        <v>1</v>
      </c>
      <c r="B4" s="69" t="s">
        <v>3484</v>
      </c>
      <c r="C4" s="69" t="s">
        <v>71</v>
      </c>
      <c r="D4" s="69" t="s">
        <v>3485</v>
      </c>
      <c r="E4" s="69" t="s">
        <v>3486</v>
      </c>
      <c r="F4" s="69" t="s">
        <v>3487</v>
      </c>
      <c r="G4" s="69" t="s">
        <v>3488</v>
      </c>
      <c r="H4" s="69" t="s">
        <v>3488</v>
      </c>
      <c r="I4" s="31" t="s">
        <v>3932</v>
      </c>
      <c r="J4" s="31">
        <v>27</v>
      </c>
      <c r="K4" s="31"/>
    </row>
    <row r="5" spans="1:11" ht="21" x14ac:dyDescent="0.5">
      <c r="A5" s="70">
        <v>2</v>
      </c>
      <c r="B5" s="69" t="s">
        <v>3484</v>
      </c>
      <c r="C5" s="69" t="s">
        <v>71</v>
      </c>
      <c r="D5" s="69" t="s">
        <v>3486</v>
      </c>
      <c r="E5" s="69" t="s">
        <v>3489</v>
      </c>
      <c r="F5" s="69" t="s">
        <v>3487</v>
      </c>
      <c r="G5" s="69" t="s">
        <v>3488</v>
      </c>
      <c r="H5" s="69" t="s">
        <v>3490</v>
      </c>
      <c r="I5" s="31" t="s">
        <v>3933</v>
      </c>
      <c r="J5" s="31">
        <f>9*27</f>
        <v>243</v>
      </c>
      <c r="K5" s="31"/>
    </row>
    <row r="6" spans="1:11" ht="21" x14ac:dyDescent="0.5">
      <c r="A6" s="70">
        <v>3</v>
      </c>
      <c r="B6" s="69" t="s">
        <v>3484</v>
      </c>
      <c r="C6" s="69" t="s">
        <v>71</v>
      </c>
      <c r="D6" s="69" t="s">
        <v>3491</v>
      </c>
      <c r="E6" s="69" t="s">
        <v>3492</v>
      </c>
      <c r="F6" s="69" t="s">
        <v>3487</v>
      </c>
      <c r="G6" s="69" t="s">
        <v>3488</v>
      </c>
      <c r="H6" s="69" t="s">
        <v>3493</v>
      </c>
      <c r="I6" s="31" t="s">
        <v>3934</v>
      </c>
      <c r="J6" s="31">
        <v>3</v>
      </c>
      <c r="K6" s="31"/>
    </row>
    <row r="7" spans="1:11" ht="21" x14ac:dyDescent="0.5">
      <c r="A7" s="70">
        <v>4</v>
      </c>
      <c r="B7" s="69" t="s">
        <v>3484</v>
      </c>
      <c r="C7" s="69" t="s">
        <v>71</v>
      </c>
      <c r="D7" s="69" t="s">
        <v>3494</v>
      </c>
      <c r="E7" s="69" t="s">
        <v>3495</v>
      </c>
      <c r="F7" s="69" t="s">
        <v>3487</v>
      </c>
      <c r="G7" s="69" t="s">
        <v>3488</v>
      </c>
      <c r="H7" s="69" t="s">
        <v>3496</v>
      </c>
      <c r="I7" s="31" t="s">
        <v>3935</v>
      </c>
      <c r="J7" s="31">
        <v>3</v>
      </c>
      <c r="K7" s="31"/>
    </row>
    <row r="8" spans="1:11" ht="21" x14ac:dyDescent="0.5">
      <c r="A8" s="70">
        <v>5</v>
      </c>
      <c r="B8" s="69" t="s">
        <v>3484</v>
      </c>
      <c r="C8" s="69" t="s">
        <v>71</v>
      </c>
      <c r="D8" s="69" t="s">
        <v>3497</v>
      </c>
      <c r="E8" s="69" t="s">
        <v>3498</v>
      </c>
      <c r="F8" s="69" t="s">
        <v>3487</v>
      </c>
      <c r="G8" s="69" t="s">
        <v>3488</v>
      </c>
      <c r="H8" s="69" t="s">
        <v>3487</v>
      </c>
      <c r="I8" s="31" t="s">
        <v>3933</v>
      </c>
      <c r="J8" s="31">
        <f>J5+J6+J7</f>
        <v>249</v>
      </c>
      <c r="K8" s="31"/>
    </row>
    <row r="9" spans="1:11" ht="15.5" x14ac:dyDescent="0.35">
      <c r="A9" s="70">
        <v>6</v>
      </c>
      <c r="B9" s="69" t="s">
        <v>3484</v>
      </c>
      <c r="C9" s="69" t="s">
        <v>71</v>
      </c>
      <c r="D9" s="69" t="s">
        <v>3499</v>
      </c>
      <c r="E9" s="69" t="s">
        <v>3500</v>
      </c>
      <c r="F9" s="69" t="s">
        <v>3487</v>
      </c>
      <c r="G9" s="69" t="s">
        <v>3488</v>
      </c>
      <c r="H9" s="69" t="s">
        <v>3501</v>
      </c>
    </row>
    <row r="10" spans="1:11" ht="15.5" x14ac:dyDescent="0.35">
      <c r="A10" s="70">
        <v>7</v>
      </c>
      <c r="B10" s="69" t="s">
        <v>3484</v>
      </c>
      <c r="C10" s="69" t="s">
        <v>71</v>
      </c>
      <c r="D10" s="69" t="s">
        <v>3502</v>
      </c>
      <c r="E10" s="69" t="s">
        <v>3503</v>
      </c>
      <c r="F10" s="69" t="s">
        <v>3487</v>
      </c>
      <c r="G10" s="69" t="s">
        <v>3488</v>
      </c>
      <c r="H10" s="69" t="s">
        <v>3504</v>
      </c>
    </row>
    <row r="11" spans="1:11" ht="15.5" x14ac:dyDescent="0.35">
      <c r="A11" s="70">
        <v>8</v>
      </c>
      <c r="B11" s="69" t="s">
        <v>3484</v>
      </c>
      <c r="C11" s="69" t="s">
        <v>71</v>
      </c>
      <c r="D11" s="69" t="s">
        <v>3505</v>
      </c>
      <c r="E11" s="69" t="s">
        <v>3506</v>
      </c>
      <c r="F11" s="69" t="s">
        <v>3487</v>
      </c>
      <c r="G11" s="69" t="s">
        <v>3488</v>
      </c>
      <c r="H11" s="69" t="s">
        <v>3507</v>
      </c>
    </row>
    <row r="12" spans="1:11" ht="15.5" x14ac:dyDescent="0.35">
      <c r="A12" s="70">
        <v>9</v>
      </c>
      <c r="B12" s="69" t="s">
        <v>3484</v>
      </c>
      <c r="C12" s="69" t="s">
        <v>71</v>
      </c>
      <c r="D12" s="69" t="s">
        <v>3508</v>
      </c>
      <c r="E12" s="69" t="s">
        <v>3509</v>
      </c>
      <c r="F12" s="69" t="s">
        <v>3487</v>
      </c>
      <c r="G12" s="69" t="s">
        <v>3488</v>
      </c>
      <c r="H12" s="69" t="s">
        <v>3510</v>
      </c>
    </row>
    <row r="13" spans="1:11" ht="15.5" x14ac:dyDescent="0.35">
      <c r="A13" s="70">
        <v>10</v>
      </c>
      <c r="B13" s="69" t="s">
        <v>3484</v>
      </c>
      <c r="C13" s="69" t="s">
        <v>72</v>
      </c>
      <c r="D13" s="69" t="s">
        <v>3511</v>
      </c>
      <c r="E13" s="69" t="s">
        <v>3512</v>
      </c>
      <c r="F13" s="69" t="s">
        <v>3487</v>
      </c>
      <c r="G13" s="69" t="s">
        <v>3490</v>
      </c>
      <c r="H13" s="69" t="s">
        <v>3490</v>
      </c>
    </row>
    <row r="14" spans="1:11" ht="15.5" x14ac:dyDescent="0.35">
      <c r="A14" s="70">
        <v>11</v>
      </c>
      <c r="B14" s="69" t="s">
        <v>3484</v>
      </c>
      <c r="C14" s="69" t="s">
        <v>72</v>
      </c>
      <c r="D14" s="69" t="s">
        <v>3513</v>
      </c>
      <c r="E14" s="69" t="s">
        <v>3514</v>
      </c>
      <c r="F14" s="69" t="s">
        <v>3487</v>
      </c>
      <c r="G14" s="69" t="s">
        <v>3490</v>
      </c>
      <c r="H14" s="69" t="s">
        <v>3493</v>
      </c>
    </row>
    <row r="15" spans="1:11" ht="15.5" x14ac:dyDescent="0.35">
      <c r="A15" s="70">
        <v>12</v>
      </c>
      <c r="B15" s="69" t="s">
        <v>3484</v>
      </c>
      <c r="C15" s="69" t="s">
        <v>72</v>
      </c>
      <c r="D15" s="69" t="s">
        <v>3515</v>
      </c>
      <c r="E15" s="69" t="s">
        <v>3516</v>
      </c>
      <c r="F15" s="69" t="s">
        <v>3487</v>
      </c>
      <c r="G15" s="69" t="s">
        <v>3490</v>
      </c>
      <c r="H15" s="69" t="s">
        <v>3496</v>
      </c>
    </row>
    <row r="16" spans="1:11" ht="15.5" x14ac:dyDescent="0.35">
      <c r="A16" s="70">
        <v>13</v>
      </c>
      <c r="B16" s="69" t="s">
        <v>3484</v>
      </c>
      <c r="C16" s="69" t="s">
        <v>72</v>
      </c>
      <c r="D16" s="69" t="s">
        <v>3516</v>
      </c>
      <c r="E16" s="69" t="s">
        <v>3517</v>
      </c>
      <c r="F16" s="69" t="s">
        <v>3487</v>
      </c>
      <c r="G16" s="69" t="s">
        <v>3490</v>
      </c>
      <c r="H16" s="69" t="s">
        <v>3487</v>
      </c>
    </row>
    <row r="17" spans="1:8" ht="15.5" x14ac:dyDescent="0.35">
      <c r="A17" s="70">
        <v>14</v>
      </c>
      <c r="B17" s="69" t="s">
        <v>3484</v>
      </c>
      <c r="C17" s="69" t="s">
        <v>72</v>
      </c>
      <c r="D17" s="69" t="s">
        <v>3517</v>
      </c>
      <c r="E17" s="69" t="s">
        <v>3518</v>
      </c>
      <c r="F17" s="69" t="s">
        <v>3487</v>
      </c>
      <c r="G17" s="69" t="s">
        <v>3490</v>
      </c>
      <c r="H17" s="69" t="s">
        <v>3501</v>
      </c>
    </row>
    <row r="18" spans="1:8" ht="15.5" x14ac:dyDescent="0.35">
      <c r="A18" s="70">
        <v>15</v>
      </c>
      <c r="B18" s="69" t="s">
        <v>3484</v>
      </c>
      <c r="C18" s="69" t="s">
        <v>72</v>
      </c>
      <c r="D18" s="69" t="s">
        <v>3518</v>
      </c>
      <c r="E18" s="69" t="s">
        <v>3519</v>
      </c>
      <c r="F18" s="69" t="s">
        <v>3487</v>
      </c>
      <c r="G18" s="69" t="s">
        <v>3490</v>
      </c>
      <c r="H18" s="69" t="s">
        <v>3504</v>
      </c>
    </row>
    <row r="19" spans="1:8" ht="15.5" x14ac:dyDescent="0.35">
      <c r="A19" s="70">
        <v>16</v>
      </c>
      <c r="B19" s="69" t="s">
        <v>3484</v>
      </c>
      <c r="C19" s="69" t="s">
        <v>72</v>
      </c>
      <c r="D19" s="69" t="s">
        <v>3519</v>
      </c>
      <c r="E19" s="69" t="s">
        <v>3520</v>
      </c>
      <c r="F19" s="69" t="s">
        <v>3487</v>
      </c>
      <c r="G19" s="69" t="s">
        <v>3490</v>
      </c>
      <c r="H19" s="69" t="s">
        <v>3507</v>
      </c>
    </row>
    <row r="20" spans="1:8" ht="15.5" x14ac:dyDescent="0.35">
      <c r="A20" s="70">
        <v>17</v>
      </c>
      <c r="B20" s="69" t="s">
        <v>3484</v>
      </c>
      <c r="C20" s="69" t="s">
        <v>72</v>
      </c>
      <c r="D20" s="69" t="s">
        <v>3520</v>
      </c>
      <c r="E20" s="69" t="s">
        <v>3521</v>
      </c>
      <c r="F20" s="69" t="s">
        <v>3487</v>
      </c>
      <c r="G20" s="69" t="s">
        <v>3490</v>
      </c>
      <c r="H20" s="69" t="s">
        <v>3510</v>
      </c>
    </row>
    <row r="21" spans="1:8" ht="15.5" x14ac:dyDescent="0.35">
      <c r="A21" s="70">
        <v>18</v>
      </c>
      <c r="B21" s="69" t="s">
        <v>3484</v>
      </c>
      <c r="C21" s="69" t="s">
        <v>72</v>
      </c>
      <c r="D21" s="69" t="s">
        <v>3521</v>
      </c>
      <c r="E21" s="69" t="s">
        <v>3522</v>
      </c>
      <c r="F21" s="69" t="s">
        <v>3487</v>
      </c>
      <c r="G21" s="69" t="s">
        <v>3490</v>
      </c>
      <c r="H21" s="69" t="s">
        <v>3488</v>
      </c>
    </row>
    <row r="22" spans="1:8" ht="15.5" x14ac:dyDescent="0.35">
      <c r="A22" s="70">
        <v>19</v>
      </c>
      <c r="B22" s="69" t="s">
        <v>3484</v>
      </c>
      <c r="C22" s="69" t="s">
        <v>73</v>
      </c>
      <c r="D22" s="69" t="s">
        <v>3523</v>
      </c>
      <c r="E22" s="69" t="s">
        <v>3524</v>
      </c>
      <c r="F22" s="69" t="s">
        <v>3487</v>
      </c>
      <c r="G22" s="69" t="s">
        <v>3493</v>
      </c>
      <c r="H22" s="69" t="s">
        <v>3493</v>
      </c>
    </row>
    <row r="23" spans="1:8" ht="15.5" x14ac:dyDescent="0.35">
      <c r="A23" s="70">
        <v>20</v>
      </c>
      <c r="B23" s="69" t="s">
        <v>3484</v>
      </c>
      <c r="C23" s="69" t="s">
        <v>73</v>
      </c>
      <c r="D23" s="69" t="s">
        <v>3525</v>
      </c>
      <c r="E23" s="69" t="s">
        <v>3526</v>
      </c>
      <c r="F23" s="69" t="s">
        <v>3487</v>
      </c>
      <c r="G23" s="69" t="s">
        <v>3493</v>
      </c>
      <c r="H23" s="69" t="s">
        <v>3496</v>
      </c>
    </row>
    <row r="24" spans="1:8" ht="15.5" x14ac:dyDescent="0.35">
      <c r="A24" s="70">
        <v>21</v>
      </c>
      <c r="B24" s="69" t="s">
        <v>3484</v>
      </c>
      <c r="C24" s="69" t="s">
        <v>73</v>
      </c>
      <c r="D24" s="69" t="s">
        <v>3526</v>
      </c>
      <c r="E24" s="69" t="s">
        <v>3527</v>
      </c>
      <c r="F24" s="69" t="s">
        <v>3487</v>
      </c>
      <c r="G24" s="69" t="s">
        <v>3493</v>
      </c>
      <c r="H24" s="69" t="s">
        <v>3487</v>
      </c>
    </row>
    <row r="25" spans="1:8" ht="15.5" x14ac:dyDescent="0.35">
      <c r="A25" s="110">
        <v>22</v>
      </c>
      <c r="B25" s="111" t="s">
        <v>3484</v>
      </c>
      <c r="C25" s="111" t="s">
        <v>73</v>
      </c>
      <c r="D25" s="111" t="s">
        <v>3527</v>
      </c>
      <c r="E25" s="111" t="s">
        <v>3528</v>
      </c>
      <c r="F25" s="111" t="s">
        <v>3487</v>
      </c>
      <c r="G25" s="111" t="s">
        <v>3493</v>
      </c>
      <c r="H25" s="111" t="s">
        <v>3501</v>
      </c>
    </row>
    <row r="26" spans="1:8" ht="15.5" x14ac:dyDescent="0.35">
      <c r="A26" s="271">
        <v>23</v>
      </c>
      <c r="B26" s="272" t="s">
        <v>3529</v>
      </c>
      <c r="C26" s="272" t="s">
        <v>73</v>
      </c>
      <c r="D26" s="272" t="s">
        <v>3530</v>
      </c>
      <c r="E26" s="272" t="s">
        <v>3531</v>
      </c>
      <c r="F26" s="272" t="s">
        <v>3490</v>
      </c>
      <c r="G26" s="272" t="s">
        <v>3493</v>
      </c>
      <c r="H26" s="272" t="s">
        <v>3501</v>
      </c>
    </row>
    <row r="27" spans="1:8" ht="15.5" x14ac:dyDescent="0.35">
      <c r="A27" s="70">
        <v>24</v>
      </c>
      <c r="B27" s="69" t="s">
        <v>3529</v>
      </c>
      <c r="C27" s="69" t="s">
        <v>73</v>
      </c>
      <c r="D27" s="69" t="s">
        <v>3531</v>
      </c>
      <c r="E27" s="69" t="s">
        <v>3532</v>
      </c>
      <c r="F27" s="69" t="s">
        <v>3490</v>
      </c>
      <c r="G27" s="69" t="s">
        <v>3493</v>
      </c>
      <c r="H27" s="69" t="s">
        <v>3504</v>
      </c>
    </row>
    <row r="28" spans="1:8" ht="15.5" x14ac:dyDescent="0.35">
      <c r="A28" s="70">
        <v>25</v>
      </c>
      <c r="B28" s="69" t="s">
        <v>3529</v>
      </c>
      <c r="C28" s="69" t="s">
        <v>73</v>
      </c>
      <c r="D28" s="69" t="s">
        <v>3533</v>
      </c>
      <c r="E28" s="69" t="s">
        <v>3534</v>
      </c>
      <c r="F28" s="69" t="s">
        <v>3490</v>
      </c>
      <c r="G28" s="69" t="s">
        <v>3493</v>
      </c>
      <c r="H28" s="69" t="s">
        <v>3507</v>
      </c>
    </row>
    <row r="29" spans="1:8" ht="15.5" x14ac:dyDescent="0.35">
      <c r="A29" s="70">
        <v>26</v>
      </c>
      <c r="B29" s="69" t="s">
        <v>3529</v>
      </c>
      <c r="C29" s="69" t="s">
        <v>73</v>
      </c>
      <c r="D29" s="69" t="s">
        <v>3534</v>
      </c>
      <c r="E29" s="69" t="s">
        <v>3535</v>
      </c>
      <c r="F29" s="69" t="s">
        <v>3490</v>
      </c>
      <c r="G29" s="69" t="s">
        <v>3493</v>
      </c>
      <c r="H29" s="69" t="s">
        <v>3510</v>
      </c>
    </row>
    <row r="30" spans="1:8" ht="15.5" x14ac:dyDescent="0.35">
      <c r="A30" s="70">
        <v>27</v>
      </c>
      <c r="B30" s="69" t="s">
        <v>3529</v>
      </c>
      <c r="C30" s="69" t="s">
        <v>73</v>
      </c>
      <c r="D30" s="69" t="s">
        <v>3535</v>
      </c>
      <c r="E30" s="69" t="s">
        <v>3536</v>
      </c>
      <c r="F30" s="69" t="s">
        <v>3490</v>
      </c>
      <c r="G30" s="69" t="s">
        <v>3493</v>
      </c>
      <c r="H30" s="69" t="s">
        <v>3488</v>
      </c>
    </row>
    <row r="31" spans="1:8" ht="15.5" x14ac:dyDescent="0.35">
      <c r="A31" s="70">
        <v>28</v>
      </c>
      <c r="B31" s="71" t="s">
        <v>3529</v>
      </c>
      <c r="C31" s="69" t="s">
        <v>73</v>
      </c>
      <c r="D31" s="71" t="s">
        <v>3537</v>
      </c>
      <c r="E31" s="71" t="s">
        <v>3538</v>
      </c>
      <c r="F31" s="71" t="s">
        <v>3490</v>
      </c>
      <c r="G31" s="71" t="s">
        <v>3493</v>
      </c>
      <c r="H31" s="71" t="s">
        <v>3490</v>
      </c>
    </row>
    <row r="32" spans="1:8" ht="15.5" x14ac:dyDescent="0.35">
      <c r="A32" s="70">
        <v>29</v>
      </c>
      <c r="B32" s="69" t="s">
        <v>3529</v>
      </c>
      <c r="C32" s="69" t="s">
        <v>74</v>
      </c>
      <c r="D32" s="69" t="s">
        <v>3539</v>
      </c>
      <c r="E32" s="69" t="s">
        <v>3540</v>
      </c>
      <c r="F32" s="69" t="s">
        <v>3490</v>
      </c>
      <c r="G32" s="69" t="s">
        <v>3496</v>
      </c>
      <c r="H32" s="69" t="s">
        <v>3496</v>
      </c>
    </row>
    <row r="33" spans="1:8" ht="15.5" x14ac:dyDescent="0.35">
      <c r="A33" s="70">
        <v>30</v>
      </c>
      <c r="B33" s="69" t="s">
        <v>3529</v>
      </c>
      <c r="C33" s="69" t="s">
        <v>74</v>
      </c>
      <c r="D33" s="69" t="s">
        <v>3541</v>
      </c>
      <c r="E33" s="69" t="s">
        <v>3542</v>
      </c>
      <c r="F33" s="69" t="s">
        <v>3490</v>
      </c>
      <c r="G33" s="69" t="s">
        <v>3496</v>
      </c>
      <c r="H33" s="69" t="s">
        <v>3487</v>
      </c>
    </row>
    <row r="34" spans="1:8" ht="15.5" x14ac:dyDescent="0.35">
      <c r="A34" s="70">
        <v>31</v>
      </c>
      <c r="B34" s="69" t="s">
        <v>3529</v>
      </c>
      <c r="C34" s="69" t="s">
        <v>74</v>
      </c>
      <c r="D34" s="69" t="s">
        <v>3542</v>
      </c>
      <c r="E34" s="69" t="s">
        <v>3543</v>
      </c>
      <c r="F34" s="69" t="s">
        <v>3490</v>
      </c>
      <c r="G34" s="69" t="s">
        <v>3496</v>
      </c>
      <c r="H34" s="69" t="s">
        <v>3501</v>
      </c>
    </row>
    <row r="35" spans="1:8" ht="15.5" x14ac:dyDescent="0.35">
      <c r="A35" s="70">
        <v>32</v>
      </c>
      <c r="B35" s="69" t="s">
        <v>3529</v>
      </c>
      <c r="C35" s="69" t="s">
        <v>74</v>
      </c>
      <c r="D35" s="69" t="s">
        <v>3543</v>
      </c>
      <c r="E35" s="69" t="s">
        <v>3544</v>
      </c>
      <c r="F35" s="69" t="s">
        <v>3490</v>
      </c>
      <c r="G35" s="69" t="s">
        <v>3496</v>
      </c>
      <c r="H35" s="69" t="s">
        <v>3504</v>
      </c>
    </row>
    <row r="36" spans="1:8" ht="15.5" x14ac:dyDescent="0.35">
      <c r="A36" s="70">
        <v>33</v>
      </c>
      <c r="B36" s="69" t="s">
        <v>3529</v>
      </c>
      <c r="C36" s="69" t="s">
        <v>74</v>
      </c>
      <c r="D36" s="69" t="s">
        <v>3544</v>
      </c>
      <c r="E36" s="69" t="s">
        <v>3545</v>
      </c>
      <c r="F36" s="69" t="s">
        <v>3490</v>
      </c>
      <c r="G36" s="69" t="s">
        <v>3496</v>
      </c>
      <c r="H36" s="69" t="s">
        <v>3507</v>
      </c>
    </row>
    <row r="37" spans="1:8" ht="15.5" x14ac:dyDescent="0.35">
      <c r="A37" s="70">
        <v>34</v>
      </c>
      <c r="B37" s="69" t="s">
        <v>3529</v>
      </c>
      <c r="C37" s="69" t="s">
        <v>74</v>
      </c>
      <c r="D37" s="69" t="s">
        <v>3545</v>
      </c>
      <c r="E37" s="69" t="s">
        <v>3546</v>
      </c>
      <c r="F37" s="69" t="s">
        <v>3490</v>
      </c>
      <c r="G37" s="69" t="s">
        <v>3496</v>
      </c>
      <c r="H37" s="69" t="s">
        <v>3510</v>
      </c>
    </row>
    <row r="38" spans="1:8" ht="15.5" x14ac:dyDescent="0.35">
      <c r="A38" s="70">
        <v>35</v>
      </c>
      <c r="B38" s="69" t="s">
        <v>3529</v>
      </c>
      <c r="C38" s="69" t="s">
        <v>74</v>
      </c>
      <c r="D38" s="69" t="s">
        <v>3546</v>
      </c>
      <c r="E38" s="69" t="s">
        <v>3547</v>
      </c>
      <c r="F38" s="69" t="s">
        <v>3490</v>
      </c>
      <c r="G38" s="69" t="s">
        <v>3496</v>
      </c>
      <c r="H38" s="69" t="s">
        <v>3488</v>
      </c>
    </row>
    <row r="39" spans="1:8" ht="15.5" x14ac:dyDescent="0.35">
      <c r="A39" s="70">
        <v>36</v>
      </c>
      <c r="B39" s="69" t="s">
        <v>3529</v>
      </c>
      <c r="C39" s="69" t="s">
        <v>74</v>
      </c>
      <c r="D39" s="69" t="s">
        <v>3547</v>
      </c>
      <c r="E39" s="69" t="s">
        <v>3548</v>
      </c>
      <c r="F39" s="69" t="s">
        <v>3490</v>
      </c>
      <c r="G39" s="69" t="s">
        <v>3496</v>
      </c>
      <c r="H39" s="69" t="s">
        <v>3490</v>
      </c>
    </row>
    <row r="40" spans="1:8" ht="15.5" x14ac:dyDescent="0.35">
      <c r="A40" s="70">
        <v>37</v>
      </c>
      <c r="B40" s="69" t="s">
        <v>3529</v>
      </c>
      <c r="C40" s="69" t="s">
        <v>74</v>
      </c>
      <c r="D40" s="69" t="s">
        <v>3548</v>
      </c>
      <c r="E40" s="69" t="s">
        <v>3549</v>
      </c>
      <c r="F40" s="69" t="s">
        <v>3490</v>
      </c>
      <c r="G40" s="69" t="s">
        <v>3496</v>
      </c>
      <c r="H40" s="69" t="s">
        <v>3493</v>
      </c>
    </row>
    <row r="41" spans="1:8" ht="15.5" x14ac:dyDescent="0.35">
      <c r="A41" s="70">
        <v>38</v>
      </c>
      <c r="B41" s="69" t="s">
        <v>3529</v>
      </c>
      <c r="C41" s="69" t="s">
        <v>75</v>
      </c>
      <c r="D41" s="69" t="s">
        <v>3549</v>
      </c>
      <c r="E41" s="69" t="s">
        <v>3550</v>
      </c>
      <c r="F41" s="69" t="s">
        <v>3490</v>
      </c>
      <c r="G41" s="69" t="s">
        <v>3487</v>
      </c>
      <c r="H41" s="69" t="s">
        <v>3487</v>
      </c>
    </row>
    <row r="42" spans="1:8" ht="15.5" x14ac:dyDescent="0.35">
      <c r="A42" s="70">
        <v>39</v>
      </c>
      <c r="B42" s="69" t="s">
        <v>3529</v>
      </c>
      <c r="C42" s="69" t="s">
        <v>75</v>
      </c>
      <c r="D42" s="69" t="s">
        <v>3551</v>
      </c>
      <c r="E42" s="69" t="s">
        <v>3552</v>
      </c>
      <c r="F42" s="69" t="s">
        <v>3490</v>
      </c>
      <c r="G42" s="69" t="s">
        <v>3487</v>
      </c>
      <c r="H42" s="69" t="s">
        <v>3501</v>
      </c>
    </row>
    <row r="43" spans="1:8" ht="15.5" x14ac:dyDescent="0.35">
      <c r="A43" s="70">
        <v>40</v>
      </c>
      <c r="B43" s="69" t="s">
        <v>3529</v>
      </c>
      <c r="C43" s="69" t="s">
        <v>75</v>
      </c>
      <c r="D43" s="69" t="s">
        <v>3552</v>
      </c>
      <c r="E43" s="69" t="s">
        <v>3553</v>
      </c>
      <c r="F43" s="69" t="s">
        <v>3490</v>
      </c>
      <c r="G43" s="69" t="s">
        <v>3487</v>
      </c>
      <c r="H43" s="69" t="s">
        <v>3504</v>
      </c>
    </row>
    <row r="44" spans="1:8" ht="15.5" x14ac:dyDescent="0.35">
      <c r="A44" s="70">
        <v>41</v>
      </c>
      <c r="B44" s="69" t="s">
        <v>3529</v>
      </c>
      <c r="C44" s="69" t="s">
        <v>75</v>
      </c>
      <c r="D44" s="69" t="s">
        <v>3553</v>
      </c>
      <c r="E44" s="69" t="s">
        <v>3528</v>
      </c>
      <c r="F44" s="69" t="s">
        <v>3490</v>
      </c>
      <c r="G44" s="69" t="s">
        <v>3487</v>
      </c>
      <c r="H44" s="69" t="s">
        <v>3507</v>
      </c>
    </row>
    <row r="45" spans="1:8" ht="15.5" x14ac:dyDescent="0.35">
      <c r="A45" s="70">
        <v>42</v>
      </c>
      <c r="B45" s="69" t="s">
        <v>3554</v>
      </c>
      <c r="C45" s="69" t="s">
        <v>75</v>
      </c>
      <c r="D45" s="69" t="s">
        <v>3530</v>
      </c>
      <c r="E45" s="69" t="s">
        <v>3555</v>
      </c>
      <c r="F45" s="69" t="s">
        <v>3510</v>
      </c>
      <c r="G45" s="69" t="s">
        <v>3487</v>
      </c>
      <c r="H45" s="69" t="s">
        <v>3510</v>
      </c>
    </row>
    <row r="46" spans="1:8" ht="15.5" x14ac:dyDescent="0.35">
      <c r="A46" s="70">
        <v>43</v>
      </c>
      <c r="B46" s="69" t="s">
        <v>3554</v>
      </c>
      <c r="C46" s="69" t="s">
        <v>75</v>
      </c>
      <c r="D46" s="69" t="s">
        <v>3555</v>
      </c>
      <c r="E46" s="69" t="s">
        <v>3556</v>
      </c>
      <c r="F46" s="69" t="s">
        <v>3510</v>
      </c>
      <c r="G46" s="69" t="s">
        <v>3487</v>
      </c>
      <c r="H46" s="69" t="s">
        <v>3488</v>
      </c>
    </row>
    <row r="47" spans="1:8" ht="15.5" x14ac:dyDescent="0.35">
      <c r="A47" s="70">
        <v>44</v>
      </c>
      <c r="B47" s="69" t="s">
        <v>3554</v>
      </c>
      <c r="C47" s="69" t="s">
        <v>75</v>
      </c>
      <c r="D47" s="69" t="s">
        <v>3556</v>
      </c>
      <c r="E47" s="69" t="s">
        <v>3557</v>
      </c>
      <c r="F47" s="69" t="s">
        <v>3510</v>
      </c>
      <c r="G47" s="69" t="s">
        <v>3487</v>
      </c>
      <c r="H47" s="69" t="s">
        <v>3490</v>
      </c>
    </row>
    <row r="48" spans="1:8" ht="15.5" x14ac:dyDescent="0.35">
      <c r="A48" s="70">
        <v>45</v>
      </c>
      <c r="B48" s="69" t="s">
        <v>3554</v>
      </c>
      <c r="C48" s="69" t="s">
        <v>75</v>
      </c>
      <c r="D48" s="69" t="s">
        <v>3557</v>
      </c>
      <c r="E48" s="69" t="s">
        <v>3498</v>
      </c>
      <c r="F48" s="69" t="s">
        <v>3510</v>
      </c>
      <c r="G48" s="69" t="s">
        <v>3487</v>
      </c>
      <c r="H48" s="69" t="s">
        <v>3493</v>
      </c>
    </row>
    <row r="49" spans="1:8" ht="15.5" x14ac:dyDescent="0.35">
      <c r="A49" s="70">
        <v>46</v>
      </c>
      <c r="B49" s="69" t="s">
        <v>3554</v>
      </c>
      <c r="C49" s="69" t="s">
        <v>75</v>
      </c>
      <c r="D49" s="69" t="s">
        <v>3498</v>
      </c>
      <c r="E49" s="69" t="s">
        <v>3558</v>
      </c>
      <c r="F49" s="69" t="s">
        <v>3510</v>
      </c>
      <c r="G49" s="69" t="s">
        <v>3487</v>
      </c>
      <c r="H49" s="69" t="s">
        <v>3496</v>
      </c>
    </row>
    <row r="50" spans="1:8" ht="15.5" x14ac:dyDescent="0.35">
      <c r="A50" s="70">
        <v>47</v>
      </c>
      <c r="B50" s="69" t="s">
        <v>3554</v>
      </c>
      <c r="C50" s="69" t="s">
        <v>76</v>
      </c>
      <c r="D50" s="69" t="s">
        <v>3558</v>
      </c>
      <c r="E50" s="69" t="s">
        <v>3559</v>
      </c>
      <c r="F50" s="69" t="s">
        <v>3510</v>
      </c>
      <c r="G50" s="69" t="s">
        <v>3501</v>
      </c>
      <c r="H50" s="69" t="s">
        <v>3501</v>
      </c>
    </row>
    <row r="51" spans="1:8" ht="15.5" x14ac:dyDescent="0.35">
      <c r="A51" s="70">
        <v>48</v>
      </c>
      <c r="B51" s="69" t="s">
        <v>3554</v>
      </c>
      <c r="C51" s="69" t="s">
        <v>76</v>
      </c>
      <c r="D51" s="69" t="s">
        <v>3559</v>
      </c>
      <c r="E51" s="69" t="s">
        <v>3560</v>
      </c>
      <c r="F51" s="69" t="s">
        <v>3510</v>
      </c>
      <c r="G51" s="69" t="s">
        <v>3501</v>
      </c>
      <c r="H51" s="69" t="s">
        <v>3504</v>
      </c>
    </row>
    <row r="52" spans="1:8" ht="15.5" x14ac:dyDescent="0.35">
      <c r="A52" s="70">
        <v>49</v>
      </c>
      <c r="B52" s="69" t="s">
        <v>3554</v>
      </c>
      <c r="C52" s="69" t="s">
        <v>76</v>
      </c>
      <c r="D52" s="69" t="s">
        <v>3560</v>
      </c>
      <c r="E52" s="69" t="s">
        <v>3561</v>
      </c>
      <c r="F52" s="69" t="s">
        <v>3510</v>
      </c>
      <c r="G52" s="69" t="s">
        <v>3501</v>
      </c>
      <c r="H52" s="69" t="s">
        <v>3507</v>
      </c>
    </row>
    <row r="53" spans="1:8" ht="15.5" x14ac:dyDescent="0.35">
      <c r="A53" s="70">
        <v>50</v>
      </c>
      <c r="B53" s="69" t="s">
        <v>3554</v>
      </c>
      <c r="C53" s="69" t="s">
        <v>76</v>
      </c>
      <c r="D53" s="69" t="s">
        <v>3562</v>
      </c>
      <c r="E53" s="69" t="s">
        <v>3563</v>
      </c>
      <c r="F53" s="69" t="s">
        <v>3510</v>
      </c>
      <c r="G53" s="69" t="s">
        <v>3501</v>
      </c>
      <c r="H53" s="69" t="s">
        <v>3510</v>
      </c>
    </row>
    <row r="54" spans="1:8" ht="15.5" x14ac:dyDescent="0.35">
      <c r="A54" s="70">
        <v>51</v>
      </c>
      <c r="B54" s="69" t="s">
        <v>3554</v>
      </c>
      <c r="C54" s="69" t="s">
        <v>76</v>
      </c>
      <c r="D54" s="69" t="s">
        <v>3563</v>
      </c>
      <c r="E54" s="69" t="s">
        <v>3564</v>
      </c>
      <c r="F54" s="69" t="s">
        <v>3510</v>
      </c>
      <c r="G54" s="69" t="s">
        <v>3501</v>
      </c>
      <c r="H54" s="69" t="s">
        <v>3488</v>
      </c>
    </row>
    <row r="55" spans="1:8" ht="15.5" x14ac:dyDescent="0.35">
      <c r="A55" s="70">
        <v>52</v>
      </c>
      <c r="B55" s="69" t="s">
        <v>3554</v>
      </c>
      <c r="C55" s="69" t="s">
        <v>76</v>
      </c>
      <c r="D55" s="69" t="s">
        <v>3564</v>
      </c>
      <c r="E55" s="69" t="s">
        <v>3565</v>
      </c>
      <c r="F55" s="69" t="s">
        <v>3510</v>
      </c>
      <c r="G55" s="69" t="s">
        <v>3501</v>
      </c>
      <c r="H55" s="69" t="s">
        <v>3490</v>
      </c>
    </row>
    <row r="56" spans="1:8" ht="15.5" x14ac:dyDescent="0.35">
      <c r="A56" s="70">
        <v>53</v>
      </c>
      <c r="B56" s="69" t="s">
        <v>3554</v>
      </c>
      <c r="C56" s="69" t="s">
        <v>76</v>
      </c>
      <c r="D56" s="69" t="s">
        <v>3565</v>
      </c>
      <c r="E56" s="69" t="s">
        <v>3517</v>
      </c>
      <c r="F56" s="69" t="s">
        <v>3510</v>
      </c>
      <c r="G56" s="69" t="s">
        <v>3501</v>
      </c>
      <c r="H56" s="69" t="s">
        <v>3493</v>
      </c>
    </row>
    <row r="57" spans="1:8" ht="15.5" x14ac:dyDescent="0.35">
      <c r="A57" s="70">
        <v>54</v>
      </c>
      <c r="B57" s="69" t="s">
        <v>3554</v>
      </c>
      <c r="C57" s="69" t="s">
        <v>76</v>
      </c>
      <c r="D57" s="69" t="s">
        <v>3517</v>
      </c>
      <c r="E57" s="69" t="s">
        <v>3566</v>
      </c>
      <c r="F57" s="69" t="s">
        <v>3510</v>
      </c>
      <c r="G57" s="69" t="s">
        <v>3501</v>
      </c>
      <c r="H57" s="69" t="s">
        <v>3496</v>
      </c>
    </row>
    <row r="58" spans="1:8" ht="15.5" x14ac:dyDescent="0.35">
      <c r="A58" s="70">
        <v>55</v>
      </c>
      <c r="B58" s="69" t="s">
        <v>3554</v>
      </c>
      <c r="C58" s="69" t="s">
        <v>76</v>
      </c>
      <c r="D58" s="69" t="s">
        <v>3566</v>
      </c>
      <c r="E58" s="69" t="s">
        <v>3567</v>
      </c>
      <c r="F58" s="69" t="s">
        <v>3510</v>
      </c>
      <c r="G58" s="69" t="s">
        <v>3501</v>
      </c>
      <c r="H58" s="69" t="s">
        <v>3487</v>
      </c>
    </row>
    <row r="59" spans="1:8" ht="15.5" x14ac:dyDescent="0.35">
      <c r="A59" s="70">
        <v>56</v>
      </c>
      <c r="B59" s="69" t="s">
        <v>3554</v>
      </c>
      <c r="C59" s="69" t="s">
        <v>77</v>
      </c>
      <c r="D59" s="69" t="s">
        <v>3567</v>
      </c>
      <c r="E59" s="69" t="s">
        <v>3568</v>
      </c>
      <c r="F59" s="69" t="s">
        <v>3510</v>
      </c>
      <c r="G59" s="69" t="s">
        <v>3504</v>
      </c>
      <c r="H59" s="69" t="s">
        <v>3504</v>
      </c>
    </row>
    <row r="60" spans="1:8" ht="15.5" x14ac:dyDescent="0.35">
      <c r="A60" s="70">
        <v>57</v>
      </c>
      <c r="B60" s="69" t="s">
        <v>3554</v>
      </c>
      <c r="C60" s="69" t="s">
        <v>77</v>
      </c>
      <c r="D60" s="69" t="s">
        <v>3568</v>
      </c>
      <c r="E60" s="69" t="s">
        <v>3569</v>
      </c>
      <c r="F60" s="69" t="s">
        <v>3510</v>
      </c>
      <c r="G60" s="69" t="s">
        <v>3504</v>
      </c>
      <c r="H60" s="69" t="s">
        <v>3507</v>
      </c>
    </row>
    <row r="61" spans="1:8" ht="15.5" x14ac:dyDescent="0.35">
      <c r="A61" s="70">
        <v>58</v>
      </c>
      <c r="B61" s="69" t="s">
        <v>3554</v>
      </c>
      <c r="C61" s="69" t="s">
        <v>77</v>
      </c>
      <c r="D61" s="69" t="s">
        <v>3569</v>
      </c>
      <c r="E61" s="69" t="s">
        <v>3570</v>
      </c>
      <c r="F61" s="69" t="s">
        <v>3510</v>
      </c>
      <c r="G61" s="69" t="s">
        <v>3504</v>
      </c>
      <c r="H61" s="69" t="s">
        <v>3510</v>
      </c>
    </row>
    <row r="62" spans="1:8" ht="15.5" x14ac:dyDescent="0.35">
      <c r="A62" s="70">
        <v>59</v>
      </c>
      <c r="B62" s="71" t="s">
        <v>3554</v>
      </c>
      <c r="C62" s="69" t="s">
        <v>77</v>
      </c>
      <c r="D62" s="71" t="s">
        <v>3570</v>
      </c>
      <c r="E62" s="71" t="s">
        <v>3571</v>
      </c>
      <c r="F62" s="71" t="s">
        <v>3510</v>
      </c>
      <c r="G62" s="71" t="s">
        <v>3504</v>
      </c>
      <c r="H62" s="71" t="s">
        <v>3488</v>
      </c>
    </row>
    <row r="63" spans="1:8" ht="15.5" x14ac:dyDescent="0.35">
      <c r="A63" s="70">
        <v>60</v>
      </c>
      <c r="B63" s="69" t="s">
        <v>3554</v>
      </c>
      <c r="C63" s="69" t="s">
        <v>77</v>
      </c>
      <c r="D63" s="69" t="s">
        <v>3571</v>
      </c>
      <c r="E63" s="69" t="s">
        <v>3572</v>
      </c>
      <c r="F63" s="69" t="s">
        <v>3510</v>
      </c>
      <c r="G63" s="69" t="s">
        <v>3504</v>
      </c>
      <c r="H63" s="69" t="s">
        <v>3490</v>
      </c>
    </row>
    <row r="64" spans="1:8" ht="15.5" x14ac:dyDescent="0.35">
      <c r="A64" s="70">
        <v>61</v>
      </c>
      <c r="B64" s="69" t="s">
        <v>3554</v>
      </c>
      <c r="C64" s="69" t="s">
        <v>77</v>
      </c>
      <c r="D64" s="69" t="s">
        <v>3572</v>
      </c>
      <c r="E64" s="69" t="s">
        <v>3573</v>
      </c>
      <c r="F64" s="69" t="s">
        <v>3510</v>
      </c>
      <c r="G64" s="69" t="s">
        <v>3504</v>
      </c>
      <c r="H64" s="69" t="s">
        <v>3493</v>
      </c>
    </row>
    <row r="65" spans="1:8" ht="15.5" x14ac:dyDescent="0.35">
      <c r="A65" s="70">
        <v>62</v>
      </c>
      <c r="B65" s="272" t="s">
        <v>3554</v>
      </c>
      <c r="C65" s="272" t="s">
        <v>77</v>
      </c>
      <c r="D65" s="272" t="s">
        <v>3573</v>
      </c>
      <c r="E65" s="272" t="s">
        <v>3528</v>
      </c>
      <c r="F65" s="272" t="s">
        <v>3510</v>
      </c>
      <c r="G65" s="272" t="s">
        <v>3504</v>
      </c>
      <c r="H65" s="272" t="s">
        <v>3496</v>
      </c>
    </row>
    <row r="66" spans="1:8" ht="15.5" x14ac:dyDescent="0.35">
      <c r="A66" s="70">
        <v>63</v>
      </c>
      <c r="B66" s="111" t="s">
        <v>3574</v>
      </c>
      <c r="C66" s="111" t="s">
        <v>77</v>
      </c>
      <c r="D66" s="111" t="s">
        <v>3530</v>
      </c>
      <c r="E66" s="111" t="s">
        <v>3575</v>
      </c>
      <c r="F66" s="111" t="s">
        <v>3496</v>
      </c>
      <c r="G66" s="111" t="s">
        <v>3504</v>
      </c>
      <c r="H66" s="111" t="s">
        <v>3496</v>
      </c>
    </row>
    <row r="67" spans="1:8" ht="15.5" x14ac:dyDescent="0.35">
      <c r="A67" s="70">
        <v>64</v>
      </c>
      <c r="B67" s="69" t="s">
        <v>3574</v>
      </c>
      <c r="C67" s="69" t="s">
        <v>77</v>
      </c>
      <c r="D67" s="69" t="s">
        <v>3575</v>
      </c>
      <c r="E67" s="69" t="s">
        <v>3576</v>
      </c>
      <c r="F67" s="69" t="s">
        <v>3496</v>
      </c>
      <c r="G67" s="69" t="s">
        <v>3504</v>
      </c>
      <c r="H67" s="69" t="s">
        <v>3487</v>
      </c>
    </row>
    <row r="68" spans="1:8" ht="15.5" x14ac:dyDescent="0.35">
      <c r="A68" s="70">
        <v>65</v>
      </c>
      <c r="B68" s="69" t="s">
        <v>3574</v>
      </c>
      <c r="C68" s="69" t="s">
        <v>77</v>
      </c>
      <c r="D68" s="69" t="s">
        <v>3576</v>
      </c>
      <c r="E68" s="69" t="s">
        <v>3577</v>
      </c>
      <c r="F68" s="69" t="s">
        <v>3496</v>
      </c>
      <c r="G68" s="69" t="s">
        <v>3504</v>
      </c>
      <c r="H68" s="69" t="s">
        <v>3501</v>
      </c>
    </row>
    <row r="69" spans="1:8" ht="15.5" x14ac:dyDescent="0.35">
      <c r="A69" s="70">
        <v>66</v>
      </c>
      <c r="B69" s="69" t="s">
        <v>3574</v>
      </c>
      <c r="C69" s="69" t="s">
        <v>78</v>
      </c>
      <c r="D69" s="69" t="s">
        <v>3577</v>
      </c>
      <c r="E69" s="69" t="s">
        <v>3578</v>
      </c>
      <c r="F69" s="69" t="s">
        <v>3496</v>
      </c>
      <c r="G69" s="69" t="s">
        <v>3507</v>
      </c>
      <c r="H69" s="69" t="s">
        <v>3507</v>
      </c>
    </row>
    <row r="70" spans="1:8" ht="15.5" x14ac:dyDescent="0.35">
      <c r="A70" s="70">
        <v>67</v>
      </c>
      <c r="B70" s="69" t="s">
        <v>3574</v>
      </c>
      <c r="C70" s="69" t="s">
        <v>78</v>
      </c>
      <c r="D70" s="69" t="s">
        <v>3578</v>
      </c>
      <c r="E70" s="69" t="s">
        <v>3579</v>
      </c>
      <c r="F70" s="69" t="s">
        <v>3496</v>
      </c>
      <c r="G70" s="69" t="s">
        <v>3507</v>
      </c>
      <c r="H70" s="69" t="s">
        <v>3510</v>
      </c>
    </row>
    <row r="71" spans="1:8" ht="15.5" x14ac:dyDescent="0.35">
      <c r="A71" s="70">
        <v>68</v>
      </c>
      <c r="B71" s="69" t="s">
        <v>3574</v>
      </c>
      <c r="C71" s="69" t="s">
        <v>78</v>
      </c>
      <c r="D71" s="69" t="s">
        <v>3579</v>
      </c>
      <c r="E71" s="69" t="s">
        <v>3580</v>
      </c>
      <c r="F71" s="69" t="s">
        <v>3496</v>
      </c>
      <c r="G71" s="69" t="s">
        <v>3507</v>
      </c>
      <c r="H71" s="69" t="s">
        <v>3488</v>
      </c>
    </row>
    <row r="72" spans="1:8" ht="15.5" x14ac:dyDescent="0.35">
      <c r="A72" s="70">
        <v>69</v>
      </c>
      <c r="B72" s="69" t="s">
        <v>3574</v>
      </c>
      <c r="C72" s="69" t="s">
        <v>78</v>
      </c>
      <c r="D72" s="69" t="s">
        <v>3580</v>
      </c>
      <c r="E72" s="69" t="s">
        <v>3581</v>
      </c>
      <c r="F72" s="69" t="s">
        <v>3496</v>
      </c>
      <c r="G72" s="69" t="s">
        <v>3507</v>
      </c>
      <c r="H72" s="69" t="s">
        <v>3490</v>
      </c>
    </row>
    <row r="73" spans="1:8" ht="15.5" x14ac:dyDescent="0.35">
      <c r="A73" s="70">
        <v>70</v>
      </c>
      <c r="B73" s="69" t="s">
        <v>3574</v>
      </c>
      <c r="C73" s="69" t="s">
        <v>78</v>
      </c>
      <c r="D73" s="69" t="s">
        <v>3581</v>
      </c>
      <c r="E73" s="69" t="s">
        <v>3582</v>
      </c>
      <c r="F73" s="69" t="s">
        <v>3496</v>
      </c>
      <c r="G73" s="69" t="s">
        <v>3507</v>
      </c>
      <c r="H73" s="69" t="s">
        <v>3493</v>
      </c>
    </row>
    <row r="74" spans="1:8" ht="15.5" x14ac:dyDescent="0.35">
      <c r="A74" s="70">
        <v>71</v>
      </c>
      <c r="B74" s="69" t="s">
        <v>3574</v>
      </c>
      <c r="C74" s="69" t="s">
        <v>78</v>
      </c>
      <c r="D74" s="69" t="s">
        <v>3582</v>
      </c>
      <c r="E74" s="69" t="s">
        <v>3583</v>
      </c>
      <c r="F74" s="69" t="s">
        <v>3496</v>
      </c>
      <c r="G74" s="69" t="s">
        <v>3507</v>
      </c>
      <c r="H74" s="69" t="s">
        <v>3496</v>
      </c>
    </row>
    <row r="75" spans="1:8" ht="15.5" x14ac:dyDescent="0.35">
      <c r="A75" s="70">
        <v>72</v>
      </c>
      <c r="B75" s="69" t="s">
        <v>3574</v>
      </c>
      <c r="C75" s="69" t="s">
        <v>78</v>
      </c>
      <c r="D75" s="69" t="s">
        <v>3583</v>
      </c>
      <c r="E75" s="69" t="s">
        <v>3584</v>
      </c>
      <c r="F75" s="69" t="s">
        <v>3496</v>
      </c>
      <c r="G75" s="69" t="s">
        <v>3507</v>
      </c>
      <c r="H75" s="69" t="s">
        <v>3487</v>
      </c>
    </row>
    <row r="76" spans="1:8" ht="15.5" x14ac:dyDescent="0.35">
      <c r="A76" s="70">
        <v>73</v>
      </c>
      <c r="B76" s="69" t="s">
        <v>3574</v>
      </c>
      <c r="C76" s="69" t="s">
        <v>78</v>
      </c>
      <c r="D76" s="69" t="s">
        <v>3584</v>
      </c>
      <c r="E76" s="69" t="s">
        <v>3585</v>
      </c>
      <c r="F76" s="69" t="s">
        <v>3496</v>
      </c>
      <c r="G76" s="69" t="s">
        <v>3507</v>
      </c>
      <c r="H76" s="69" t="s">
        <v>3501</v>
      </c>
    </row>
    <row r="77" spans="1:8" ht="15.5" x14ac:dyDescent="0.35">
      <c r="A77" s="70">
        <v>74</v>
      </c>
      <c r="B77" s="69" t="s">
        <v>3574</v>
      </c>
      <c r="C77" s="69" t="s">
        <v>78</v>
      </c>
      <c r="D77" s="69" t="s">
        <v>3585</v>
      </c>
      <c r="E77" s="69" t="s">
        <v>3586</v>
      </c>
      <c r="F77" s="69" t="s">
        <v>3496</v>
      </c>
      <c r="G77" s="69" t="s">
        <v>3507</v>
      </c>
      <c r="H77" s="69" t="s">
        <v>3504</v>
      </c>
    </row>
    <row r="78" spans="1:8" ht="15.5" x14ac:dyDescent="0.35">
      <c r="A78" s="70">
        <v>75</v>
      </c>
      <c r="B78" s="69" t="s">
        <v>3574</v>
      </c>
      <c r="C78" s="69" t="s">
        <v>79</v>
      </c>
      <c r="D78" s="69" t="s">
        <v>3586</v>
      </c>
      <c r="E78" s="69" t="s">
        <v>3587</v>
      </c>
      <c r="F78" s="69" t="s">
        <v>3496</v>
      </c>
      <c r="G78" s="69" t="s">
        <v>3510</v>
      </c>
      <c r="H78" s="69" t="s">
        <v>3510</v>
      </c>
    </row>
    <row r="79" spans="1:8" ht="15.5" x14ac:dyDescent="0.35">
      <c r="A79" s="70">
        <v>76</v>
      </c>
      <c r="B79" s="69" t="s">
        <v>3574</v>
      </c>
      <c r="C79" s="69" t="s">
        <v>79</v>
      </c>
      <c r="D79" s="69" t="s">
        <v>3587</v>
      </c>
      <c r="E79" s="69" t="s">
        <v>3588</v>
      </c>
      <c r="F79" s="69" t="s">
        <v>3496</v>
      </c>
      <c r="G79" s="69" t="s">
        <v>3510</v>
      </c>
      <c r="H79" s="69" t="s">
        <v>3488</v>
      </c>
    </row>
    <row r="80" spans="1:8" ht="15.5" x14ac:dyDescent="0.35">
      <c r="A80" s="70">
        <v>77</v>
      </c>
      <c r="B80" s="69" t="s">
        <v>3574</v>
      </c>
      <c r="C80" s="69" t="s">
        <v>79</v>
      </c>
      <c r="D80" s="69" t="s">
        <v>3588</v>
      </c>
      <c r="E80" s="69" t="s">
        <v>3589</v>
      </c>
      <c r="F80" s="69" t="s">
        <v>3496</v>
      </c>
      <c r="G80" s="69" t="s">
        <v>3510</v>
      </c>
      <c r="H80" s="69" t="s">
        <v>3490</v>
      </c>
    </row>
    <row r="81" spans="1:8" ht="15.5" x14ac:dyDescent="0.35">
      <c r="A81" s="70">
        <v>78</v>
      </c>
      <c r="B81" s="69" t="s">
        <v>3574</v>
      </c>
      <c r="C81" s="69" t="s">
        <v>79</v>
      </c>
      <c r="D81" s="69" t="s">
        <v>3589</v>
      </c>
      <c r="E81" s="69" t="s">
        <v>3590</v>
      </c>
      <c r="F81" s="69" t="s">
        <v>3496</v>
      </c>
      <c r="G81" s="69" t="s">
        <v>3510</v>
      </c>
      <c r="H81" s="69" t="s">
        <v>3493</v>
      </c>
    </row>
    <row r="82" spans="1:8" ht="15.5" x14ac:dyDescent="0.35">
      <c r="A82" s="70">
        <v>79</v>
      </c>
      <c r="B82" s="69" t="s">
        <v>3574</v>
      </c>
      <c r="C82" s="69" t="s">
        <v>79</v>
      </c>
      <c r="D82" s="69" t="s">
        <v>3590</v>
      </c>
      <c r="E82" s="69" t="s">
        <v>3591</v>
      </c>
      <c r="F82" s="69" t="s">
        <v>3496</v>
      </c>
      <c r="G82" s="69" t="s">
        <v>3510</v>
      </c>
      <c r="H82" s="69" t="s">
        <v>3496</v>
      </c>
    </row>
    <row r="83" spans="1:8" ht="15.5" x14ac:dyDescent="0.35">
      <c r="A83" s="70">
        <v>80</v>
      </c>
      <c r="B83" s="69" t="s">
        <v>3574</v>
      </c>
      <c r="C83" s="69" t="s">
        <v>79</v>
      </c>
      <c r="D83" s="69" t="s">
        <v>3591</v>
      </c>
      <c r="E83" s="69" t="s">
        <v>3551</v>
      </c>
      <c r="F83" s="69" t="s">
        <v>3496</v>
      </c>
      <c r="G83" s="69" t="s">
        <v>3510</v>
      </c>
      <c r="H83" s="69" t="s">
        <v>3487</v>
      </c>
    </row>
    <row r="84" spans="1:8" ht="15.5" x14ac:dyDescent="0.35">
      <c r="A84" s="70">
        <v>81</v>
      </c>
      <c r="B84" s="69" t="s">
        <v>3574</v>
      </c>
      <c r="C84" s="69" t="s">
        <v>79</v>
      </c>
      <c r="D84" s="69" t="s">
        <v>3551</v>
      </c>
      <c r="E84" s="69" t="s">
        <v>3552</v>
      </c>
      <c r="F84" s="69" t="s">
        <v>3496</v>
      </c>
      <c r="G84" s="69" t="s">
        <v>3510</v>
      </c>
      <c r="H84" s="69" t="s">
        <v>3501</v>
      </c>
    </row>
    <row r="85" spans="1:8" ht="15.5" x14ac:dyDescent="0.35">
      <c r="A85" s="70">
        <v>82</v>
      </c>
      <c r="B85" s="69" t="s">
        <v>3574</v>
      </c>
      <c r="C85" s="69" t="s">
        <v>79</v>
      </c>
      <c r="D85" s="69" t="s">
        <v>3552</v>
      </c>
      <c r="E85" s="69" t="s">
        <v>3553</v>
      </c>
      <c r="F85" s="69" t="s">
        <v>3496</v>
      </c>
      <c r="G85" s="69" t="s">
        <v>3510</v>
      </c>
      <c r="H85" s="69" t="s">
        <v>3504</v>
      </c>
    </row>
    <row r="86" spans="1:8" ht="15.5" x14ac:dyDescent="0.35">
      <c r="A86" s="70">
        <v>83</v>
      </c>
      <c r="B86" s="69" t="s">
        <v>3574</v>
      </c>
      <c r="C86" s="69" t="s">
        <v>79</v>
      </c>
      <c r="D86" s="69" t="s">
        <v>3553</v>
      </c>
      <c r="E86" s="69" t="s">
        <v>3528</v>
      </c>
      <c r="F86" s="69" t="s">
        <v>3496</v>
      </c>
      <c r="G86" s="69" t="s">
        <v>3510</v>
      </c>
      <c r="H86" s="69" t="s">
        <v>3507</v>
      </c>
    </row>
    <row r="87" spans="1:8" ht="15.5" x14ac:dyDescent="0.35">
      <c r="A87" s="70">
        <v>84</v>
      </c>
      <c r="B87" s="69" t="s">
        <v>3592</v>
      </c>
      <c r="C87" s="69" t="s">
        <v>80</v>
      </c>
      <c r="D87" s="69" t="s">
        <v>3530</v>
      </c>
      <c r="E87" s="69" t="s">
        <v>3593</v>
      </c>
      <c r="F87" s="69" t="s">
        <v>3493</v>
      </c>
      <c r="G87" s="69" t="s">
        <v>3488</v>
      </c>
      <c r="H87" s="69" t="s">
        <v>3488</v>
      </c>
    </row>
    <row r="88" spans="1:8" ht="15.5" x14ac:dyDescent="0.35">
      <c r="A88" s="70">
        <v>85</v>
      </c>
      <c r="B88" s="69" t="s">
        <v>3592</v>
      </c>
      <c r="C88" s="69" t="s">
        <v>80</v>
      </c>
      <c r="D88" s="69" t="s">
        <v>3593</v>
      </c>
      <c r="E88" s="69" t="s">
        <v>3533</v>
      </c>
      <c r="F88" s="69" t="s">
        <v>3493</v>
      </c>
      <c r="G88" s="69" t="s">
        <v>3488</v>
      </c>
      <c r="H88" s="69" t="s">
        <v>3490</v>
      </c>
    </row>
    <row r="89" spans="1:8" ht="15.5" x14ac:dyDescent="0.35">
      <c r="A89" s="70">
        <v>86</v>
      </c>
      <c r="B89" s="69" t="s">
        <v>3592</v>
      </c>
      <c r="C89" s="69" t="s">
        <v>80</v>
      </c>
      <c r="D89" s="69" t="s">
        <v>3533</v>
      </c>
      <c r="E89" s="69" t="s">
        <v>3594</v>
      </c>
      <c r="F89" s="69" t="s">
        <v>3493</v>
      </c>
      <c r="G89" s="69" t="s">
        <v>3488</v>
      </c>
      <c r="H89" s="69" t="s">
        <v>3493</v>
      </c>
    </row>
    <row r="90" spans="1:8" ht="15.5" x14ac:dyDescent="0.35">
      <c r="A90" s="70">
        <v>87</v>
      </c>
      <c r="B90" s="69" t="s">
        <v>3592</v>
      </c>
      <c r="C90" s="69" t="s">
        <v>80</v>
      </c>
      <c r="D90" s="69" t="s">
        <v>3594</v>
      </c>
      <c r="E90" s="69" t="s">
        <v>3595</v>
      </c>
      <c r="F90" s="69" t="s">
        <v>3493</v>
      </c>
      <c r="G90" s="69" t="s">
        <v>3488</v>
      </c>
      <c r="H90" s="69" t="s">
        <v>3496</v>
      </c>
    </row>
    <row r="91" spans="1:8" ht="15.5" x14ac:dyDescent="0.35">
      <c r="A91" s="70">
        <v>88</v>
      </c>
      <c r="B91" s="69" t="s">
        <v>3592</v>
      </c>
      <c r="C91" s="69" t="s">
        <v>80</v>
      </c>
      <c r="D91" s="69" t="s">
        <v>3595</v>
      </c>
      <c r="E91" s="69" t="s">
        <v>3498</v>
      </c>
      <c r="F91" s="69" t="s">
        <v>3493</v>
      </c>
      <c r="G91" s="69" t="s">
        <v>3488</v>
      </c>
      <c r="H91" s="69" t="s">
        <v>3487</v>
      </c>
    </row>
    <row r="92" spans="1:8" ht="15.5" x14ac:dyDescent="0.35">
      <c r="A92" s="70">
        <v>89</v>
      </c>
      <c r="B92" s="69" t="s">
        <v>3592</v>
      </c>
      <c r="C92" s="69" t="s">
        <v>80</v>
      </c>
      <c r="D92" s="69" t="s">
        <v>3498</v>
      </c>
      <c r="E92" s="69" t="s">
        <v>3500</v>
      </c>
      <c r="F92" s="69" t="s">
        <v>3493</v>
      </c>
      <c r="G92" s="69" t="s">
        <v>3488</v>
      </c>
      <c r="H92" s="69" t="s">
        <v>3501</v>
      </c>
    </row>
    <row r="93" spans="1:8" ht="15.5" x14ac:dyDescent="0.35">
      <c r="A93" s="70">
        <v>90</v>
      </c>
      <c r="B93" s="71" t="s">
        <v>3592</v>
      </c>
      <c r="C93" s="69" t="s">
        <v>80</v>
      </c>
      <c r="D93" s="71" t="s">
        <v>3500</v>
      </c>
      <c r="E93" s="71" t="s">
        <v>3503</v>
      </c>
      <c r="F93" s="71" t="s">
        <v>3493</v>
      </c>
      <c r="G93" s="71" t="s">
        <v>3488</v>
      </c>
      <c r="H93" s="71" t="s">
        <v>3504</v>
      </c>
    </row>
    <row r="94" spans="1:8" ht="15.5" x14ac:dyDescent="0.35">
      <c r="A94" s="70">
        <v>91</v>
      </c>
      <c r="B94" s="69" t="s">
        <v>3592</v>
      </c>
      <c r="C94" s="69" t="s">
        <v>80</v>
      </c>
      <c r="D94" s="69" t="s">
        <v>3503</v>
      </c>
      <c r="E94" s="69" t="s">
        <v>3506</v>
      </c>
      <c r="F94" s="69" t="s">
        <v>3493</v>
      </c>
      <c r="G94" s="69" t="s">
        <v>3488</v>
      </c>
      <c r="H94" s="69" t="s">
        <v>3507</v>
      </c>
    </row>
    <row r="95" spans="1:8" ht="15.5" x14ac:dyDescent="0.35">
      <c r="A95" s="70">
        <v>92</v>
      </c>
      <c r="B95" s="69" t="s">
        <v>3592</v>
      </c>
      <c r="C95" s="69" t="s">
        <v>80</v>
      </c>
      <c r="D95" s="69" t="s">
        <v>3506</v>
      </c>
      <c r="E95" s="69" t="s">
        <v>3509</v>
      </c>
      <c r="F95" s="69" t="s">
        <v>3493</v>
      </c>
      <c r="G95" s="69" t="s">
        <v>3488</v>
      </c>
      <c r="H95" s="69" t="s">
        <v>3510</v>
      </c>
    </row>
    <row r="96" spans="1:8" ht="15.5" x14ac:dyDescent="0.35">
      <c r="A96" s="70">
        <v>93</v>
      </c>
      <c r="B96" s="69" t="s">
        <v>3592</v>
      </c>
      <c r="C96" s="69" t="s">
        <v>81</v>
      </c>
      <c r="D96" s="69" t="s">
        <v>3509</v>
      </c>
      <c r="E96" s="69" t="s">
        <v>3596</v>
      </c>
      <c r="F96" s="69" t="s">
        <v>3493</v>
      </c>
      <c r="G96" s="69" t="s">
        <v>3490</v>
      </c>
      <c r="H96" s="69" t="s">
        <v>3490</v>
      </c>
    </row>
    <row r="97" spans="1:8" ht="15.5" x14ac:dyDescent="0.35">
      <c r="A97" s="70">
        <v>94</v>
      </c>
      <c r="B97" s="69" t="s">
        <v>3592</v>
      </c>
      <c r="C97" s="69" t="s">
        <v>81</v>
      </c>
      <c r="D97" s="69" t="s">
        <v>3596</v>
      </c>
      <c r="E97" s="69" t="s">
        <v>3515</v>
      </c>
      <c r="F97" s="69" t="s">
        <v>3493</v>
      </c>
      <c r="G97" s="69" t="s">
        <v>3490</v>
      </c>
      <c r="H97" s="69" t="s">
        <v>3493</v>
      </c>
    </row>
    <row r="98" spans="1:8" ht="15.5" x14ac:dyDescent="0.35">
      <c r="A98" s="70">
        <v>95</v>
      </c>
      <c r="B98" s="69" t="s">
        <v>3592</v>
      </c>
      <c r="C98" s="69" t="s">
        <v>81</v>
      </c>
      <c r="D98" s="69" t="s">
        <v>3515</v>
      </c>
      <c r="E98" s="69" t="s">
        <v>3516</v>
      </c>
      <c r="F98" s="69" t="s">
        <v>3493</v>
      </c>
      <c r="G98" s="69" t="s">
        <v>3490</v>
      </c>
      <c r="H98" s="69" t="s">
        <v>3496</v>
      </c>
    </row>
    <row r="99" spans="1:8" ht="15.5" x14ac:dyDescent="0.35">
      <c r="A99" s="70">
        <v>96</v>
      </c>
      <c r="B99" s="69" t="s">
        <v>3592</v>
      </c>
      <c r="C99" s="69" t="s">
        <v>81</v>
      </c>
      <c r="D99" s="69" t="s">
        <v>3516</v>
      </c>
      <c r="E99" s="69" t="s">
        <v>3517</v>
      </c>
      <c r="F99" s="69" t="s">
        <v>3493</v>
      </c>
      <c r="G99" s="69" t="s">
        <v>3490</v>
      </c>
      <c r="H99" s="69" t="s">
        <v>3487</v>
      </c>
    </row>
    <row r="100" spans="1:8" ht="15.5" x14ac:dyDescent="0.35">
      <c r="A100" s="70">
        <v>97</v>
      </c>
      <c r="B100" s="69" t="s">
        <v>3592</v>
      </c>
      <c r="C100" s="69" t="s">
        <v>81</v>
      </c>
      <c r="D100" s="69" t="s">
        <v>3517</v>
      </c>
      <c r="E100" s="69" t="s">
        <v>3518</v>
      </c>
      <c r="F100" s="69" t="s">
        <v>3493</v>
      </c>
      <c r="G100" s="69" t="s">
        <v>3490</v>
      </c>
      <c r="H100" s="69" t="s">
        <v>3501</v>
      </c>
    </row>
    <row r="101" spans="1:8" ht="15.5" x14ac:dyDescent="0.35">
      <c r="A101" s="70">
        <v>98</v>
      </c>
      <c r="B101" s="69" t="s">
        <v>3592</v>
      </c>
      <c r="C101" s="69" t="s">
        <v>81</v>
      </c>
      <c r="D101" s="69" t="s">
        <v>3518</v>
      </c>
      <c r="E101" s="69" t="s">
        <v>3519</v>
      </c>
      <c r="F101" s="69" t="s">
        <v>3493</v>
      </c>
      <c r="G101" s="69" t="s">
        <v>3490</v>
      </c>
      <c r="H101" s="69" t="s">
        <v>3504</v>
      </c>
    </row>
    <row r="102" spans="1:8" ht="15.5" x14ac:dyDescent="0.35">
      <c r="A102" s="70">
        <v>99</v>
      </c>
      <c r="B102" s="69" t="s">
        <v>3592</v>
      </c>
      <c r="C102" s="69" t="s">
        <v>81</v>
      </c>
      <c r="D102" s="69" t="s">
        <v>3519</v>
      </c>
      <c r="E102" s="69" t="s">
        <v>3520</v>
      </c>
      <c r="F102" s="69" t="s">
        <v>3493</v>
      </c>
      <c r="G102" s="69" t="s">
        <v>3490</v>
      </c>
      <c r="H102" s="69" t="s">
        <v>3507</v>
      </c>
    </row>
    <row r="103" spans="1:8" ht="15.5" x14ac:dyDescent="0.35">
      <c r="A103" s="70">
        <v>100</v>
      </c>
      <c r="B103" s="69" t="s">
        <v>3592</v>
      </c>
      <c r="C103" s="69" t="s">
        <v>81</v>
      </c>
      <c r="D103" s="69" t="s">
        <v>3520</v>
      </c>
      <c r="E103" s="69" t="s">
        <v>3521</v>
      </c>
      <c r="F103" s="69" t="s">
        <v>3493</v>
      </c>
      <c r="G103" s="69" t="s">
        <v>3490</v>
      </c>
      <c r="H103" s="69" t="s">
        <v>3510</v>
      </c>
    </row>
    <row r="104" spans="1:8" ht="15.5" x14ac:dyDescent="0.35">
      <c r="A104" s="70">
        <v>101</v>
      </c>
      <c r="B104" s="69" t="s">
        <v>3592</v>
      </c>
      <c r="C104" s="69" t="s">
        <v>81</v>
      </c>
      <c r="D104" s="69" t="s">
        <v>3521</v>
      </c>
      <c r="E104" s="69" t="s">
        <v>3522</v>
      </c>
      <c r="F104" s="69" t="s">
        <v>3493</v>
      </c>
      <c r="G104" s="69" t="s">
        <v>3490</v>
      </c>
      <c r="H104" s="69" t="s">
        <v>3488</v>
      </c>
    </row>
    <row r="105" spans="1:8" ht="15.5" x14ac:dyDescent="0.35">
      <c r="A105" s="70">
        <v>102</v>
      </c>
      <c r="B105" s="69" t="s">
        <v>3592</v>
      </c>
      <c r="C105" s="69" t="s">
        <v>82</v>
      </c>
      <c r="D105" s="69" t="s">
        <v>3522</v>
      </c>
      <c r="E105" s="69" t="s">
        <v>3525</v>
      </c>
      <c r="F105" s="69" t="s">
        <v>3493</v>
      </c>
      <c r="G105" s="69" t="s">
        <v>3493</v>
      </c>
      <c r="H105" s="69" t="s">
        <v>3493</v>
      </c>
    </row>
    <row r="106" spans="1:8" ht="15.5" x14ac:dyDescent="0.35">
      <c r="A106" s="70">
        <v>103</v>
      </c>
      <c r="B106" s="69" t="s">
        <v>3592</v>
      </c>
      <c r="C106" s="69" t="s">
        <v>82</v>
      </c>
      <c r="D106" s="69" t="s">
        <v>3525</v>
      </c>
      <c r="E106" s="69" t="s">
        <v>3526</v>
      </c>
      <c r="F106" s="69" t="s">
        <v>3493</v>
      </c>
      <c r="G106" s="69" t="s">
        <v>3493</v>
      </c>
      <c r="H106" s="69" t="s">
        <v>3496</v>
      </c>
    </row>
    <row r="107" spans="1:8" ht="15.5" x14ac:dyDescent="0.35">
      <c r="A107" s="70">
        <v>104</v>
      </c>
      <c r="B107" s="69" t="s">
        <v>3592</v>
      </c>
      <c r="C107" s="69" t="s">
        <v>82</v>
      </c>
      <c r="D107" s="69" t="s">
        <v>3526</v>
      </c>
      <c r="E107" s="69" t="s">
        <v>3527</v>
      </c>
      <c r="F107" s="69" t="s">
        <v>3493</v>
      </c>
      <c r="G107" s="69" t="s">
        <v>3493</v>
      </c>
      <c r="H107" s="69" t="s">
        <v>3487</v>
      </c>
    </row>
    <row r="108" spans="1:8" ht="15.5" x14ac:dyDescent="0.35">
      <c r="A108" s="70">
        <v>105</v>
      </c>
      <c r="B108" s="69" t="s">
        <v>3592</v>
      </c>
      <c r="C108" s="69" t="s">
        <v>82</v>
      </c>
      <c r="D108" s="69" t="s">
        <v>3527</v>
      </c>
      <c r="E108" s="69" t="s">
        <v>3528</v>
      </c>
      <c r="F108" s="69" t="s">
        <v>3493</v>
      </c>
      <c r="G108" s="69" t="s">
        <v>3493</v>
      </c>
      <c r="H108" s="69" t="s">
        <v>3501</v>
      </c>
    </row>
    <row r="109" spans="1:8" ht="15.5" x14ac:dyDescent="0.35">
      <c r="A109" s="70">
        <v>106</v>
      </c>
      <c r="B109" s="69" t="s">
        <v>3597</v>
      </c>
      <c r="C109" s="69" t="s">
        <v>82</v>
      </c>
      <c r="D109" s="69" t="s">
        <v>3530</v>
      </c>
      <c r="E109" s="69" t="s">
        <v>3531</v>
      </c>
      <c r="F109" s="69" t="s">
        <v>3510</v>
      </c>
      <c r="G109" s="69" t="s">
        <v>3493</v>
      </c>
      <c r="H109" s="69" t="s">
        <v>3501</v>
      </c>
    </row>
    <row r="110" spans="1:8" ht="15.5" x14ac:dyDescent="0.35">
      <c r="A110" s="70">
        <v>107</v>
      </c>
      <c r="B110" s="69" t="s">
        <v>3597</v>
      </c>
      <c r="C110" s="69" t="s">
        <v>82</v>
      </c>
      <c r="D110" s="69" t="s">
        <v>3531</v>
      </c>
      <c r="E110" s="69" t="s">
        <v>3533</v>
      </c>
      <c r="F110" s="69" t="s">
        <v>3510</v>
      </c>
      <c r="G110" s="69" t="s">
        <v>3493</v>
      </c>
      <c r="H110" s="69" t="s">
        <v>3504</v>
      </c>
    </row>
    <row r="111" spans="1:8" ht="15.5" x14ac:dyDescent="0.35">
      <c r="A111" s="70">
        <v>108</v>
      </c>
      <c r="B111" s="69" t="s">
        <v>3597</v>
      </c>
      <c r="C111" s="69" t="s">
        <v>82</v>
      </c>
      <c r="D111" s="69" t="s">
        <v>3533</v>
      </c>
      <c r="E111" s="69" t="s">
        <v>3534</v>
      </c>
      <c r="F111" s="69" t="s">
        <v>3510</v>
      </c>
      <c r="G111" s="69" t="s">
        <v>3493</v>
      </c>
      <c r="H111" s="69" t="s">
        <v>3507</v>
      </c>
    </row>
    <row r="112" spans="1:8" ht="15.5" x14ac:dyDescent="0.35">
      <c r="A112" s="70">
        <v>109</v>
      </c>
      <c r="B112" s="69" t="s">
        <v>3597</v>
      </c>
      <c r="C112" s="69" t="s">
        <v>82</v>
      </c>
      <c r="D112" s="69" t="s">
        <v>3534</v>
      </c>
      <c r="E112" s="69" t="s">
        <v>3535</v>
      </c>
      <c r="F112" s="69" t="s">
        <v>3510</v>
      </c>
      <c r="G112" s="69" t="s">
        <v>3493</v>
      </c>
      <c r="H112" s="69" t="s">
        <v>3510</v>
      </c>
    </row>
    <row r="113" spans="1:8" ht="15.5" x14ac:dyDescent="0.35">
      <c r="A113" s="70">
        <v>110</v>
      </c>
      <c r="B113" s="69" t="s">
        <v>3597</v>
      </c>
      <c r="C113" s="69" t="s">
        <v>82</v>
      </c>
      <c r="D113" s="69" t="s">
        <v>3535</v>
      </c>
      <c r="E113" s="69" t="s">
        <v>3536</v>
      </c>
      <c r="F113" s="69" t="s">
        <v>3510</v>
      </c>
      <c r="G113" s="69" t="s">
        <v>3493</v>
      </c>
      <c r="H113" s="69" t="s">
        <v>3488</v>
      </c>
    </row>
    <row r="114" spans="1:8" ht="15.5" x14ac:dyDescent="0.35">
      <c r="A114" s="70">
        <v>111</v>
      </c>
      <c r="B114" s="69" t="s">
        <v>3597</v>
      </c>
      <c r="C114" s="69" t="s">
        <v>82</v>
      </c>
      <c r="D114" s="69" t="s">
        <v>3536</v>
      </c>
      <c r="E114" s="69" t="s">
        <v>3538</v>
      </c>
      <c r="F114" s="69" t="s">
        <v>3510</v>
      </c>
      <c r="G114" s="69" t="s">
        <v>3493</v>
      </c>
      <c r="H114" s="69" t="s">
        <v>3490</v>
      </c>
    </row>
    <row r="115" spans="1:8" ht="15.5" x14ac:dyDescent="0.35">
      <c r="A115" s="70">
        <v>112</v>
      </c>
      <c r="B115" s="69" t="s">
        <v>3597</v>
      </c>
      <c r="C115" s="69" t="s">
        <v>83</v>
      </c>
      <c r="D115" s="69" t="s">
        <v>3538</v>
      </c>
      <c r="E115" s="69" t="s">
        <v>3541</v>
      </c>
      <c r="F115" s="69" t="s">
        <v>3510</v>
      </c>
      <c r="G115" s="69" t="s">
        <v>3496</v>
      </c>
      <c r="H115" s="69" t="s">
        <v>3496</v>
      </c>
    </row>
    <row r="116" spans="1:8" ht="15.5" x14ac:dyDescent="0.35">
      <c r="A116" s="70">
        <v>113</v>
      </c>
      <c r="B116" s="69" t="s">
        <v>3597</v>
      </c>
      <c r="C116" s="69" t="s">
        <v>83</v>
      </c>
      <c r="D116" s="69" t="s">
        <v>3541</v>
      </c>
      <c r="E116" s="69" t="s">
        <v>3542</v>
      </c>
      <c r="F116" s="69" t="s">
        <v>3510</v>
      </c>
      <c r="G116" s="69" t="s">
        <v>3496</v>
      </c>
      <c r="H116" s="69" t="s">
        <v>3487</v>
      </c>
    </row>
    <row r="117" spans="1:8" ht="15.5" x14ac:dyDescent="0.35">
      <c r="A117" s="70">
        <v>114</v>
      </c>
      <c r="B117" s="69" t="s">
        <v>3597</v>
      </c>
      <c r="C117" s="69" t="s">
        <v>83</v>
      </c>
      <c r="D117" s="69" t="s">
        <v>3542</v>
      </c>
      <c r="E117" s="69" t="s">
        <v>3543</v>
      </c>
      <c r="F117" s="69" t="s">
        <v>3510</v>
      </c>
      <c r="G117" s="69" t="s">
        <v>3496</v>
      </c>
      <c r="H117" s="69" t="s">
        <v>3501</v>
      </c>
    </row>
    <row r="118" spans="1:8" ht="15.5" x14ac:dyDescent="0.35">
      <c r="A118" s="70">
        <v>115</v>
      </c>
      <c r="B118" s="69" t="s">
        <v>3597</v>
      </c>
      <c r="C118" s="69" t="s">
        <v>83</v>
      </c>
      <c r="D118" s="69" t="s">
        <v>3543</v>
      </c>
      <c r="E118" s="69" t="s">
        <v>3544</v>
      </c>
      <c r="F118" s="69" t="s">
        <v>3510</v>
      </c>
      <c r="G118" s="69" t="s">
        <v>3496</v>
      </c>
      <c r="H118" s="69" t="s">
        <v>3504</v>
      </c>
    </row>
    <row r="119" spans="1:8" ht="15.5" x14ac:dyDescent="0.35">
      <c r="A119" s="70">
        <v>116</v>
      </c>
      <c r="B119" s="69" t="s">
        <v>3597</v>
      </c>
      <c r="C119" s="69" t="s">
        <v>83</v>
      </c>
      <c r="D119" s="69" t="s">
        <v>3544</v>
      </c>
      <c r="E119" s="69" t="s">
        <v>3545</v>
      </c>
      <c r="F119" s="69" t="s">
        <v>3510</v>
      </c>
      <c r="G119" s="69" t="s">
        <v>3496</v>
      </c>
      <c r="H119" s="69" t="s">
        <v>3507</v>
      </c>
    </row>
    <row r="120" spans="1:8" ht="15.5" x14ac:dyDescent="0.35">
      <c r="A120" s="70">
        <v>117</v>
      </c>
      <c r="B120" s="69" t="s">
        <v>3597</v>
      </c>
      <c r="C120" s="69" t="s">
        <v>83</v>
      </c>
      <c r="D120" s="69" t="s">
        <v>3545</v>
      </c>
      <c r="E120" s="69" t="s">
        <v>3546</v>
      </c>
      <c r="F120" s="69" t="s">
        <v>3510</v>
      </c>
      <c r="G120" s="69" t="s">
        <v>3496</v>
      </c>
      <c r="H120" s="69" t="s">
        <v>3510</v>
      </c>
    </row>
    <row r="121" spans="1:8" ht="15.5" x14ac:dyDescent="0.35">
      <c r="A121" s="70">
        <v>118</v>
      </c>
      <c r="B121" s="69" t="s">
        <v>3597</v>
      </c>
      <c r="C121" s="69" t="s">
        <v>83</v>
      </c>
      <c r="D121" s="69" t="s">
        <v>3546</v>
      </c>
      <c r="E121" s="69" t="s">
        <v>3547</v>
      </c>
      <c r="F121" s="69" t="s">
        <v>3510</v>
      </c>
      <c r="G121" s="69" t="s">
        <v>3496</v>
      </c>
      <c r="H121" s="69" t="s">
        <v>3488</v>
      </c>
    </row>
    <row r="122" spans="1:8" ht="15.5" x14ac:dyDescent="0.35">
      <c r="A122" s="70">
        <v>119</v>
      </c>
      <c r="B122" s="69" t="s">
        <v>3597</v>
      </c>
      <c r="C122" s="69" t="s">
        <v>83</v>
      </c>
      <c r="D122" s="69" t="s">
        <v>3547</v>
      </c>
      <c r="E122" s="69" t="s">
        <v>3548</v>
      </c>
      <c r="F122" s="69" t="s">
        <v>3510</v>
      </c>
      <c r="G122" s="69" t="s">
        <v>3496</v>
      </c>
      <c r="H122" s="69" t="s">
        <v>3490</v>
      </c>
    </row>
    <row r="123" spans="1:8" ht="15.5" x14ac:dyDescent="0.35">
      <c r="A123" s="70">
        <v>120</v>
      </c>
      <c r="B123" s="69" t="s">
        <v>3597</v>
      </c>
      <c r="C123" s="69" t="s">
        <v>83</v>
      </c>
      <c r="D123" s="69" t="s">
        <v>3548</v>
      </c>
      <c r="E123" s="69" t="s">
        <v>3549</v>
      </c>
      <c r="F123" s="69" t="s">
        <v>3510</v>
      </c>
      <c r="G123" s="69" t="s">
        <v>3496</v>
      </c>
      <c r="H123" s="69" t="s">
        <v>3493</v>
      </c>
    </row>
    <row r="124" spans="1:8" ht="15.5" x14ac:dyDescent="0.35">
      <c r="A124" s="70">
        <v>121</v>
      </c>
      <c r="B124" s="71" t="s">
        <v>3597</v>
      </c>
      <c r="C124" s="69" t="s">
        <v>84</v>
      </c>
      <c r="D124" s="71" t="s">
        <v>3549</v>
      </c>
      <c r="E124" s="71" t="s">
        <v>3551</v>
      </c>
      <c r="F124" s="71" t="s">
        <v>3510</v>
      </c>
      <c r="G124" s="71" t="s">
        <v>3487</v>
      </c>
      <c r="H124" s="71" t="s">
        <v>3487</v>
      </c>
    </row>
    <row r="125" spans="1:8" ht="15.5" x14ac:dyDescent="0.35">
      <c r="A125" s="70">
        <v>122</v>
      </c>
      <c r="B125" s="69" t="s">
        <v>3597</v>
      </c>
      <c r="C125" s="69" t="s">
        <v>84</v>
      </c>
      <c r="D125" s="69" t="s">
        <v>3551</v>
      </c>
      <c r="E125" s="69" t="s">
        <v>3552</v>
      </c>
      <c r="F125" s="69" t="s">
        <v>3510</v>
      </c>
      <c r="G125" s="69" t="s">
        <v>3487</v>
      </c>
      <c r="H125" s="69" t="s">
        <v>3501</v>
      </c>
    </row>
    <row r="126" spans="1:8" ht="15.5" x14ac:dyDescent="0.35">
      <c r="A126" s="70">
        <v>123</v>
      </c>
      <c r="B126" s="69" t="s">
        <v>3597</v>
      </c>
      <c r="C126" s="69" t="s">
        <v>84</v>
      </c>
      <c r="D126" s="69" t="s">
        <v>3552</v>
      </c>
      <c r="E126" s="69" t="s">
        <v>3553</v>
      </c>
      <c r="F126" s="69" t="s">
        <v>3510</v>
      </c>
      <c r="G126" s="69" t="s">
        <v>3487</v>
      </c>
      <c r="H126" s="69" t="s">
        <v>3504</v>
      </c>
    </row>
    <row r="127" spans="1:8" ht="15.5" x14ac:dyDescent="0.35">
      <c r="A127" s="70">
        <v>124</v>
      </c>
      <c r="B127" s="69" t="s">
        <v>3597</v>
      </c>
      <c r="C127" s="69" t="s">
        <v>84</v>
      </c>
      <c r="D127" s="69" t="s">
        <v>3553</v>
      </c>
      <c r="E127" s="69" t="s">
        <v>3528</v>
      </c>
      <c r="F127" s="69" t="s">
        <v>3510</v>
      </c>
      <c r="G127" s="69" t="s">
        <v>3487</v>
      </c>
      <c r="H127" s="69" t="s">
        <v>3507</v>
      </c>
    </row>
    <row r="128" spans="1:8" ht="15.5" x14ac:dyDescent="0.35">
      <c r="A128" s="70">
        <v>125</v>
      </c>
      <c r="B128" s="69" t="s">
        <v>3598</v>
      </c>
      <c r="C128" s="69" t="s">
        <v>84</v>
      </c>
      <c r="D128" s="69" t="s">
        <v>3530</v>
      </c>
      <c r="E128" s="69" t="s">
        <v>3555</v>
      </c>
      <c r="F128" s="69" t="s">
        <v>3490</v>
      </c>
      <c r="G128" s="69" t="s">
        <v>3487</v>
      </c>
      <c r="H128" s="69" t="s">
        <v>3510</v>
      </c>
    </row>
    <row r="129" spans="1:8" ht="15.5" x14ac:dyDescent="0.35">
      <c r="A129" s="70">
        <v>126</v>
      </c>
      <c r="B129" s="69" t="s">
        <v>3598</v>
      </c>
      <c r="C129" s="69" t="s">
        <v>84</v>
      </c>
      <c r="D129" s="69" t="s">
        <v>3555</v>
      </c>
      <c r="E129" s="69" t="s">
        <v>3556</v>
      </c>
      <c r="F129" s="69" t="s">
        <v>3490</v>
      </c>
      <c r="G129" s="69" t="s">
        <v>3487</v>
      </c>
      <c r="H129" s="69" t="s">
        <v>3488</v>
      </c>
    </row>
    <row r="130" spans="1:8" ht="15.5" x14ac:dyDescent="0.35">
      <c r="A130" s="70">
        <v>127</v>
      </c>
      <c r="B130" s="69" t="s">
        <v>3598</v>
      </c>
      <c r="C130" s="69" t="s">
        <v>84</v>
      </c>
      <c r="D130" s="69" t="s">
        <v>3556</v>
      </c>
      <c r="E130" s="69" t="s">
        <v>3557</v>
      </c>
      <c r="F130" s="69" t="s">
        <v>3490</v>
      </c>
      <c r="G130" s="69" t="s">
        <v>3487</v>
      </c>
      <c r="H130" s="69" t="s">
        <v>3490</v>
      </c>
    </row>
    <row r="131" spans="1:8" ht="15.5" x14ac:dyDescent="0.35">
      <c r="A131" s="70">
        <v>128</v>
      </c>
      <c r="B131" s="69" t="s">
        <v>3598</v>
      </c>
      <c r="C131" s="69" t="s">
        <v>84</v>
      </c>
      <c r="D131" s="69" t="s">
        <v>3557</v>
      </c>
      <c r="E131" s="69" t="s">
        <v>3498</v>
      </c>
      <c r="F131" s="69" t="s">
        <v>3490</v>
      </c>
      <c r="G131" s="69" t="s">
        <v>3487</v>
      </c>
      <c r="H131" s="69" t="s">
        <v>3493</v>
      </c>
    </row>
    <row r="132" spans="1:8" ht="15.5" x14ac:dyDescent="0.35">
      <c r="A132" s="70">
        <v>129</v>
      </c>
      <c r="B132" s="69" t="s">
        <v>3598</v>
      </c>
      <c r="C132" s="69" t="s">
        <v>84</v>
      </c>
      <c r="D132" s="69" t="s">
        <v>3498</v>
      </c>
      <c r="E132" s="69" t="s">
        <v>3558</v>
      </c>
      <c r="F132" s="69" t="s">
        <v>3490</v>
      </c>
      <c r="G132" s="69" t="s">
        <v>3487</v>
      </c>
      <c r="H132" s="69" t="s">
        <v>3496</v>
      </c>
    </row>
    <row r="133" spans="1:8" ht="15.5" x14ac:dyDescent="0.35">
      <c r="A133" s="70">
        <v>130</v>
      </c>
      <c r="B133" s="69" t="s">
        <v>3598</v>
      </c>
      <c r="C133" s="69" t="s">
        <v>85</v>
      </c>
      <c r="D133" s="69" t="s">
        <v>3558</v>
      </c>
      <c r="E133" s="69" t="s">
        <v>3599</v>
      </c>
      <c r="F133" s="69" t="s">
        <v>3490</v>
      </c>
      <c r="G133" s="69" t="s">
        <v>3501</v>
      </c>
      <c r="H133" s="69" t="s">
        <v>3501</v>
      </c>
    </row>
    <row r="134" spans="1:8" ht="15.5" x14ac:dyDescent="0.35">
      <c r="A134" s="70">
        <v>131</v>
      </c>
      <c r="B134" s="69" t="s">
        <v>3598</v>
      </c>
      <c r="C134" s="69" t="s">
        <v>85</v>
      </c>
      <c r="D134" s="69" t="s">
        <v>3599</v>
      </c>
      <c r="E134" s="69" t="s">
        <v>3560</v>
      </c>
      <c r="F134" s="69" t="s">
        <v>3490</v>
      </c>
      <c r="G134" s="69" t="s">
        <v>3501</v>
      </c>
      <c r="H134" s="69" t="s">
        <v>3504</v>
      </c>
    </row>
    <row r="135" spans="1:8" ht="15.5" x14ac:dyDescent="0.35">
      <c r="A135" s="70">
        <v>132</v>
      </c>
      <c r="B135" s="69" t="s">
        <v>3598</v>
      </c>
      <c r="C135" s="69" t="s">
        <v>85</v>
      </c>
      <c r="D135" s="69" t="s">
        <v>3560</v>
      </c>
      <c r="E135" s="69" t="s">
        <v>3561</v>
      </c>
      <c r="F135" s="69" t="s">
        <v>3490</v>
      </c>
      <c r="G135" s="69" t="s">
        <v>3501</v>
      </c>
      <c r="H135" s="69" t="s">
        <v>3507</v>
      </c>
    </row>
    <row r="136" spans="1:8" ht="15.5" x14ac:dyDescent="0.35">
      <c r="A136" s="70">
        <v>133</v>
      </c>
      <c r="B136" s="69" t="s">
        <v>3598</v>
      </c>
      <c r="C136" s="69" t="s">
        <v>85</v>
      </c>
      <c r="D136" s="69" t="s">
        <v>3561</v>
      </c>
      <c r="E136" s="69" t="s">
        <v>3563</v>
      </c>
      <c r="F136" s="69" t="s">
        <v>3490</v>
      </c>
      <c r="G136" s="69" t="s">
        <v>3501</v>
      </c>
      <c r="H136" s="69" t="s">
        <v>3510</v>
      </c>
    </row>
    <row r="137" spans="1:8" ht="15.5" x14ac:dyDescent="0.35">
      <c r="A137" s="70">
        <v>134</v>
      </c>
      <c r="B137" s="69" t="s">
        <v>3598</v>
      </c>
      <c r="C137" s="69" t="s">
        <v>85</v>
      </c>
      <c r="D137" s="69" t="s">
        <v>3563</v>
      </c>
      <c r="E137" s="69" t="s">
        <v>3564</v>
      </c>
      <c r="F137" s="69" t="s">
        <v>3490</v>
      </c>
      <c r="G137" s="69" t="s">
        <v>3501</v>
      </c>
      <c r="H137" s="69" t="s">
        <v>3488</v>
      </c>
    </row>
    <row r="138" spans="1:8" ht="15.5" x14ac:dyDescent="0.35">
      <c r="A138" s="70">
        <v>135</v>
      </c>
      <c r="B138" s="69" t="s">
        <v>3598</v>
      </c>
      <c r="C138" s="69" t="s">
        <v>85</v>
      </c>
      <c r="D138" s="69" t="s">
        <v>3564</v>
      </c>
      <c r="E138" s="69" t="s">
        <v>3565</v>
      </c>
      <c r="F138" s="69" t="s">
        <v>3490</v>
      </c>
      <c r="G138" s="69" t="s">
        <v>3501</v>
      </c>
      <c r="H138" s="69" t="s">
        <v>3490</v>
      </c>
    </row>
    <row r="139" spans="1:8" ht="15.5" x14ac:dyDescent="0.35">
      <c r="A139" s="70">
        <v>136</v>
      </c>
      <c r="B139" s="69" t="s">
        <v>3598</v>
      </c>
      <c r="C139" s="69" t="s">
        <v>85</v>
      </c>
      <c r="D139" s="69" t="s">
        <v>3565</v>
      </c>
      <c r="E139" s="69" t="s">
        <v>3517</v>
      </c>
      <c r="F139" s="69" t="s">
        <v>3490</v>
      </c>
      <c r="G139" s="69" t="s">
        <v>3501</v>
      </c>
      <c r="H139" s="69" t="s">
        <v>3493</v>
      </c>
    </row>
    <row r="140" spans="1:8" ht="15.5" x14ac:dyDescent="0.35">
      <c r="A140" s="70">
        <v>137</v>
      </c>
      <c r="B140" s="69" t="s">
        <v>3598</v>
      </c>
      <c r="C140" s="69" t="s">
        <v>85</v>
      </c>
      <c r="D140" s="69" t="s">
        <v>3517</v>
      </c>
      <c r="E140" s="69" t="s">
        <v>3566</v>
      </c>
      <c r="F140" s="69" t="s">
        <v>3490</v>
      </c>
      <c r="G140" s="69" t="s">
        <v>3501</v>
      </c>
      <c r="H140" s="69" t="s">
        <v>3496</v>
      </c>
    </row>
    <row r="141" spans="1:8" ht="15.5" x14ac:dyDescent="0.35">
      <c r="A141" s="70">
        <v>138</v>
      </c>
      <c r="B141" s="69" t="s">
        <v>3598</v>
      </c>
      <c r="C141" s="69" t="s">
        <v>85</v>
      </c>
      <c r="D141" s="69" t="s">
        <v>3566</v>
      </c>
      <c r="E141" s="69" t="s">
        <v>3567</v>
      </c>
      <c r="F141" s="69" t="s">
        <v>3490</v>
      </c>
      <c r="G141" s="69" t="s">
        <v>3501</v>
      </c>
      <c r="H141" s="69" t="s">
        <v>3487</v>
      </c>
    </row>
    <row r="142" spans="1:8" ht="15.5" x14ac:dyDescent="0.35">
      <c r="A142" s="70">
        <v>139</v>
      </c>
      <c r="B142" s="69" t="s">
        <v>3598</v>
      </c>
      <c r="C142" s="69" t="s">
        <v>86</v>
      </c>
      <c r="D142" s="69" t="s">
        <v>3567</v>
      </c>
      <c r="E142" s="69" t="s">
        <v>3568</v>
      </c>
      <c r="F142" s="69" t="s">
        <v>3490</v>
      </c>
      <c r="G142" s="69" t="s">
        <v>3504</v>
      </c>
      <c r="H142" s="69" t="s">
        <v>3504</v>
      </c>
    </row>
    <row r="143" spans="1:8" ht="15.5" x14ac:dyDescent="0.35">
      <c r="A143" s="70">
        <v>140</v>
      </c>
      <c r="B143" s="69" t="s">
        <v>3598</v>
      </c>
      <c r="C143" s="69" t="s">
        <v>86</v>
      </c>
      <c r="D143" s="69" t="s">
        <v>3568</v>
      </c>
      <c r="E143" s="69" t="s">
        <v>3569</v>
      </c>
      <c r="F143" s="69" t="s">
        <v>3490</v>
      </c>
      <c r="G143" s="69" t="s">
        <v>3504</v>
      </c>
      <c r="H143" s="69" t="s">
        <v>3507</v>
      </c>
    </row>
    <row r="144" spans="1:8" ht="15.5" x14ac:dyDescent="0.35">
      <c r="A144" s="70">
        <v>141</v>
      </c>
      <c r="B144" s="69" t="s">
        <v>3598</v>
      </c>
      <c r="C144" s="69" t="s">
        <v>86</v>
      </c>
      <c r="D144" s="69" t="s">
        <v>3569</v>
      </c>
      <c r="E144" s="69" t="s">
        <v>3570</v>
      </c>
      <c r="F144" s="69" t="s">
        <v>3490</v>
      </c>
      <c r="G144" s="69" t="s">
        <v>3504</v>
      </c>
      <c r="H144" s="69" t="s">
        <v>3510</v>
      </c>
    </row>
    <row r="145" spans="1:8" ht="15.5" x14ac:dyDescent="0.35">
      <c r="A145" s="70">
        <v>142</v>
      </c>
      <c r="B145" s="69" t="s">
        <v>3598</v>
      </c>
      <c r="C145" s="69" t="s">
        <v>86</v>
      </c>
      <c r="D145" s="69" t="s">
        <v>3570</v>
      </c>
      <c r="E145" s="69" t="s">
        <v>3571</v>
      </c>
      <c r="F145" s="69" t="s">
        <v>3490</v>
      </c>
      <c r="G145" s="69" t="s">
        <v>3504</v>
      </c>
      <c r="H145" s="69" t="s">
        <v>3488</v>
      </c>
    </row>
    <row r="146" spans="1:8" ht="15.5" x14ac:dyDescent="0.35">
      <c r="A146" s="70">
        <v>143</v>
      </c>
      <c r="B146" s="69" t="s">
        <v>3598</v>
      </c>
      <c r="C146" s="69" t="s">
        <v>86</v>
      </c>
      <c r="D146" s="69" t="s">
        <v>3571</v>
      </c>
      <c r="E146" s="69" t="s">
        <v>3572</v>
      </c>
      <c r="F146" s="69" t="s">
        <v>3490</v>
      </c>
      <c r="G146" s="69" t="s">
        <v>3504</v>
      </c>
      <c r="H146" s="69" t="s">
        <v>3490</v>
      </c>
    </row>
    <row r="147" spans="1:8" ht="15.5" x14ac:dyDescent="0.35">
      <c r="A147" s="70">
        <v>144</v>
      </c>
      <c r="B147" s="69" t="s">
        <v>3598</v>
      </c>
      <c r="C147" s="69" t="s">
        <v>86</v>
      </c>
      <c r="D147" s="69" t="s">
        <v>3572</v>
      </c>
      <c r="E147" s="69" t="s">
        <v>3573</v>
      </c>
      <c r="F147" s="69" t="s">
        <v>3490</v>
      </c>
      <c r="G147" s="69" t="s">
        <v>3504</v>
      </c>
      <c r="H147" s="69" t="s">
        <v>3493</v>
      </c>
    </row>
    <row r="148" spans="1:8" ht="15.5" x14ac:dyDescent="0.35">
      <c r="A148" s="70">
        <v>145</v>
      </c>
      <c r="B148" s="69" t="s">
        <v>3598</v>
      </c>
      <c r="C148" s="69" t="s">
        <v>86</v>
      </c>
      <c r="D148" s="69" t="s">
        <v>3573</v>
      </c>
      <c r="E148" s="69" t="s">
        <v>3528</v>
      </c>
      <c r="F148" s="69" t="s">
        <v>3490</v>
      </c>
      <c r="G148" s="69" t="s">
        <v>3504</v>
      </c>
      <c r="H148" s="69" t="s">
        <v>3496</v>
      </c>
    </row>
    <row r="149" spans="1:8" ht="15.5" x14ac:dyDescent="0.35">
      <c r="A149" s="70">
        <v>146</v>
      </c>
      <c r="B149" s="69" t="s">
        <v>3600</v>
      </c>
      <c r="C149" s="69" t="s">
        <v>86</v>
      </c>
      <c r="D149" s="69" t="s">
        <v>3530</v>
      </c>
      <c r="E149" s="69" t="s">
        <v>3575</v>
      </c>
      <c r="F149" s="69" t="s">
        <v>3487</v>
      </c>
      <c r="G149" s="69" t="s">
        <v>3504</v>
      </c>
      <c r="H149" s="69" t="s">
        <v>3496</v>
      </c>
    </row>
    <row r="150" spans="1:8" ht="15.5" x14ac:dyDescent="0.35">
      <c r="A150" s="70">
        <v>147</v>
      </c>
      <c r="B150" s="69" t="s">
        <v>3600</v>
      </c>
      <c r="C150" s="69" t="s">
        <v>86</v>
      </c>
      <c r="D150" s="69" t="s">
        <v>3575</v>
      </c>
      <c r="E150" s="69" t="s">
        <v>3576</v>
      </c>
      <c r="F150" s="69" t="s">
        <v>3487</v>
      </c>
      <c r="G150" s="69" t="s">
        <v>3504</v>
      </c>
      <c r="H150" s="69" t="s">
        <v>3487</v>
      </c>
    </row>
    <row r="151" spans="1:8" ht="15.5" x14ac:dyDescent="0.35">
      <c r="A151" s="70">
        <v>148</v>
      </c>
      <c r="B151" s="69" t="s">
        <v>3600</v>
      </c>
      <c r="C151" s="69" t="s">
        <v>86</v>
      </c>
      <c r="D151" s="69" t="s">
        <v>3576</v>
      </c>
      <c r="E151" s="69" t="s">
        <v>3577</v>
      </c>
      <c r="F151" s="69" t="s">
        <v>3487</v>
      </c>
      <c r="G151" s="69" t="s">
        <v>3504</v>
      </c>
      <c r="H151" s="69" t="s">
        <v>3501</v>
      </c>
    </row>
    <row r="152" spans="1:8" ht="15.5" x14ac:dyDescent="0.35">
      <c r="A152" s="70">
        <v>149</v>
      </c>
      <c r="B152" s="69" t="s">
        <v>3600</v>
      </c>
      <c r="C152" s="69" t="s">
        <v>87</v>
      </c>
      <c r="D152" s="69" t="s">
        <v>3577</v>
      </c>
      <c r="E152" s="69" t="s">
        <v>3578</v>
      </c>
      <c r="F152" s="69" t="s">
        <v>3487</v>
      </c>
      <c r="G152" s="69" t="s">
        <v>3507</v>
      </c>
      <c r="H152" s="69" t="s">
        <v>3507</v>
      </c>
    </row>
    <row r="153" spans="1:8" ht="15.5" x14ac:dyDescent="0.35">
      <c r="A153" s="70">
        <v>150</v>
      </c>
      <c r="B153" s="69" t="s">
        <v>3600</v>
      </c>
      <c r="C153" s="69" t="s">
        <v>87</v>
      </c>
      <c r="D153" s="69" t="s">
        <v>3578</v>
      </c>
      <c r="E153" s="69" t="s">
        <v>3579</v>
      </c>
      <c r="F153" s="69" t="s">
        <v>3487</v>
      </c>
      <c r="G153" s="69" t="s">
        <v>3507</v>
      </c>
      <c r="H153" s="69" t="s">
        <v>3510</v>
      </c>
    </row>
    <row r="154" spans="1:8" ht="15.5" x14ac:dyDescent="0.35">
      <c r="A154" s="70">
        <v>151</v>
      </c>
      <c r="B154" s="71" t="s">
        <v>3600</v>
      </c>
      <c r="C154" s="69" t="s">
        <v>87</v>
      </c>
      <c r="D154" s="71" t="s">
        <v>3579</v>
      </c>
      <c r="E154" s="71" t="s">
        <v>3580</v>
      </c>
      <c r="F154" s="71" t="s">
        <v>3487</v>
      </c>
      <c r="G154" s="71" t="s">
        <v>3507</v>
      </c>
      <c r="H154" s="71" t="s">
        <v>3488</v>
      </c>
    </row>
    <row r="155" spans="1:8" ht="15.5" x14ac:dyDescent="0.35">
      <c r="A155" s="70">
        <v>152</v>
      </c>
      <c r="B155" s="69" t="s">
        <v>3600</v>
      </c>
      <c r="C155" s="69" t="s">
        <v>87</v>
      </c>
      <c r="D155" s="69" t="s">
        <v>3580</v>
      </c>
      <c r="E155" s="69" t="s">
        <v>3581</v>
      </c>
      <c r="F155" s="69" t="s">
        <v>3487</v>
      </c>
      <c r="G155" s="69" t="s">
        <v>3507</v>
      </c>
      <c r="H155" s="69" t="s">
        <v>3490</v>
      </c>
    </row>
    <row r="156" spans="1:8" ht="15.5" x14ac:dyDescent="0.35">
      <c r="A156" s="70">
        <v>153</v>
      </c>
      <c r="B156" s="69" t="s">
        <v>3600</v>
      </c>
      <c r="C156" s="69" t="s">
        <v>87</v>
      </c>
      <c r="D156" s="69" t="s">
        <v>3581</v>
      </c>
      <c r="E156" s="69" t="s">
        <v>3601</v>
      </c>
      <c r="F156" s="69" t="s">
        <v>3487</v>
      </c>
      <c r="G156" s="69" t="s">
        <v>3507</v>
      </c>
      <c r="H156" s="69" t="s">
        <v>3493</v>
      </c>
    </row>
    <row r="157" spans="1:8" ht="15.5" x14ac:dyDescent="0.35">
      <c r="A157" s="70">
        <v>154</v>
      </c>
      <c r="B157" s="69" t="s">
        <v>3600</v>
      </c>
      <c r="C157" s="69" t="s">
        <v>87</v>
      </c>
      <c r="D157" s="69" t="s">
        <v>3601</v>
      </c>
      <c r="E157" s="69" t="s">
        <v>3602</v>
      </c>
      <c r="F157" s="69" t="s">
        <v>3487</v>
      </c>
      <c r="G157" s="69" t="s">
        <v>3507</v>
      </c>
      <c r="H157" s="69" t="s">
        <v>3496</v>
      </c>
    </row>
    <row r="158" spans="1:8" ht="15.5" x14ac:dyDescent="0.35">
      <c r="A158" s="70">
        <v>155</v>
      </c>
      <c r="B158" s="69" t="s">
        <v>3600</v>
      </c>
      <c r="C158" s="69" t="s">
        <v>87</v>
      </c>
      <c r="D158" s="69" t="s">
        <v>3602</v>
      </c>
      <c r="E158" s="69" t="s">
        <v>3584</v>
      </c>
      <c r="F158" s="69" t="s">
        <v>3487</v>
      </c>
      <c r="G158" s="69" t="s">
        <v>3507</v>
      </c>
      <c r="H158" s="69" t="s">
        <v>3487</v>
      </c>
    </row>
    <row r="159" spans="1:8" ht="15.5" x14ac:dyDescent="0.35">
      <c r="A159" s="70">
        <v>156</v>
      </c>
      <c r="B159" s="69" t="s">
        <v>3600</v>
      </c>
      <c r="C159" s="69" t="s">
        <v>87</v>
      </c>
      <c r="D159" s="69" t="s">
        <v>3584</v>
      </c>
      <c r="E159" s="69" t="s">
        <v>3585</v>
      </c>
      <c r="F159" s="69" t="s">
        <v>3487</v>
      </c>
      <c r="G159" s="69" t="s">
        <v>3507</v>
      </c>
      <c r="H159" s="69" t="s">
        <v>3501</v>
      </c>
    </row>
    <row r="160" spans="1:8" ht="15.5" x14ac:dyDescent="0.35">
      <c r="A160" s="70">
        <v>157</v>
      </c>
      <c r="B160" s="69" t="s">
        <v>3600</v>
      </c>
      <c r="C160" s="69" t="s">
        <v>87</v>
      </c>
      <c r="D160" s="69" t="s">
        <v>3585</v>
      </c>
      <c r="E160" s="69" t="s">
        <v>3586</v>
      </c>
      <c r="F160" s="69" t="s">
        <v>3487</v>
      </c>
      <c r="G160" s="69" t="s">
        <v>3507</v>
      </c>
      <c r="H160" s="69" t="s">
        <v>3504</v>
      </c>
    </row>
    <row r="161" spans="1:8" ht="15.5" x14ac:dyDescent="0.35">
      <c r="A161" s="70">
        <v>158</v>
      </c>
      <c r="B161" s="69" t="s">
        <v>3600</v>
      </c>
      <c r="C161" s="69" t="s">
        <v>88</v>
      </c>
      <c r="D161" s="69" t="s">
        <v>3586</v>
      </c>
      <c r="E161" s="69" t="s">
        <v>3603</v>
      </c>
      <c r="F161" s="69" t="s">
        <v>3487</v>
      </c>
      <c r="G161" s="69" t="s">
        <v>3510</v>
      </c>
      <c r="H161" s="69" t="s">
        <v>3510</v>
      </c>
    </row>
    <row r="162" spans="1:8" ht="15.5" x14ac:dyDescent="0.35">
      <c r="A162" s="70">
        <v>159</v>
      </c>
      <c r="B162" s="69" t="s">
        <v>3600</v>
      </c>
      <c r="C162" s="69" t="s">
        <v>88</v>
      </c>
      <c r="D162" s="69" t="s">
        <v>3603</v>
      </c>
      <c r="E162" s="69" t="s">
        <v>3588</v>
      </c>
      <c r="F162" s="69" t="s">
        <v>3487</v>
      </c>
      <c r="G162" s="69" t="s">
        <v>3510</v>
      </c>
      <c r="H162" s="69" t="s">
        <v>3488</v>
      </c>
    </row>
    <row r="163" spans="1:8" ht="15.5" x14ac:dyDescent="0.35">
      <c r="A163" s="70">
        <v>160</v>
      </c>
      <c r="B163" s="69" t="s">
        <v>3600</v>
      </c>
      <c r="C163" s="69" t="s">
        <v>88</v>
      </c>
      <c r="D163" s="69" t="s">
        <v>3588</v>
      </c>
      <c r="E163" s="69" t="s">
        <v>3589</v>
      </c>
      <c r="F163" s="69" t="s">
        <v>3487</v>
      </c>
      <c r="G163" s="69" t="s">
        <v>3510</v>
      </c>
      <c r="H163" s="69" t="s">
        <v>3490</v>
      </c>
    </row>
    <row r="164" spans="1:8" ht="15.5" x14ac:dyDescent="0.35">
      <c r="A164" s="70">
        <v>161</v>
      </c>
      <c r="B164" s="69" t="s">
        <v>3600</v>
      </c>
      <c r="C164" s="69" t="s">
        <v>88</v>
      </c>
      <c r="D164" s="69" t="s">
        <v>3589</v>
      </c>
      <c r="E164" s="69" t="s">
        <v>3590</v>
      </c>
      <c r="F164" s="69" t="s">
        <v>3487</v>
      </c>
      <c r="G164" s="69" t="s">
        <v>3510</v>
      </c>
      <c r="H164" s="69" t="s">
        <v>3493</v>
      </c>
    </row>
    <row r="165" spans="1:8" ht="15.5" x14ac:dyDescent="0.35">
      <c r="A165" s="70">
        <v>162</v>
      </c>
      <c r="B165" s="69" t="s">
        <v>3600</v>
      </c>
      <c r="C165" s="69" t="s">
        <v>88</v>
      </c>
      <c r="D165" s="69" t="s">
        <v>3590</v>
      </c>
      <c r="E165" s="69" t="s">
        <v>3549</v>
      </c>
      <c r="F165" s="69" t="s">
        <v>3487</v>
      </c>
      <c r="G165" s="69" t="s">
        <v>3510</v>
      </c>
      <c r="H165" s="69" t="s">
        <v>3496</v>
      </c>
    </row>
    <row r="166" spans="1:8" ht="15.5" x14ac:dyDescent="0.35">
      <c r="A166" s="70">
        <v>163</v>
      </c>
      <c r="B166" s="69" t="s">
        <v>3600</v>
      </c>
      <c r="C166" s="69" t="s">
        <v>88</v>
      </c>
      <c r="D166" s="69" t="s">
        <v>3549</v>
      </c>
      <c r="E166" s="69" t="s">
        <v>3551</v>
      </c>
      <c r="F166" s="69" t="s">
        <v>3487</v>
      </c>
      <c r="G166" s="69" t="s">
        <v>3510</v>
      </c>
      <c r="H166" s="69" t="s">
        <v>3487</v>
      </c>
    </row>
    <row r="167" spans="1:8" ht="15.5" x14ac:dyDescent="0.35">
      <c r="A167" s="70">
        <v>164</v>
      </c>
      <c r="B167" s="69" t="s">
        <v>3600</v>
      </c>
      <c r="C167" s="69" t="s">
        <v>88</v>
      </c>
      <c r="D167" s="69" t="s">
        <v>3551</v>
      </c>
      <c r="E167" s="69" t="s">
        <v>3552</v>
      </c>
      <c r="F167" s="69" t="s">
        <v>3487</v>
      </c>
      <c r="G167" s="69" t="s">
        <v>3510</v>
      </c>
      <c r="H167" s="69" t="s">
        <v>3501</v>
      </c>
    </row>
    <row r="168" spans="1:8" ht="15.5" x14ac:dyDescent="0.35">
      <c r="A168" s="70">
        <v>165</v>
      </c>
      <c r="B168" s="69" t="s">
        <v>3600</v>
      </c>
      <c r="C168" s="69" t="s">
        <v>88</v>
      </c>
      <c r="D168" s="69" t="s">
        <v>3552</v>
      </c>
      <c r="E168" s="69" t="s">
        <v>3553</v>
      </c>
      <c r="F168" s="69" t="s">
        <v>3487</v>
      </c>
      <c r="G168" s="69" t="s">
        <v>3510</v>
      </c>
      <c r="H168" s="69" t="s">
        <v>3504</v>
      </c>
    </row>
    <row r="169" spans="1:8" ht="15.5" x14ac:dyDescent="0.35">
      <c r="A169" s="70">
        <v>166</v>
      </c>
      <c r="B169" s="69" t="s">
        <v>3600</v>
      </c>
      <c r="C169" s="69" t="s">
        <v>88</v>
      </c>
      <c r="D169" s="69" t="s">
        <v>3553</v>
      </c>
      <c r="E169" s="69" t="s">
        <v>3528</v>
      </c>
      <c r="F169" s="69" t="s">
        <v>3487</v>
      </c>
      <c r="G169" s="69" t="s">
        <v>3510</v>
      </c>
      <c r="H169" s="69" t="s">
        <v>3507</v>
      </c>
    </row>
    <row r="170" spans="1:8" ht="15.5" x14ac:dyDescent="0.35">
      <c r="A170" s="70">
        <v>167</v>
      </c>
      <c r="B170" s="69" t="s">
        <v>3604</v>
      </c>
      <c r="C170" s="69" t="s">
        <v>89</v>
      </c>
      <c r="D170" s="69" t="s">
        <v>3530</v>
      </c>
      <c r="E170" s="69" t="s">
        <v>3593</v>
      </c>
      <c r="F170" s="69" t="s">
        <v>3504</v>
      </c>
      <c r="G170" s="69" t="s">
        <v>3488</v>
      </c>
      <c r="H170" s="69" t="s">
        <v>3488</v>
      </c>
    </row>
    <row r="171" spans="1:8" ht="15.5" x14ac:dyDescent="0.35">
      <c r="A171" s="70">
        <v>168</v>
      </c>
      <c r="B171" s="69" t="s">
        <v>3604</v>
      </c>
      <c r="C171" s="69" t="s">
        <v>89</v>
      </c>
      <c r="D171" s="69" t="s">
        <v>3605</v>
      </c>
      <c r="E171" s="69" t="s">
        <v>3533</v>
      </c>
      <c r="F171" s="69" t="s">
        <v>3504</v>
      </c>
      <c r="G171" s="69" t="s">
        <v>3488</v>
      </c>
      <c r="H171" s="69" t="s">
        <v>3490</v>
      </c>
    </row>
    <row r="172" spans="1:8" ht="15.5" x14ac:dyDescent="0.35">
      <c r="A172" s="70">
        <v>169</v>
      </c>
      <c r="B172" s="69" t="s">
        <v>3604</v>
      </c>
      <c r="C172" s="69" t="s">
        <v>89</v>
      </c>
      <c r="D172" s="69" t="s">
        <v>3533</v>
      </c>
      <c r="E172" s="69" t="s">
        <v>3594</v>
      </c>
      <c r="F172" s="69" t="s">
        <v>3504</v>
      </c>
      <c r="G172" s="69" t="s">
        <v>3488</v>
      </c>
      <c r="H172" s="69" t="s">
        <v>3493</v>
      </c>
    </row>
    <row r="173" spans="1:8" ht="15.5" x14ac:dyDescent="0.35">
      <c r="A173" s="70">
        <v>170</v>
      </c>
      <c r="B173" s="69" t="s">
        <v>3604</v>
      </c>
      <c r="C173" s="69" t="s">
        <v>89</v>
      </c>
      <c r="D173" s="69" t="s">
        <v>3594</v>
      </c>
      <c r="E173" s="69" t="s">
        <v>3495</v>
      </c>
      <c r="F173" s="69" t="s">
        <v>3504</v>
      </c>
      <c r="G173" s="69" t="s">
        <v>3488</v>
      </c>
      <c r="H173" s="69" t="s">
        <v>3496</v>
      </c>
    </row>
    <row r="174" spans="1:8" ht="15.5" x14ac:dyDescent="0.35">
      <c r="A174" s="70">
        <v>171</v>
      </c>
      <c r="B174" s="69" t="s">
        <v>3604</v>
      </c>
      <c r="C174" s="69" t="s">
        <v>89</v>
      </c>
      <c r="D174" s="69" t="s">
        <v>3495</v>
      </c>
      <c r="E174" s="69" t="s">
        <v>3606</v>
      </c>
      <c r="F174" s="69" t="s">
        <v>3504</v>
      </c>
      <c r="G174" s="69" t="s">
        <v>3488</v>
      </c>
      <c r="H174" s="69" t="s">
        <v>3487</v>
      </c>
    </row>
    <row r="175" spans="1:8" ht="15.5" x14ac:dyDescent="0.35">
      <c r="A175" s="70">
        <v>172</v>
      </c>
      <c r="B175" s="69" t="s">
        <v>3604</v>
      </c>
      <c r="C175" s="69" t="s">
        <v>89</v>
      </c>
      <c r="D175" s="69" t="s">
        <v>3606</v>
      </c>
      <c r="E175" s="69" t="s">
        <v>3500</v>
      </c>
      <c r="F175" s="69" t="s">
        <v>3504</v>
      </c>
      <c r="G175" s="69" t="s">
        <v>3488</v>
      </c>
      <c r="H175" s="69" t="s">
        <v>3501</v>
      </c>
    </row>
    <row r="176" spans="1:8" ht="15.5" x14ac:dyDescent="0.35">
      <c r="A176" s="70">
        <v>173</v>
      </c>
      <c r="B176" s="69" t="s">
        <v>3604</v>
      </c>
      <c r="C176" s="69" t="s">
        <v>89</v>
      </c>
      <c r="D176" s="69" t="s">
        <v>3500</v>
      </c>
      <c r="E176" s="69" t="s">
        <v>3503</v>
      </c>
      <c r="F176" s="69" t="s">
        <v>3504</v>
      </c>
      <c r="G176" s="69" t="s">
        <v>3488</v>
      </c>
      <c r="H176" s="69" t="s">
        <v>3504</v>
      </c>
    </row>
    <row r="177" spans="1:8" ht="15.5" x14ac:dyDescent="0.35">
      <c r="A177" s="70">
        <v>174</v>
      </c>
      <c r="B177" s="69" t="s">
        <v>3604</v>
      </c>
      <c r="C177" s="69" t="s">
        <v>89</v>
      </c>
      <c r="D177" s="69" t="s">
        <v>3503</v>
      </c>
      <c r="E177" s="69" t="s">
        <v>3506</v>
      </c>
      <c r="F177" s="69" t="s">
        <v>3504</v>
      </c>
      <c r="G177" s="69" t="s">
        <v>3488</v>
      </c>
      <c r="H177" s="69" t="s">
        <v>3507</v>
      </c>
    </row>
    <row r="178" spans="1:8" ht="15.5" x14ac:dyDescent="0.35">
      <c r="A178" s="70">
        <v>175</v>
      </c>
      <c r="B178" s="69" t="s">
        <v>3604</v>
      </c>
      <c r="C178" s="69" t="s">
        <v>89</v>
      </c>
      <c r="D178" s="69" t="s">
        <v>3506</v>
      </c>
      <c r="E178" s="69" t="s">
        <v>3509</v>
      </c>
      <c r="F178" s="69" t="s">
        <v>3504</v>
      </c>
      <c r="G178" s="69" t="s">
        <v>3488</v>
      </c>
      <c r="H178" s="69" t="s">
        <v>3510</v>
      </c>
    </row>
    <row r="179" spans="1:8" ht="15.5" x14ac:dyDescent="0.35">
      <c r="A179" s="70">
        <v>176</v>
      </c>
      <c r="B179" s="69" t="s">
        <v>3604</v>
      </c>
      <c r="C179" s="69" t="s">
        <v>90</v>
      </c>
      <c r="D179" s="69" t="s">
        <v>3509</v>
      </c>
      <c r="E179" s="69" t="s">
        <v>3596</v>
      </c>
      <c r="F179" s="69" t="s">
        <v>3504</v>
      </c>
      <c r="G179" s="69" t="s">
        <v>3490</v>
      </c>
      <c r="H179" s="69" t="s">
        <v>3490</v>
      </c>
    </row>
    <row r="180" spans="1:8" ht="15.5" x14ac:dyDescent="0.35">
      <c r="A180" s="70">
        <v>177</v>
      </c>
      <c r="B180" s="69" t="s">
        <v>3604</v>
      </c>
      <c r="C180" s="69" t="s">
        <v>90</v>
      </c>
      <c r="D180" s="69" t="s">
        <v>3596</v>
      </c>
      <c r="E180" s="69" t="s">
        <v>3515</v>
      </c>
      <c r="F180" s="69" t="s">
        <v>3504</v>
      </c>
      <c r="G180" s="69" t="s">
        <v>3490</v>
      </c>
      <c r="H180" s="69" t="s">
        <v>3493</v>
      </c>
    </row>
    <row r="181" spans="1:8" ht="15.5" x14ac:dyDescent="0.35">
      <c r="A181" s="70">
        <v>178</v>
      </c>
      <c r="B181" s="69" t="s">
        <v>3604</v>
      </c>
      <c r="C181" s="69" t="s">
        <v>90</v>
      </c>
      <c r="D181" s="69" t="s">
        <v>3515</v>
      </c>
      <c r="E181" s="69" t="s">
        <v>3516</v>
      </c>
      <c r="F181" s="69" t="s">
        <v>3504</v>
      </c>
      <c r="G181" s="69" t="s">
        <v>3490</v>
      </c>
      <c r="H181" s="69" t="s">
        <v>3496</v>
      </c>
    </row>
    <row r="182" spans="1:8" ht="15.5" x14ac:dyDescent="0.35">
      <c r="A182" s="70">
        <v>179</v>
      </c>
      <c r="B182" s="69" t="s">
        <v>3604</v>
      </c>
      <c r="C182" s="69" t="s">
        <v>90</v>
      </c>
      <c r="D182" s="69" t="s">
        <v>3516</v>
      </c>
      <c r="E182" s="69" t="s">
        <v>3517</v>
      </c>
      <c r="F182" s="69" t="s">
        <v>3504</v>
      </c>
      <c r="G182" s="69" t="s">
        <v>3490</v>
      </c>
      <c r="H182" s="69" t="s">
        <v>3487</v>
      </c>
    </row>
    <row r="183" spans="1:8" ht="15.5" x14ac:dyDescent="0.35">
      <c r="A183" s="70">
        <v>180</v>
      </c>
      <c r="B183" s="69" t="s">
        <v>3604</v>
      </c>
      <c r="C183" s="69" t="s">
        <v>90</v>
      </c>
      <c r="D183" s="69" t="s">
        <v>3517</v>
      </c>
      <c r="E183" s="69" t="s">
        <v>3518</v>
      </c>
      <c r="F183" s="69" t="s">
        <v>3504</v>
      </c>
      <c r="G183" s="69" t="s">
        <v>3490</v>
      </c>
      <c r="H183" s="69" t="s">
        <v>3501</v>
      </c>
    </row>
    <row r="184" spans="1:8" ht="15.5" x14ac:dyDescent="0.35">
      <c r="A184" s="70">
        <v>181</v>
      </c>
      <c r="B184" s="69" t="s">
        <v>3604</v>
      </c>
      <c r="C184" s="69" t="s">
        <v>90</v>
      </c>
      <c r="D184" s="69" t="s">
        <v>3518</v>
      </c>
      <c r="E184" s="69" t="s">
        <v>3519</v>
      </c>
      <c r="F184" s="69" t="s">
        <v>3504</v>
      </c>
      <c r="G184" s="69" t="s">
        <v>3490</v>
      </c>
      <c r="H184" s="69" t="s">
        <v>3504</v>
      </c>
    </row>
    <row r="185" spans="1:8" ht="15.5" x14ac:dyDescent="0.35">
      <c r="A185" s="70">
        <v>182</v>
      </c>
      <c r="B185" s="71" t="s">
        <v>3604</v>
      </c>
      <c r="C185" s="69" t="s">
        <v>90</v>
      </c>
      <c r="D185" s="71" t="s">
        <v>3519</v>
      </c>
      <c r="E185" s="71" t="s">
        <v>3520</v>
      </c>
      <c r="F185" s="69" t="s">
        <v>3504</v>
      </c>
      <c r="G185" s="71" t="s">
        <v>3490</v>
      </c>
      <c r="H185" s="71" t="s">
        <v>3507</v>
      </c>
    </row>
    <row r="186" spans="1:8" ht="15.5" x14ac:dyDescent="0.35">
      <c r="A186" s="70">
        <v>183</v>
      </c>
      <c r="B186" s="69" t="s">
        <v>3604</v>
      </c>
      <c r="C186" s="69" t="s">
        <v>90</v>
      </c>
      <c r="D186" s="69" t="s">
        <v>3520</v>
      </c>
      <c r="E186" s="69" t="s">
        <v>3521</v>
      </c>
      <c r="F186" s="69" t="s">
        <v>3504</v>
      </c>
      <c r="G186" s="69" t="s">
        <v>3490</v>
      </c>
      <c r="H186" s="69" t="s">
        <v>3510</v>
      </c>
    </row>
    <row r="187" spans="1:8" ht="15.5" x14ac:dyDescent="0.35">
      <c r="A187" s="70">
        <v>184</v>
      </c>
      <c r="B187" s="69" t="s">
        <v>3604</v>
      </c>
      <c r="C187" s="69" t="s">
        <v>90</v>
      </c>
      <c r="D187" s="69" t="s">
        <v>3521</v>
      </c>
      <c r="E187" s="69" t="s">
        <v>3522</v>
      </c>
      <c r="F187" s="69" t="s">
        <v>3504</v>
      </c>
      <c r="G187" s="69" t="s">
        <v>3490</v>
      </c>
      <c r="H187" s="69" t="s">
        <v>3488</v>
      </c>
    </row>
    <row r="188" spans="1:8" ht="15.5" x14ac:dyDescent="0.35">
      <c r="A188" s="70">
        <v>185</v>
      </c>
      <c r="B188" s="69" t="s">
        <v>3604</v>
      </c>
      <c r="C188" s="69" t="s">
        <v>91</v>
      </c>
      <c r="D188" s="69" t="s">
        <v>3522</v>
      </c>
      <c r="E188" s="69" t="s">
        <v>3525</v>
      </c>
      <c r="F188" s="69" t="s">
        <v>3504</v>
      </c>
      <c r="G188" s="69" t="s">
        <v>3493</v>
      </c>
      <c r="H188" s="69" t="s">
        <v>3493</v>
      </c>
    </row>
    <row r="189" spans="1:8" ht="15.5" x14ac:dyDescent="0.35">
      <c r="A189" s="70">
        <v>186</v>
      </c>
      <c r="B189" s="69" t="s">
        <v>3604</v>
      </c>
      <c r="C189" s="69" t="s">
        <v>91</v>
      </c>
      <c r="D189" s="69" t="s">
        <v>3525</v>
      </c>
      <c r="E189" s="69" t="s">
        <v>3526</v>
      </c>
      <c r="F189" s="69" t="s">
        <v>3504</v>
      </c>
      <c r="G189" s="69" t="s">
        <v>3493</v>
      </c>
      <c r="H189" s="69" t="s">
        <v>3496</v>
      </c>
    </row>
    <row r="190" spans="1:8" ht="15.5" x14ac:dyDescent="0.35">
      <c r="A190" s="70">
        <v>187</v>
      </c>
      <c r="B190" s="69" t="s">
        <v>3604</v>
      </c>
      <c r="C190" s="69" t="s">
        <v>91</v>
      </c>
      <c r="D190" s="69" t="s">
        <v>3607</v>
      </c>
      <c r="E190" s="69" t="s">
        <v>3527</v>
      </c>
      <c r="F190" s="69" t="s">
        <v>3504</v>
      </c>
      <c r="G190" s="69" t="s">
        <v>3493</v>
      </c>
      <c r="H190" s="69" t="s">
        <v>3487</v>
      </c>
    </row>
    <row r="191" spans="1:8" ht="15.5" x14ac:dyDescent="0.35">
      <c r="A191" s="70">
        <v>188</v>
      </c>
      <c r="B191" s="69" t="s">
        <v>3604</v>
      </c>
      <c r="C191" s="69" t="s">
        <v>91</v>
      </c>
      <c r="D191" s="69" t="s">
        <v>3527</v>
      </c>
      <c r="E191" s="69" t="s">
        <v>3528</v>
      </c>
      <c r="F191" s="69" t="s">
        <v>3504</v>
      </c>
      <c r="G191" s="69" t="s">
        <v>3493</v>
      </c>
      <c r="H191" s="69" t="s">
        <v>3501</v>
      </c>
    </row>
    <row r="192" spans="1:8" ht="15.5" x14ac:dyDescent="0.35">
      <c r="A192" s="70">
        <v>189</v>
      </c>
      <c r="B192" s="69" t="s">
        <v>3608</v>
      </c>
      <c r="C192" s="69" t="s">
        <v>91</v>
      </c>
      <c r="D192" s="69" t="s">
        <v>3530</v>
      </c>
      <c r="E192" s="69" t="s">
        <v>3531</v>
      </c>
      <c r="F192" s="69" t="s">
        <v>3507</v>
      </c>
      <c r="G192" s="69" t="s">
        <v>3493</v>
      </c>
      <c r="H192" s="69" t="s">
        <v>3501</v>
      </c>
    </row>
    <row r="193" spans="1:8" ht="15.5" x14ac:dyDescent="0.35">
      <c r="A193" s="70">
        <v>190</v>
      </c>
      <c r="B193" s="69" t="s">
        <v>3608</v>
      </c>
      <c r="C193" s="69" t="s">
        <v>91</v>
      </c>
      <c r="D193" s="69" t="s">
        <v>3531</v>
      </c>
      <c r="E193" s="69" t="s">
        <v>3533</v>
      </c>
      <c r="F193" s="69" t="s">
        <v>3507</v>
      </c>
      <c r="G193" s="69" t="s">
        <v>3493</v>
      </c>
      <c r="H193" s="69" t="s">
        <v>3504</v>
      </c>
    </row>
    <row r="194" spans="1:8" ht="15.5" x14ac:dyDescent="0.35">
      <c r="A194" s="70">
        <v>191</v>
      </c>
      <c r="B194" s="69" t="s">
        <v>3608</v>
      </c>
      <c r="C194" s="69" t="s">
        <v>91</v>
      </c>
      <c r="D194" s="69" t="s">
        <v>3533</v>
      </c>
      <c r="E194" s="69" t="s">
        <v>3534</v>
      </c>
      <c r="F194" s="69" t="s">
        <v>3507</v>
      </c>
      <c r="G194" s="69" t="s">
        <v>3493</v>
      </c>
      <c r="H194" s="69" t="s">
        <v>3507</v>
      </c>
    </row>
    <row r="195" spans="1:8" ht="15.5" x14ac:dyDescent="0.35">
      <c r="A195" s="70">
        <v>192</v>
      </c>
      <c r="B195" s="69" t="s">
        <v>3608</v>
      </c>
      <c r="C195" s="69" t="s">
        <v>91</v>
      </c>
      <c r="D195" s="69" t="s">
        <v>3534</v>
      </c>
      <c r="E195" s="69" t="s">
        <v>3535</v>
      </c>
      <c r="F195" s="69" t="s">
        <v>3507</v>
      </c>
      <c r="G195" s="69" t="s">
        <v>3493</v>
      </c>
      <c r="H195" s="69" t="s">
        <v>3510</v>
      </c>
    </row>
    <row r="196" spans="1:8" ht="15.5" x14ac:dyDescent="0.35">
      <c r="A196" s="70">
        <v>193</v>
      </c>
      <c r="B196" s="69" t="s">
        <v>3608</v>
      </c>
      <c r="C196" s="69" t="s">
        <v>91</v>
      </c>
      <c r="D196" s="69" t="s">
        <v>3535</v>
      </c>
      <c r="E196" s="69" t="s">
        <v>3536</v>
      </c>
      <c r="F196" s="69" t="s">
        <v>3507</v>
      </c>
      <c r="G196" s="69" t="s">
        <v>3493</v>
      </c>
      <c r="H196" s="69" t="s">
        <v>3488</v>
      </c>
    </row>
    <row r="197" spans="1:8" ht="15.5" x14ac:dyDescent="0.35">
      <c r="A197" s="70">
        <v>194</v>
      </c>
      <c r="B197" s="69" t="s">
        <v>3608</v>
      </c>
      <c r="C197" s="69" t="s">
        <v>91</v>
      </c>
      <c r="D197" s="69" t="s">
        <v>3536</v>
      </c>
      <c r="E197" s="69" t="s">
        <v>3538</v>
      </c>
      <c r="F197" s="69" t="s">
        <v>3507</v>
      </c>
      <c r="G197" s="69" t="s">
        <v>3493</v>
      </c>
      <c r="H197" s="69" t="s">
        <v>3490</v>
      </c>
    </row>
    <row r="198" spans="1:8" ht="15.5" x14ac:dyDescent="0.35">
      <c r="A198" s="70">
        <v>195</v>
      </c>
      <c r="B198" s="69" t="s">
        <v>3608</v>
      </c>
      <c r="C198" s="69" t="s">
        <v>92</v>
      </c>
      <c r="D198" s="69" t="s">
        <v>3538</v>
      </c>
      <c r="E198" s="69" t="s">
        <v>3541</v>
      </c>
      <c r="F198" s="69" t="s">
        <v>3507</v>
      </c>
      <c r="G198" s="69" t="s">
        <v>3496</v>
      </c>
      <c r="H198" s="69" t="s">
        <v>3496</v>
      </c>
    </row>
    <row r="199" spans="1:8" ht="15.5" x14ac:dyDescent="0.35">
      <c r="A199" s="70">
        <v>196</v>
      </c>
      <c r="B199" s="69" t="s">
        <v>3608</v>
      </c>
      <c r="C199" s="69" t="s">
        <v>92</v>
      </c>
      <c r="D199" s="69" t="s">
        <v>3541</v>
      </c>
      <c r="E199" s="69" t="s">
        <v>3542</v>
      </c>
      <c r="F199" s="69" t="s">
        <v>3507</v>
      </c>
      <c r="G199" s="69" t="s">
        <v>3496</v>
      </c>
      <c r="H199" s="69" t="s">
        <v>3487</v>
      </c>
    </row>
    <row r="200" spans="1:8" ht="15.5" x14ac:dyDescent="0.35">
      <c r="A200" s="70">
        <v>197</v>
      </c>
      <c r="B200" s="69" t="s">
        <v>3608</v>
      </c>
      <c r="C200" s="69" t="s">
        <v>92</v>
      </c>
      <c r="D200" s="69" t="s">
        <v>3542</v>
      </c>
      <c r="E200" s="69" t="s">
        <v>3543</v>
      </c>
      <c r="F200" s="69" t="s">
        <v>3507</v>
      </c>
      <c r="G200" s="69" t="s">
        <v>3496</v>
      </c>
      <c r="H200" s="69" t="s">
        <v>3501</v>
      </c>
    </row>
    <row r="201" spans="1:8" ht="15.5" x14ac:dyDescent="0.35">
      <c r="A201" s="70">
        <v>198</v>
      </c>
      <c r="B201" s="69" t="s">
        <v>3608</v>
      </c>
      <c r="C201" s="69" t="s">
        <v>92</v>
      </c>
      <c r="D201" s="69" t="s">
        <v>3543</v>
      </c>
      <c r="E201" s="69" t="s">
        <v>3544</v>
      </c>
      <c r="F201" s="69" t="s">
        <v>3507</v>
      </c>
      <c r="G201" s="69" t="s">
        <v>3496</v>
      </c>
      <c r="H201" s="69" t="s">
        <v>3504</v>
      </c>
    </row>
    <row r="202" spans="1:8" ht="15.5" x14ac:dyDescent="0.35">
      <c r="A202" s="70">
        <v>199</v>
      </c>
      <c r="B202" s="69" t="s">
        <v>3608</v>
      </c>
      <c r="C202" s="69" t="s">
        <v>92</v>
      </c>
      <c r="D202" s="69" t="s">
        <v>3544</v>
      </c>
      <c r="E202" s="69" t="s">
        <v>3545</v>
      </c>
      <c r="F202" s="69" t="s">
        <v>3507</v>
      </c>
      <c r="G202" s="69" t="s">
        <v>3496</v>
      </c>
      <c r="H202" s="69" t="s">
        <v>3507</v>
      </c>
    </row>
    <row r="203" spans="1:8" ht="15.5" x14ac:dyDescent="0.35">
      <c r="A203" s="70">
        <v>200</v>
      </c>
      <c r="B203" s="69" t="s">
        <v>3608</v>
      </c>
      <c r="C203" s="69" t="s">
        <v>92</v>
      </c>
      <c r="D203" s="69" t="s">
        <v>3609</v>
      </c>
      <c r="E203" s="69" t="s">
        <v>3546</v>
      </c>
      <c r="F203" s="69" t="s">
        <v>3507</v>
      </c>
      <c r="G203" s="69" t="s">
        <v>3496</v>
      </c>
      <c r="H203" s="69" t="s">
        <v>3510</v>
      </c>
    </row>
    <row r="204" spans="1:8" ht="15.5" x14ac:dyDescent="0.35">
      <c r="A204" s="70">
        <v>201</v>
      </c>
      <c r="B204" s="69" t="s">
        <v>3608</v>
      </c>
      <c r="C204" s="69" t="s">
        <v>92</v>
      </c>
      <c r="D204" s="69" t="s">
        <v>3546</v>
      </c>
      <c r="E204" s="69" t="s">
        <v>3610</v>
      </c>
      <c r="F204" s="69" t="s">
        <v>3507</v>
      </c>
      <c r="G204" s="69" t="s">
        <v>3496</v>
      </c>
      <c r="H204" s="69" t="s">
        <v>3488</v>
      </c>
    </row>
    <row r="205" spans="1:8" ht="15.5" x14ac:dyDescent="0.35">
      <c r="A205" s="70">
        <v>202</v>
      </c>
      <c r="B205" s="69" t="s">
        <v>3608</v>
      </c>
      <c r="C205" s="69" t="s">
        <v>92</v>
      </c>
      <c r="D205" s="69" t="s">
        <v>3610</v>
      </c>
      <c r="E205" s="69" t="s">
        <v>3548</v>
      </c>
      <c r="F205" s="69" t="s">
        <v>3507</v>
      </c>
      <c r="G205" s="69" t="s">
        <v>3496</v>
      </c>
      <c r="H205" s="69" t="s">
        <v>3490</v>
      </c>
    </row>
    <row r="206" spans="1:8" ht="15.5" x14ac:dyDescent="0.35">
      <c r="A206" s="70">
        <v>203</v>
      </c>
      <c r="B206" s="69" t="s">
        <v>3608</v>
      </c>
      <c r="C206" s="69" t="s">
        <v>92</v>
      </c>
      <c r="D206" s="69" t="s">
        <v>3548</v>
      </c>
      <c r="E206" s="69" t="s">
        <v>3549</v>
      </c>
      <c r="F206" s="69" t="s">
        <v>3507</v>
      </c>
      <c r="G206" s="69" t="s">
        <v>3496</v>
      </c>
      <c r="H206" s="69" t="s">
        <v>3493</v>
      </c>
    </row>
    <row r="207" spans="1:8" ht="15.5" x14ac:dyDescent="0.35">
      <c r="A207" s="70">
        <v>204</v>
      </c>
      <c r="B207" s="69" t="s">
        <v>3608</v>
      </c>
      <c r="C207" s="69" t="s">
        <v>93</v>
      </c>
      <c r="D207" s="69" t="s">
        <v>3549</v>
      </c>
      <c r="E207" s="69" t="s">
        <v>3551</v>
      </c>
      <c r="F207" s="69" t="s">
        <v>3507</v>
      </c>
      <c r="G207" s="69" t="s">
        <v>3487</v>
      </c>
      <c r="H207" s="69" t="s">
        <v>3487</v>
      </c>
    </row>
    <row r="208" spans="1:8" ht="15.5" x14ac:dyDescent="0.35">
      <c r="A208" s="70">
        <v>205</v>
      </c>
      <c r="B208" s="69" t="s">
        <v>3608</v>
      </c>
      <c r="C208" s="69" t="s">
        <v>93</v>
      </c>
      <c r="D208" s="69" t="s">
        <v>3551</v>
      </c>
      <c r="E208" s="69" t="s">
        <v>3552</v>
      </c>
      <c r="F208" s="69" t="s">
        <v>3507</v>
      </c>
      <c r="G208" s="69" t="s">
        <v>3487</v>
      </c>
      <c r="H208" s="69" t="s">
        <v>3501</v>
      </c>
    </row>
    <row r="209" spans="1:8" ht="15.5" x14ac:dyDescent="0.35">
      <c r="A209" s="70">
        <v>206</v>
      </c>
      <c r="B209" s="69" t="s">
        <v>3608</v>
      </c>
      <c r="C209" s="69" t="s">
        <v>93</v>
      </c>
      <c r="D209" s="69" t="s">
        <v>3552</v>
      </c>
      <c r="E209" s="69" t="s">
        <v>3553</v>
      </c>
      <c r="F209" s="69" t="s">
        <v>3507</v>
      </c>
      <c r="G209" s="69" t="s">
        <v>3487</v>
      </c>
      <c r="H209" s="69" t="s">
        <v>3504</v>
      </c>
    </row>
    <row r="210" spans="1:8" ht="15.5" x14ac:dyDescent="0.35">
      <c r="A210" s="70">
        <v>207</v>
      </c>
      <c r="B210" s="69" t="s">
        <v>3608</v>
      </c>
      <c r="C210" s="69" t="s">
        <v>93</v>
      </c>
      <c r="D210" s="69" t="s">
        <v>3553</v>
      </c>
      <c r="E210" s="69" t="s">
        <v>3528</v>
      </c>
      <c r="F210" s="69" t="s">
        <v>3507</v>
      </c>
      <c r="G210" s="69" t="s">
        <v>3487</v>
      </c>
      <c r="H210" s="69" t="s">
        <v>3507</v>
      </c>
    </row>
    <row r="211" spans="1:8" ht="15.5" x14ac:dyDescent="0.35">
      <c r="A211" s="70">
        <v>208</v>
      </c>
      <c r="B211" s="69" t="s">
        <v>3611</v>
      </c>
      <c r="C211" s="69" t="s">
        <v>93</v>
      </c>
      <c r="D211" s="69" t="s">
        <v>3530</v>
      </c>
      <c r="E211" s="69" t="s">
        <v>3555</v>
      </c>
      <c r="F211" s="69" t="s">
        <v>3507</v>
      </c>
      <c r="G211" s="69" t="s">
        <v>3487</v>
      </c>
      <c r="H211" s="69" t="s">
        <v>3510</v>
      </c>
    </row>
    <row r="212" spans="1:8" ht="15.5" x14ac:dyDescent="0.35">
      <c r="A212" s="70">
        <v>209</v>
      </c>
      <c r="B212" s="69" t="s">
        <v>3611</v>
      </c>
      <c r="C212" s="69" t="s">
        <v>93</v>
      </c>
      <c r="D212" s="69" t="s">
        <v>3555</v>
      </c>
      <c r="E212" s="69" t="s">
        <v>3556</v>
      </c>
      <c r="F212" s="69" t="s">
        <v>3507</v>
      </c>
      <c r="G212" s="69" t="s">
        <v>3487</v>
      </c>
      <c r="H212" s="69" t="s">
        <v>3488</v>
      </c>
    </row>
    <row r="213" spans="1:8" ht="15.5" x14ac:dyDescent="0.35">
      <c r="A213" s="70">
        <v>210</v>
      </c>
      <c r="B213" s="69" t="s">
        <v>3611</v>
      </c>
      <c r="C213" s="69" t="s">
        <v>93</v>
      </c>
      <c r="D213" s="69" t="s">
        <v>3556</v>
      </c>
      <c r="E213" s="69" t="s">
        <v>3557</v>
      </c>
      <c r="F213" s="69" t="s">
        <v>3507</v>
      </c>
      <c r="G213" s="69" t="s">
        <v>3487</v>
      </c>
      <c r="H213" s="69" t="s">
        <v>3490</v>
      </c>
    </row>
    <row r="214" spans="1:8" ht="15.5" x14ac:dyDescent="0.35">
      <c r="A214" s="70">
        <v>211</v>
      </c>
      <c r="B214" s="69" t="s">
        <v>3611</v>
      </c>
      <c r="C214" s="69" t="s">
        <v>93</v>
      </c>
      <c r="D214" s="69" t="s">
        <v>3557</v>
      </c>
      <c r="E214" s="69" t="s">
        <v>3498</v>
      </c>
      <c r="F214" s="69" t="s">
        <v>3507</v>
      </c>
      <c r="G214" s="69" t="s">
        <v>3487</v>
      </c>
      <c r="H214" s="69" t="s">
        <v>3493</v>
      </c>
    </row>
    <row r="215" spans="1:8" ht="15.5" x14ac:dyDescent="0.35">
      <c r="A215" s="70">
        <v>212</v>
      </c>
      <c r="B215" s="69" t="s">
        <v>3611</v>
      </c>
      <c r="C215" s="69" t="s">
        <v>93</v>
      </c>
      <c r="D215" s="69" t="s">
        <v>3498</v>
      </c>
      <c r="E215" s="69" t="s">
        <v>3612</v>
      </c>
      <c r="F215" s="69" t="s">
        <v>3507</v>
      </c>
      <c r="G215" s="69" t="s">
        <v>3487</v>
      </c>
      <c r="H215" s="69" t="s">
        <v>3496</v>
      </c>
    </row>
    <row r="216" spans="1:8" ht="15.5" x14ac:dyDescent="0.35">
      <c r="A216" s="70">
        <v>213</v>
      </c>
      <c r="B216" s="71" t="s">
        <v>3611</v>
      </c>
      <c r="C216" s="69" t="s">
        <v>94</v>
      </c>
      <c r="D216" s="71" t="s">
        <v>3612</v>
      </c>
      <c r="E216" s="71" t="s">
        <v>3559</v>
      </c>
      <c r="F216" s="71" t="s">
        <v>3507</v>
      </c>
      <c r="G216" s="71" t="s">
        <v>3501</v>
      </c>
      <c r="H216" s="71" t="s">
        <v>3501</v>
      </c>
    </row>
    <row r="217" spans="1:8" ht="15.5" x14ac:dyDescent="0.35">
      <c r="A217" s="70">
        <v>214</v>
      </c>
      <c r="B217" s="69" t="s">
        <v>3611</v>
      </c>
      <c r="C217" s="69" t="s">
        <v>94</v>
      </c>
      <c r="D217" s="69" t="s">
        <v>3559</v>
      </c>
      <c r="E217" s="69" t="s">
        <v>3560</v>
      </c>
      <c r="F217" s="69" t="s">
        <v>3507</v>
      </c>
      <c r="G217" s="69" t="s">
        <v>3501</v>
      </c>
      <c r="H217" s="69" t="s">
        <v>3504</v>
      </c>
    </row>
    <row r="218" spans="1:8" ht="15.5" x14ac:dyDescent="0.35">
      <c r="A218" s="70">
        <v>215</v>
      </c>
      <c r="B218" s="69" t="s">
        <v>3611</v>
      </c>
      <c r="C218" s="69" t="s">
        <v>94</v>
      </c>
      <c r="D218" s="69" t="s">
        <v>3560</v>
      </c>
      <c r="E218" s="69" t="s">
        <v>3561</v>
      </c>
      <c r="F218" s="69" t="s">
        <v>3507</v>
      </c>
      <c r="G218" s="69" t="s">
        <v>3501</v>
      </c>
      <c r="H218" s="69" t="s">
        <v>3507</v>
      </c>
    </row>
    <row r="219" spans="1:8" ht="15.5" x14ac:dyDescent="0.35">
      <c r="A219" s="70">
        <v>216</v>
      </c>
      <c r="B219" s="69" t="s">
        <v>3611</v>
      </c>
      <c r="C219" s="69" t="s">
        <v>94</v>
      </c>
      <c r="D219" s="69" t="s">
        <v>3561</v>
      </c>
      <c r="E219" s="69" t="s">
        <v>3563</v>
      </c>
      <c r="F219" s="69" t="s">
        <v>3507</v>
      </c>
      <c r="G219" s="69" t="s">
        <v>3501</v>
      </c>
      <c r="H219" s="69" t="s">
        <v>3510</v>
      </c>
    </row>
    <row r="220" spans="1:8" ht="15.5" x14ac:dyDescent="0.35">
      <c r="A220" s="70">
        <v>217</v>
      </c>
      <c r="B220" s="69" t="s">
        <v>3611</v>
      </c>
      <c r="C220" s="69" t="s">
        <v>94</v>
      </c>
      <c r="D220" s="69" t="s">
        <v>3563</v>
      </c>
      <c r="E220" s="69" t="s">
        <v>3564</v>
      </c>
      <c r="F220" s="69" t="s">
        <v>3507</v>
      </c>
      <c r="G220" s="69" t="s">
        <v>3501</v>
      </c>
      <c r="H220" s="69" t="s">
        <v>3488</v>
      </c>
    </row>
    <row r="221" spans="1:8" ht="15.5" x14ac:dyDescent="0.35">
      <c r="A221" s="70">
        <v>218</v>
      </c>
      <c r="B221" s="69" t="s">
        <v>3611</v>
      </c>
      <c r="C221" s="69" t="s">
        <v>94</v>
      </c>
      <c r="D221" s="69" t="s">
        <v>3564</v>
      </c>
      <c r="E221" s="69" t="s">
        <v>3565</v>
      </c>
      <c r="F221" s="69" t="s">
        <v>3507</v>
      </c>
      <c r="G221" s="69" t="s">
        <v>3501</v>
      </c>
      <c r="H221" s="69" t="s">
        <v>3490</v>
      </c>
    </row>
    <row r="222" spans="1:8" ht="15.5" x14ac:dyDescent="0.35">
      <c r="A222" s="70">
        <v>219</v>
      </c>
      <c r="B222" s="69" t="s">
        <v>3611</v>
      </c>
      <c r="C222" s="69" t="s">
        <v>94</v>
      </c>
      <c r="D222" s="69" t="s">
        <v>3565</v>
      </c>
      <c r="E222" s="69" t="s">
        <v>3517</v>
      </c>
      <c r="F222" s="69" t="s">
        <v>3507</v>
      </c>
      <c r="G222" s="69" t="s">
        <v>3501</v>
      </c>
      <c r="H222" s="69" t="s">
        <v>3493</v>
      </c>
    </row>
    <row r="223" spans="1:8" ht="15.5" x14ac:dyDescent="0.35">
      <c r="A223" s="70">
        <v>220</v>
      </c>
      <c r="B223" s="69" t="s">
        <v>3611</v>
      </c>
      <c r="C223" s="69" t="s">
        <v>94</v>
      </c>
      <c r="D223" s="69" t="s">
        <v>3517</v>
      </c>
      <c r="E223" s="69" t="s">
        <v>3566</v>
      </c>
      <c r="F223" s="69" t="s">
        <v>3507</v>
      </c>
      <c r="G223" s="69" t="s">
        <v>3501</v>
      </c>
      <c r="H223" s="69" t="s">
        <v>3496</v>
      </c>
    </row>
    <row r="224" spans="1:8" ht="15.5" x14ac:dyDescent="0.35">
      <c r="A224" s="70">
        <v>221</v>
      </c>
      <c r="B224" s="69" t="s">
        <v>3611</v>
      </c>
      <c r="C224" s="69" t="s">
        <v>94</v>
      </c>
      <c r="D224" s="69" t="s">
        <v>3566</v>
      </c>
      <c r="E224" s="69" t="s">
        <v>3567</v>
      </c>
      <c r="F224" s="69" t="s">
        <v>3507</v>
      </c>
      <c r="G224" s="69" t="s">
        <v>3501</v>
      </c>
      <c r="H224" s="69" t="s">
        <v>3487</v>
      </c>
    </row>
    <row r="225" spans="1:8" ht="15.5" x14ac:dyDescent="0.35">
      <c r="A225" s="70">
        <v>222</v>
      </c>
      <c r="B225" s="69" t="s">
        <v>3611</v>
      </c>
      <c r="C225" s="69" t="s">
        <v>95</v>
      </c>
      <c r="D225" s="69" t="s">
        <v>3567</v>
      </c>
      <c r="E225" s="69" t="s">
        <v>3568</v>
      </c>
      <c r="F225" s="69" t="s">
        <v>3507</v>
      </c>
      <c r="G225" s="69" t="s">
        <v>3504</v>
      </c>
      <c r="H225" s="69" t="s">
        <v>3504</v>
      </c>
    </row>
    <row r="226" spans="1:8" ht="15.5" x14ac:dyDescent="0.35">
      <c r="A226" s="70">
        <v>223</v>
      </c>
      <c r="B226" s="69" t="s">
        <v>3611</v>
      </c>
      <c r="C226" s="69" t="s">
        <v>95</v>
      </c>
      <c r="D226" s="69" t="s">
        <v>3568</v>
      </c>
      <c r="E226" s="69" t="s">
        <v>3569</v>
      </c>
      <c r="F226" s="69" t="s">
        <v>3507</v>
      </c>
      <c r="G226" s="69" t="s">
        <v>3504</v>
      </c>
      <c r="H226" s="69" t="s">
        <v>3507</v>
      </c>
    </row>
    <row r="227" spans="1:8" ht="15.5" x14ac:dyDescent="0.35">
      <c r="A227" s="70">
        <v>224</v>
      </c>
      <c r="B227" s="69" t="s">
        <v>3611</v>
      </c>
      <c r="C227" s="69" t="s">
        <v>95</v>
      </c>
      <c r="D227" s="69" t="s">
        <v>3569</v>
      </c>
      <c r="E227" s="69" t="s">
        <v>3570</v>
      </c>
      <c r="F227" s="69" t="s">
        <v>3507</v>
      </c>
      <c r="G227" s="69" t="s">
        <v>3504</v>
      </c>
      <c r="H227" s="69" t="s">
        <v>3510</v>
      </c>
    </row>
    <row r="228" spans="1:8" ht="15.5" x14ac:dyDescent="0.35">
      <c r="A228" s="70">
        <v>225</v>
      </c>
      <c r="B228" s="69" t="s">
        <v>3611</v>
      </c>
      <c r="C228" s="69" t="s">
        <v>95</v>
      </c>
      <c r="D228" s="69" t="s">
        <v>3570</v>
      </c>
      <c r="E228" s="69" t="s">
        <v>3571</v>
      </c>
      <c r="F228" s="69" t="s">
        <v>3507</v>
      </c>
      <c r="G228" s="69" t="s">
        <v>3504</v>
      </c>
      <c r="H228" s="69" t="s">
        <v>3488</v>
      </c>
    </row>
    <row r="229" spans="1:8" ht="15.5" x14ac:dyDescent="0.35">
      <c r="A229" s="70">
        <v>226</v>
      </c>
      <c r="B229" s="69" t="s">
        <v>3611</v>
      </c>
      <c r="C229" s="69" t="s">
        <v>95</v>
      </c>
      <c r="D229" s="69" t="s">
        <v>3571</v>
      </c>
      <c r="E229" s="69" t="s">
        <v>3572</v>
      </c>
      <c r="F229" s="69" t="s">
        <v>3507</v>
      </c>
      <c r="G229" s="69" t="s">
        <v>3504</v>
      </c>
      <c r="H229" s="69" t="s">
        <v>3490</v>
      </c>
    </row>
    <row r="230" spans="1:8" ht="15.5" x14ac:dyDescent="0.35">
      <c r="A230" s="70">
        <v>227</v>
      </c>
      <c r="B230" s="69" t="s">
        <v>3611</v>
      </c>
      <c r="C230" s="69" t="s">
        <v>95</v>
      </c>
      <c r="D230" s="69" t="s">
        <v>3572</v>
      </c>
      <c r="E230" s="69" t="s">
        <v>3573</v>
      </c>
      <c r="F230" s="69" t="s">
        <v>3507</v>
      </c>
      <c r="G230" s="69" t="s">
        <v>3504</v>
      </c>
      <c r="H230" s="69" t="s">
        <v>3493</v>
      </c>
    </row>
    <row r="231" spans="1:8" ht="15.5" x14ac:dyDescent="0.35">
      <c r="A231" s="70">
        <v>228</v>
      </c>
      <c r="B231" s="69" t="s">
        <v>3611</v>
      </c>
      <c r="C231" s="69" t="s">
        <v>95</v>
      </c>
      <c r="D231" s="69" t="s">
        <v>3573</v>
      </c>
      <c r="E231" s="69" t="s">
        <v>3528</v>
      </c>
      <c r="F231" s="69" t="s">
        <v>3507</v>
      </c>
      <c r="G231" s="69" t="s">
        <v>3504</v>
      </c>
      <c r="H231" s="69" t="s">
        <v>3496</v>
      </c>
    </row>
    <row r="232" spans="1:8" ht="15.5" x14ac:dyDescent="0.35">
      <c r="A232" s="70">
        <v>229</v>
      </c>
      <c r="B232" s="69" t="s">
        <v>3613</v>
      </c>
      <c r="C232" s="69" t="s">
        <v>95</v>
      </c>
      <c r="D232" s="69" t="s">
        <v>3530</v>
      </c>
      <c r="E232" s="69" t="s">
        <v>3575</v>
      </c>
      <c r="F232" s="69" t="s">
        <v>3504</v>
      </c>
      <c r="G232" s="69" t="s">
        <v>3504</v>
      </c>
      <c r="H232" s="69" t="s">
        <v>3496</v>
      </c>
    </row>
    <row r="233" spans="1:8" ht="15.5" x14ac:dyDescent="0.35">
      <c r="A233" s="70">
        <v>230</v>
      </c>
      <c r="B233" s="69" t="s">
        <v>3613</v>
      </c>
      <c r="C233" s="69" t="s">
        <v>95</v>
      </c>
      <c r="D233" s="69" t="s">
        <v>3575</v>
      </c>
      <c r="E233" s="69" t="s">
        <v>3576</v>
      </c>
      <c r="F233" s="69" t="s">
        <v>3504</v>
      </c>
      <c r="G233" s="69" t="s">
        <v>3504</v>
      </c>
      <c r="H233" s="69" t="s">
        <v>3487</v>
      </c>
    </row>
    <row r="234" spans="1:8" ht="15.5" x14ac:dyDescent="0.35">
      <c r="A234" s="70">
        <v>231</v>
      </c>
      <c r="B234" s="69" t="s">
        <v>3613</v>
      </c>
      <c r="C234" s="69" t="s">
        <v>95</v>
      </c>
      <c r="D234" s="69" t="s">
        <v>3576</v>
      </c>
      <c r="E234" s="69" t="s">
        <v>3577</v>
      </c>
      <c r="F234" s="69" t="s">
        <v>3504</v>
      </c>
      <c r="G234" s="69" t="s">
        <v>3504</v>
      </c>
      <c r="H234" s="69" t="s">
        <v>3501</v>
      </c>
    </row>
    <row r="235" spans="1:8" ht="15.5" x14ac:dyDescent="0.35">
      <c r="A235" s="70">
        <v>232</v>
      </c>
      <c r="B235" s="69" t="s">
        <v>3613</v>
      </c>
      <c r="C235" s="69" t="s">
        <v>96</v>
      </c>
      <c r="D235" s="69" t="s">
        <v>3577</v>
      </c>
      <c r="E235" s="69" t="s">
        <v>3578</v>
      </c>
      <c r="F235" s="69" t="s">
        <v>3504</v>
      </c>
      <c r="G235" s="69" t="s">
        <v>3507</v>
      </c>
      <c r="H235" s="69" t="s">
        <v>3507</v>
      </c>
    </row>
    <row r="236" spans="1:8" ht="15.5" x14ac:dyDescent="0.35">
      <c r="A236" s="70">
        <v>233</v>
      </c>
      <c r="B236" s="69" t="s">
        <v>3613</v>
      </c>
      <c r="C236" s="69" t="s">
        <v>96</v>
      </c>
      <c r="D236" s="69" t="s">
        <v>3578</v>
      </c>
      <c r="E236" s="69" t="s">
        <v>3579</v>
      </c>
      <c r="F236" s="69" t="s">
        <v>3504</v>
      </c>
      <c r="G236" s="69" t="s">
        <v>3507</v>
      </c>
      <c r="H236" s="69" t="s">
        <v>3510</v>
      </c>
    </row>
    <row r="237" spans="1:8" ht="15.5" x14ac:dyDescent="0.35">
      <c r="A237" s="70">
        <v>234</v>
      </c>
      <c r="B237" s="69" t="s">
        <v>3613</v>
      </c>
      <c r="C237" s="69" t="s">
        <v>96</v>
      </c>
      <c r="D237" s="69" t="s">
        <v>3579</v>
      </c>
      <c r="E237" s="69" t="s">
        <v>3580</v>
      </c>
      <c r="F237" s="69" t="s">
        <v>3504</v>
      </c>
      <c r="G237" s="69" t="s">
        <v>3507</v>
      </c>
      <c r="H237" s="69" t="s">
        <v>3488</v>
      </c>
    </row>
    <row r="238" spans="1:8" ht="15.5" x14ac:dyDescent="0.35">
      <c r="A238" s="70">
        <v>235</v>
      </c>
      <c r="B238" s="69" t="s">
        <v>3613</v>
      </c>
      <c r="C238" s="69" t="s">
        <v>96</v>
      </c>
      <c r="D238" s="69" t="s">
        <v>3580</v>
      </c>
      <c r="E238" s="69" t="s">
        <v>3581</v>
      </c>
      <c r="F238" s="69" t="s">
        <v>3504</v>
      </c>
      <c r="G238" s="69" t="s">
        <v>3507</v>
      </c>
      <c r="H238" s="69" t="s">
        <v>3490</v>
      </c>
    </row>
    <row r="239" spans="1:8" ht="15.5" x14ac:dyDescent="0.35">
      <c r="A239" s="70">
        <v>236</v>
      </c>
      <c r="B239" s="69" t="s">
        <v>3613</v>
      </c>
      <c r="C239" s="69" t="s">
        <v>96</v>
      </c>
      <c r="D239" s="69" t="s">
        <v>3581</v>
      </c>
      <c r="E239" s="69" t="s">
        <v>3601</v>
      </c>
      <c r="F239" s="69" t="s">
        <v>3504</v>
      </c>
      <c r="G239" s="69" t="s">
        <v>3507</v>
      </c>
      <c r="H239" s="69" t="s">
        <v>3493</v>
      </c>
    </row>
    <row r="240" spans="1:8" ht="15.5" x14ac:dyDescent="0.35">
      <c r="A240" s="70">
        <v>237</v>
      </c>
      <c r="B240" s="69" t="s">
        <v>3613</v>
      </c>
      <c r="C240" s="69" t="s">
        <v>96</v>
      </c>
      <c r="D240" s="69" t="s">
        <v>3601</v>
      </c>
      <c r="E240" s="69" t="s">
        <v>3602</v>
      </c>
      <c r="F240" s="69" t="s">
        <v>3504</v>
      </c>
      <c r="G240" s="69" t="s">
        <v>3507</v>
      </c>
      <c r="H240" s="69" t="s">
        <v>3496</v>
      </c>
    </row>
    <row r="241" spans="1:8" ht="15.5" x14ac:dyDescent="0.35">
      <c r="A241" s="70">
        <v>238</v>
      </c>
      <c r="B241" s="69" t="s">
        <v>3613</v>
      </c>
      <c r="C241" s="69" t="s">
        <v>96</v>
      </c>
      <c r="D241" s="69" t="s">
        <v>3602</v>
      </c>
      <c r="E241" s="69" t="s">
        <v>3584</v>
      </c>
      <c r="F241" s="69" t="s">
        <v>3504</v>
      </c>
      <c r="G241" s="69" t="s">
        <v>3507</v>
      </c>
      <c r="H241" s="69" t="s">
        <v>3487</v>
      </c>
    </row>
    <row r="242" spans="1:8" ht="15.5" x14ac:dyDescent="0.35">
      <c r="A242" s="70">
        <v>239</v>
      </c>
      <c r="B242" s="69" t="s">
        <v>3613</v>
      </c>
      <c r="C242" s="69" t="s">
        <v>96</v>
      </c>
      <c r="D242" s="69" t="s">
        <v>3584</v>
      </c>
      <c r="E242" s="69" t="s">
        <v>3585</v>
      </c>
      <c r="F242" s="69" t="s">
        <v>3504</v>
      </c>
      <c r="G242" s="69" t="s">
        <v>3507</v>
      </c>
      <c r="H242" s="69" t="s">
        <v>3501</v>
      </c>
    </row>
    <row r="243" spans="1:8" ht="15.5" x14ac:dyDescent="0.35">
      <c r="A243" s="70">
        <v>240</v>
      </c>
      <c r="B243" s="69" t="s">
        <v>3613</v>
      </c>
      <c r="C243" s="69" t="s">
        <v>96</v>
      </c>
      <c r="D243" s="69" t="s">
        <v>3585</v>
      </c>
      <c r="E243" s="69" t="s">
        <v>3586</v>
      </c>
      <c r="F243" s="69" t="s">
        <v>3504</v>
      </c>
      <c r="G243" s="69" t="s">
        <v>3507</v>
      </c>
      <c r="H243" s="69" t="s">
        <v>3504</v>
      </c>
    </row>
    <row r="244" spans="1:8" ht="15.5" x14ac:dyDescent="0.35">
      <c r="A244" s="70">
        <v>241</v>
      </c>
      <c r="B244" s="69" t="s">
        <v>3613</v>
      </c>
      <c r="C244" s="69" t="s">
        <v>97</v>
      </c>
      <c r="D244" s="69" t="s">
        <v>3586</v>
      </c>
      <c r="E244" s="69" t="s">
        <v>3603</v>
      </c>
      <c r="F244" s="69" t="s">
        <v>3504</v>
      </c>
      <c r="G244" s="69" t="s">
        <v>3510</v>
      </c>
      <c r="H244" s="69" t="s">
        <v>3510</v>
      </c>
    </row>
    <row r="245" spans="1:8" ht="15.5" x14ac:dyDescent="0.35">
      <c r="A245" s="70">
        <v>242</v>
      </c>
      <c r="B245" s="69" t="s">
        <v>3613</v>
      </c>
      <c r="C245" s="69" t="s">
        <v>97</v>
      </c>
      <c r="D245" s="69" t="s">
        <v>3603</v>
      </c>
      <c r="E245" s="69" t="s">
        <v>3588</v>
      </c>
      <c r="F245" s="69" t="s">
        <v>3504</v>
      </c>
      <c r="G245" s="69" t="s">
        <v>3510</v>
      </c>
      <c r="H245" s="69" t="s">
        <v>3488</v>
      </c>
    </row>
    <row r="246" spans="1:8" ht="15.5" x14ac:dyDescent="0.35">
      <c r="A246" s="70">
        <v>243</v>
      </c>
      <c r="B246" s="69" t="s">
        <v>3613</v>
      </c>
      <c r="C246" s="69" t="s">
        <v>97</v>
      </c>
      <c r="D246" s="69" t="s">
        <v>3588</v>
      </c>
      <c r="E246" s="69" t="s">
        <v>3589</v>
      </c>
      <c r="F246" s="69" t="s">
        <v>3504</v>
      </c>
      <c r="G246" s="69" t="s">
        <v>3510</v>
      </c>
      <c r="H246" s="69" t="s">
        <v>3490</v>
      </c>
    </row>
    <row r="247" spans="1:8" ht="15.5" x14ac:dyDescent="0.35">
      <c r="A247" s="70">
        <v>244</v>
      </c>
      <c r="B247" s="71" t="s">
        <v>3613</v>
      </c>
      <c r="C247" s="69" t="s">
        <v>97</v>
      </c>
      <c r="D247" s="71" t="s">
        <v>3589</v>
      </c>
      <c r="E247" s="71" t="s">
        <v>3590</v>
      </c>
      <c r="F247" s="71" t="s">
        <v>3504</v>
      </c>
      <c r="G247" s="71" t="s">
        <v>3510</v>
      </c>
      <c r="H247" s="71" t="s">
        <v>3493</v>
      </c>
    </row>
    <row r="248" spans="1:8" ht="15.5" x14ac:dyDescent="0.35">
      <c r="A248" s="70">
        <v>245</v>
      </c>
      <c r="B248" s="69" t="s">
        <v>3613</v>
      </c>
      <c r="C248" s="69" t="s">
        <v>97</v>
      </c>
      <c r="D248" s="69" t="s">
        <v>3590</v>
      </c>
      <c r="E248" s="69" t="s">
        <v>3549</v>
      </c>
      <c r="F248" s="69" t="s">
        <v>3504</v>
      </c>
      <c r="G248" s="69" t="s">
        <v>3510</v>
      </c>
      <c r="H248" s="69" t="s">
        <v>3496</v>
      </c>
    </row>
    <row r="249" spans="1:8" ht="15.5" x14ac:dyDescent="0.35">
      <c r="A249" s="70">
        <v>246</v>
      </c>
      <c r="B249" s="69" t="s">
        <v>3613</v>
      </c>
      <c r="C249" s="69" t="s">
        <v>97</v>
      </c>
      <c r="D249" s="69" t="s">
        <v>3549</v>
      </c>
      <c r="E249" s="69" t="s">
        <v>3551</v>
      </c>
      <c r="F249" s="69" t="s">
        <v>3504</v>
      </c>
      <c r="G249" s="69" t="s">
        <v>3510</v>
      </c>
      <c r="H249" s="69" t="s">
        <v>3487</v>
      </c>
    </row>
    <row r="250" spans="1:8" ht="15.5" x14ac:dyDescent="0.35">
      <c r="A250" s="70">
        <v>247</v>
      </c>
      <c r="B250" s="69" t="s">
        <v>3613</v>
      </c>
      <c r="C250" s="69" t="s">
        <v>97</v>
      </c>
      <c r="D250" s="69" t="s">
        <v>3551</v>
      </c>
      <c r="E250" s="69" t="s">
        <v>3552</v>
      </c>
      <c r="F250" s="69" t="s">
        <v>3504</v>
      </c>
      <c r="G250" s="69" t="s">
        <v>3510</v>
      </c>
      <c r="H250" s="69" t="s">
        <v>3501</v>
      </c>
    </row>
    <row r="251" spans="1:8" ht="15.5" x14ac:dyDescent="0.35">
      <c r="A251" s="70">
        <v>248</v>
      </c>
      <c r="B251" s="69" t="s">
        <v>3613</v>
      </c>
      <c r="C251" s="69" t="s">
        <v>97</v>
      </c>
      <c r="D251" s="69" t="s">
        <v>3552</v>
      </c>
      <c r="E251" s="69" t="s">
        <v>3553</v>
      </c>
      <c r="F251" s="69" t="s">
        <v>3504</v>
      </c>
      <c r="G251" s="69" t="s">
        <v>3510</v>
      </c>
      <c r="H251" s="69" t="s">
        <v>3504</v>
      </c>
    </row>
    <row r="252" spans="1:8" ht="15.5" x14ac:dyDescent="0.35">
      <c r="A252" s="70">
        <v>249</v>
      </c>
      <c r="B252" s="69" t="s">
        <v>3613</v>
      </c>
      <c r="C252" s="69" t="s">
        <v>97</v>
      </c>
      <c r="D252" s="69" t="s">
        <v>3614</v>
      </c>
      <c r="E252" s="69" t="s">
        <v>3528</v>
      </c>
      <c r="F252" s="69" t="s">
        <v>3504</v>
      </c>
      <c r="G252" s="69" t="s">
        <v>3510</v>
      </c>
      <c r="H252" s="69" t="s">
        <v>3507</v>
      </c>
    </row>
  </sheetData>
  <mergeCells count="2">
    <mergeCell ref="A1:H1"/>
    <mergeCell ref="A2:H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topLeftCell="A8" workbookViewId="0">
      <selection activeCell="B13" sqref="B13"/>
    </sheetView>
  </sheetViews>
  <sheetFormatPr defaultColWidth="9.1796875" defaultRowHeight="14.5" x14ac:dyDescent="0.35"/>
  <cols>
    <col min="1" max="1" width="81.54296875" style="18" customWidth="1"/>
    <col min="2" max="2" width="79" style="11" bestFit="1" customWidth="1"/>
    <col min="3" max="3" width="23.26953125" style="11" customWidth="1"/>
    <col min="4" max="4" width="16.26953125" style="11" customWidth="1"/>
    <col min="5" max="5" width="54.81640625" style="11" bestFit="1" customWidth="1"/>
    <col min="6" max="16384" width="9.1796875" style="11"/>
  </cols>
  <sheetData>
    <row r="1" spans="1:5" ht="31" x14ac:dyDescent="0.7">
      <c r="A1" s="19" t="s">
        <v>4</v>
      </c>
      <c r="B1" s="5" t="s">
        <v>27</v>
      </c>
      <c r="C1" s="10"/>
      <c r="E1" s="3" t="s">
        <v>46</v>
      </c>
    </row>
    <row r="2" spans="1:5" ht="31" x14ac:dyDescent="0.7">
      <c r="A2" s="19" t="s">
        <v>26</v>
      </c>
      <c r="B2" s="5">
        <v>7</v>
      </c>
      <c r="C2" s="9"/>
      <c r="E2" s="3" t="s">
        <v>38</v>
      </c>
    </row>
    <row r="3" spans="1:5" ht="31" x14ac:dyDescent="0.7">
      <c r="A3" s="19" t="str">
        <f>CONCATENATE("Owner of Main House ",B2)</f>
        <v>Owner of Main House 7</v>
      </c>
      <c r="B3" s="5" t="s">
        <v>44</v>
      </c>
      <c r="C3" s="21" t="s">
        <v>32</v>
      </c>
      <c r="E3" s="3" t="s">
        <v>9</v>
      </c>
    </row>
    <row r="4" spans="1:5" ht="62" x14ac:dyDescent="0.7">
      <c r="A4" s="19" t="str">
        <f>CONCATENATE("Planets in star/sub/conjunct/opposed with owner of main house ",B3)</f>
        <v>Planets in star/sub/conjunct/opposed with owner of main house Moon</v>
      </c>
      <c r="B4" s="5" t="s">
        <v>4581</v>
      </c>
      <c r="C4" s="21" t="s">
        <v>34</v>
      </c>
      <c r="E4" s="3" t="s">
        <v>44</v>
      </c>
    </row>
    <row r="5" spans="1:5" ht="31" x14ac:dyDescent="0.7">
      <c r="A5" s="19" t="str">
        <f>CONCATENATE("Planets Deposited in Main House ",B2)</f>
        <v>Planets Deposited in Main House 7</v>
      </c>
      <c r="B5" s="6" t="s">
        <v>4582</v>
      </c>
      <c r="C5" s="21" t="s">
        <v>36</v>
      </c>
      <c r="E5" s="3" t="s">
        <v>45</v>
      </c>
    </row>
    <row r="6" spans="1:5" ht="93" x14ac:dyDescent="0.7">
      <c r="A6" s="19" t="str">
        <f>CONCATENATE("Planets in star/sub/conjunct/opposed with planets deposited in the main house ",B5)</f>
        <v>Planets in star/sub/conjunct/opposed with planets deposited in the main house Ven, Mar, Jup</v>
      </c>
      <c r="B6" s="6" t="s">
        <v>4583</v>
      </c>
      <c r="C6" s="21" t="s">
        <v>37</v>
      </c>
      <c r="E6" s="3" t="s">
        <v>39</v>
      </c>
    </row>
    <row r="7" spans="1:5" ht="62" x14ac:dyDescent="0.7">
      <c r="A7" s="20" t="s">
        <v>70</v>
      </c>
      <c r="B7" s="5" t="s">
        <v>4574</v>
      </c>
      <c r="C7" s="22">
        <v>1</v>
      </c>
      <c r="E7" s="3" t="s">
        <v>41</v>
      </c>
    </row>
    <row r="8" spans="1:5" ht="31" x14ac:dyDescent="0.7">
      <c r="A8" s="19" t="s">
        <v>69</v>
      </c>
      <c r="B8" s="6" t="s">
        <v>4584</v>
      </c>
      <c r="C8" s="23">
        <v>2</v>
      </c>
      <c r="D8" s="8"/>
      <c r="E8" s="3" t="s">
        <v>40</v>
      </c>
    </row>
    <row r="9" spans="1:5" ht="31" x14ac:dyDescent="0.7">
      <c r="A9" s="19" t="s">
        <v>69</v>
      </c>
      <c r="B9" s="6"/>
      <c r="C9" s="22">
        <v>3</v>
      </c>
      <c r="D9" s="9"/>
      <c r="E9" s="3" t="s">
        <v>43</v>
      </c>
    </row>
    <row r="10" spans="1:5" ht="31" x14ac:dyDescent="0.7">
      <c r="A10" s="20" t="s">
        <v>56</v>
      </c>
      <c r="B10" s="5" t="s">
        <v>4580</v>
      </c>
      <c r="C10" s="7"/>
      <c r="D10" s="7"/>
      <c r="E10" s="7"/>
    </row>
    <row r="11" spans="1:5" ht="31" x14ac:dyDescent="0.7">
      <c r="A11" s="20" t="s">
        <v>68</v>
      </c>
      <c r="B11" s="6" t="s">
        <v>4585</v>
      </c>
      <c r="C11" s="7"/>
      <c r="D11" s="7"/>
      <c r="E11" s="7"/>
    </row>
    <row r="12" spans="1:5" ht="31" x14ac:dyDescent="0.7">
      <c r="A12" s="20" t="s">
        <v>66</v>
      </c>
      <c r="B12" s="6"/>
      <c r="C12" s="7"/>
      <c r="D12" s="7"/>
      <c r="E12" s="7"/>
    </row>
    <row r="13" spans="1:5" ht="62" x14ac:dyDescent="0.7">
      <c r="A13" s="20" t="s">
        <v>67</v>
      </c>
      <c r="B13" s="7"/>
      <c r="C13" s="7"/>
      <c r="D13" s="7"/>
      <c r="E13" s="7"/>
    </row>
    <row r="14" spans="1:5" ht="26" x14ac:dyDescent="0.6">
      <c r="B14" s="97"/>
    </row>
    <row r="15" spans="1:5" ht="26" x14ac:dyDescent="0.6">
      <c r="B15" s="97"/>
    </row>
  </sheetData>
  <dataValidations count="1">
    <dataValidation type="list" allowBlank="1" showInputMessage="1" showErrorMessage="1" errorTitle="Choose a planet from List" error="Select one planet from the dropdown list" promptTitle="Choose a planet from the list" prompt="Select one planet from the dropdown list" sqref="B3" xr:uid="{00000000-0002-0000-0500-000000000000}">
      <formula1>$E$1:$E$9</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22D8-825D-4605-A0C4-2CB167071AE1}">
  <dimension ref="A1:L19"/>
  <sheetViews>
    <sheetView workbookViewId="0">
      <selection activeCell="A13" sqref="A13:A17"/>
    </sheetView>
  </sheetViews>
  <sheetFormatPr defaultColWidth="9.1796875" defaultRowHeight="23.5" x14ac:dyDescent="0.55000000000000004"/>
  <cols>
    <col min="1" max="1" width="61.81640625" style="1" customWidth="1"/>
    <col min="2" max="2" width="28.54296875" style="1" customWidth="1"/>
    <col min="3" max="4" width="11.1796875" style="1" customWidth="1"/>
    <col min="5" max="5" width="12.26953125" style="1" bestFit="1" customWidth="1"/>
    <col min="6" max="6" width="11.1796875" style="1" customWidth="1"/>
    <col min="7" max="7" width="12.453125" style="1" customWidth="1"/>
    <col min="8" max="8" width="11.1796875" style="1" customWidth="1"/>
    <col min="9" max="10" width="9.1796875" style="1"/>
    <col min="11" max="11" width="11.54296875" style="1" customWidth="1"/>
    <col min="12" max="12" width="9.1796875" style="1"/>
    <col min="13" max="13" width="13.54296875" style="1" bestFit="1" customWidth="1"/>
    <col min="14" max="16384" width="9.1796875" style="1"/>
  </cols>
  <sheetData>
    <row r="1" spans="1:12" x14ac:dyDescent="0.55000000000000004">
      <c r="A1" s="1" t="s">
        <v>4577</v>
      </c>
      <c r="B1" s="1" t="s">
        <v>4575</v>
      </c>
      <c r="C1" s="307" t="s">
        <v>47</v>
      </c>
      <c r="D1" s="307"/>
      <c r="E1" s="308" t="s">
        <v>4348</v>
      </c>
      <c r="F1" s="308"/>
      <c r="G1" s="309" t="s">
        <v>4349</v>
      </c>
      <c r="H1" s="309"/>
      <c r="I1" s="1" t="s">
        <v>4351</v>
      </c>
      <c r="K1" s="267" t="s">
        <v>4352</v>
      </c>
      <c r="L1" s="267"/>
    </row>
    <row r="2" spans="1:12" x14ac:dyDescent="0.55000000000000004">
      <c r="A2" s="1" t="s">
        <v>9</v>
      </c>
      <c r="B2" s="1" t="s">
        <v>4576</v>
      </c>
      <c r="C2" s="265"/>
      <c r="D2" s="265"/>
      <c r="G2" s="266"/>
      <c r="H2" s="266"/>
      <c r="K2" s="267"/>
      <c r="L2" s="267"/>
    </row>
    <row r="3" spans="1:12" x14ac:dyDescent="0.55000000000000004">
      <c r="A3" s="1" t="s">
        <v>41</v>
      </c>
      <c r="B3" s="1" t="s">
        <v>4578</v>
      </c>
      <c r="C3" s="265"/>
      <c r="D3" s="265"/>
      <c r="G3" s="266"/>
      <c r="H3" s="266"/>
      <c r="K3" s="267"/>
      <c r="L3" s="267"/>
    </row>
    <row r="4" spans="1:12" x14ac:dyDescent="0.55000000000000004">
      <c r="A4" s="1" t="s">
        <v>40</v>
      </c>
      <c r="B4" s="1" t="s">
        <v>4579</v>
      </c>
      <c r="C4" s="265"/>
      <c r="D4" s="265"/>
      <c r="G4" s="266"/>
      <c r="H4" s="266"/>
      <c r="K4" s="267"/>
      <c r="L4" s="267"/>
    </row>
    <row r="5" spans="1:12" x14ac:dyDescent="0.55000000000000004">
      <c r="C5" s="265"/>
      <c r="D5" s="265"/>
      <c r="G5" s="266"/>
      <c r="H5" s="266"/>
      <c r="K5" s="267"/>
      <c r="L5" s="267"/>
    </row>
    <row r="6" spans="1:12" x14ac:dyDescent="0.55000000000000004">
      <c r="C6" s="265"/>
      <c r="D6" s="265"/>
      <c r="G6" s="266"/>
      <c r="H6" s="266"/>
      <c r="K6" s="267"/>
      <c r="L6" s="267"/>
    </row>
    <row r="7" spans="1:12" x14ac:dyDescent="0.55000000000000004">
      <c r="C7" s="265"/>
      <c r="D7" s="265"/>
      <c r="G7" s="266"/>
      <c r="H7" s="266"/>
      <c r="K7" s="267"/>
      <c r="L7" s="267"/>
    </row>
    <row r="8" spans="1:12" x14ac:dyDescent="0.55000000000000004">
      <c r="C8" s="265"/>
      <c r="D8" s="265"/>
      <c r="G8" s="266"/>
      <c r="H8" s="266"/>
      <c r="K8" s="267"/>
      <c r="L8" s="267"/>
    </row>
    <row r="9" spans="1:12" x14ac:dyDescent="0.55000000000000004">
      <c r="C9" s="265"/>
      <c r="D9" s="265"/>
      <c r="G9" s="266"/>
      <c r="H9" s="266"/>
      <c r="K9" s="267"/>
      <c r="L9" s="267"/>
    </row>
    <row r="11" spans="1:12" x14ac:dyDescent="0.55000000000000004">
      <c r="A11" s="1" t="s">
        <v>4350</v>
      </c>
    </row>
    <row r="12" spans="1:12" x14ac:dyDescent="0.55000000000000004">
      <c r="A12" s="1" t="s">
        <v>4353</v>
      </c>
    </row>
    <row r="13" spans="1:12" x14ac:dyDescent="0.55000000000000004">
      <c r="A13" s="1" t="s">
        <v>4354</v>
      </c>
    </row>
    <row r="14" spans="1:12" x14ac:dyDescent="0.55000000000000004">
      <c r="A14" s="1" t="s">
        <v>4355</v>
      </c>
    </row>
    <row r="15" spans="1:12" x14ac:dyDescent="0.55000000000000004">
      <c r="A15" s="1" t="s">
        <v>4356</v>
      </c>
    </row>
    <row r="16" spans="1:12" x14ac:dyDescent="0.55000000000000004">
      <c r="A16" s="1" t="s">
        <v>4357</v>
      </c>
    </row>
    <row r="17" spans="1:1" x14ac:dyDescent="0.55000000000000004">
      <c r="A17" s="1" t="s">
        <v>4358</v>
      </c>
    </row>
    <row r="19" spans="1:1" x14ac:dyDescent="0.55000000000000004">
      <c r="A19" s="1" t="s">
        <v>4359</v>
      </c>
    </row>
  </sheetData>
  <mergeCells count="3">
    <mergeCell ref="C1:D1"/>
    <mergeCell ref="E1:F1"/>
    <mergeCell ref="G1:H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0"/>
  <sheetViews>
    <sheetView workbookViewId="0">
      <selection activeCell="D2" sqref="D2"/>
    </sheetView>
  </sheetViews>
  <sheetFormatPr defaultRowHeight="14.5" x14ac:dyDescent="0.35"/>
  <cols>
    <col min="1" max="1" width="62.81640625" customWidth="1"/>
    <col min="2" max="3" width="19" bestFit="1" customWidth="1"/>
    <col min="4" max="5" width="10.26953125" bestFit="1" customWidth="1"/>
    <col min="6" max="6" width="18.54296875" customWidth="1"/>
    <col min="10" max="10" width="17.81640625" bestFit="1" customWidth="1"/>
  </cols>
  <sheetData>
    <row r="1" spans="1:6" ht="21" x14ac:dyDescent="0.5">
      <c r="A1" s="90" t="s">
        <v>6</v>
      </c>
      <c r="B1" s="31"/>
      <c r="C1" s="31"/>
      <c r="D1" s="31"/>
    </row>
    <row r="2" spans="1:6" ht="21" x14ac:dyDescent="0.5">
      <c r="A2" s="91" t="s">
        <v>7</v>
      </c>
      <c r="B2" s="55" t="s">
        <v>4041</v>
      </c>
      <c r="C2" s="55" t="s">
        <v>4042</v>
      </c>
      <c r="D2" s="92" t="s">
        <v>4043</v>
      </c>
    </row>
    <row r="3" spans="1:6" ht="21" x14ac:dyDescent="0.5">
      <c r="A3" s="93" t="s">
        <v>8</v>
      </c>
      <c r="B3" s="94" t="s">
        <v>4044</v>
      </c>
      <c r="C3" s="93" t="s">
        <v>4045</v>
      </c>
      <c r="D3" s="94" t="s">
        <v>4046</v>
      </c>
      <c r="E3" s="94" t="s">
        <v>4588</v>
      </c>
      <c r="F3" s="94" t="s">
        <v>4589</v>
      </c>
    </row>
    <row r="4" spans="1:6" ht="21" x14ac:dyDescent="0.5">
      <c r="A4" s="31"/>
      <c r="B4" s="31"/>
      <c r="C4" s="31"/>
      <c r="D4" s="31"/>
    </row>
    <row r="5" spans="1:6" ht="21" x14ac:dyDescent="0.5">
      <c r="A5" s="55" t="s">
        <v>4039</v>
      </c>
      <c r="B5" s="31"/>
      <c r="C5" s="31"/>
      <c r="D5" s="31"/>
    </row>
    <row r="6" spans="1:6" ht="21" x14ac:dyDescent="0.5">
      <c r="A6" s="31" t="s">
        <v>9</v>
      </c>
      <c r="B6" s="95" t="s">
        <v>4048</v>
      </c>
      <c r="C6" s="31"/>
      <c r="D6" s="31"/>
    </row>
    <row r="7" spans="1:6" ht="21" x14ac:dyDescent="0.5">
      <c r="A7" s="39" t="s">
        <v>4040</v>
      </c>
      <c r="B7" s="95" t="s">
        <v>4047</v>
      </c>
      <c r="C7" s="31"/>
      <c r="D7" s="31"/>
    </row>
    <row r="9" spans="1:6" ht="21" x14ac:dyDescent="0.5">
      <c r="A9" s="55" t="s">
        <v>4026</v>
      </c>
    </row>
    <row r="10" spans="1:6" ht="21" x14ac:dyDescent="0.5">
      <c r="A10" s="31"/>
    </row>
    <row r="11" spans="1:6" ht="21" x14ac:dyDescent="0.5">
      <c r="A11" s="31" t="s">
        <v>4035</v>
      </c>
    </row>
    <row r="12" spans="1:6" ht="21" x14ac:dyDescent="0.5">
      <c r="A12" s="31" t="s">
        <v>4036</v>
      </c>
    </row>
    <row r="13" spans="1:6" ht="21" x14ac:dyDescent="0.5">
      <c r="A13" s="31" t="s">
        <v>4037</v>
      </c>
    </row>
    <row r="14" spans="1:6" ht="21" x14ac:dyDescent="0.5">
      <c r="A14" s="31" t="s">
        <v>4038</v>
      </c>
    </row>
    <row r="15" spans="1:6" ht="21" x14ac:dyDescent="0.5">
      <c r="A15" s="31"/>
    </row>
    <row r="16" spans="1:6" ht="21" x14ac:dyDescent="0.5">
      <c r="A16" s="55" t="s">
        <v>4027</v>
      </c>
    </row>
    <row r="17" spans="1:5" ht="21" x14ac:dyDescent="0.5">
      <c r="A17" s="31"/>
    </row>
    <row r="18" spans="1:5" ht="21" x14ac:dyDescent="0.5">
      <c r="A18" s="31" t="s">
        <v>4029</v>
      </c>
    </row>
    <row r="19" spans="1:5" ht="21" x14ac:dyDescent="0.5">
      <c r="A19" s="31" t="s">
        <v>4030</v>
      </c>
    </row>
    <row r="20" spans="1:5" ht="21" x14ac:dyDescent="0.5">
      <c r="A20" s="31" t="s">
        <v>4031</v>
      </c>
    </row>
    <row r="21" spans="1:5" ht="21" x14ac:dyDescent="0.5">
      <c r="A21" s="31" t="s">
        <v>4123</v>
      </c>
    </row>
    <row r="22" spans="1:5" ht="21" x14ac:dyDescent="0.5">
      <c r="A22" s="31" t="s">
        <v>4160</v>
      </c>
    </row>
    <row r="23" spans="1:5" ht="21" x14ac:dyDescent="0.5">
      <c r="A23" s="31"/>
    </row>
    <row r="24" spans="1:5" ht="21" x14ac:dyDescent="0.5">
      <c r="A24" s="55" t="s">
        <v>4028</v>
      </c>
    </row>
    <row r="25" spans="1:5" ht="21" x14ac:dyDescent="0.5">
      <c r="A25" s="31"/>
    </row>
    <row r="26" spans="1:5" ht="21" x14ac:dyDescent="0.5">
      <c r="A26" s="31" t="s">
        <v>4032</v>
      </c>
    </row>
    <row r="27" spans="1:5" ht="21" x14ac:dyDescent="0.5">
      <c r="A27" s="31" t="s">
        <v>4033</v>
      </c>
    </row>
    <row r="28" spans="1:5" ht="21" x14ac:dyDescent="0.5">
      <c r="A28" s="31" t="s">
        <v>4034</v>
      </c>
    </row>
    <row r="29" spans="1:5" ht="21" x14ac:dyDescent="0.5">
      <c r="A29" s="31" t="s">
        <v>4161</v>
      </c>
    </row>
    <row r="31" spans="1:5" ht="21" x14ac:dyDescent="0.5">
      <c r="A31" s="55" t="s">
        <v>4308</v>
      </c>
    </row>
    <row r="32" spans="1:5" ht="21" x14ac:dyDescent="0.5">
      <c r="A32" s="31"/>
      <c r="B32" s="31" t="s">
        <v>4321</v>
      </c>
      <c r="C32" s="31" t="s">
        <v>4322</v>
      </c>
      <c r="D32" s="31" t="s">
        <v>4323</v>
      </c>
      <c r="E32" s="31" t="s">
        <v>1</v>
      </c>
    </row>
    <row r="33" spans="1:5" ht="21" x14ac:dyDescent="0.5">
      <c r="A33" s="31" t="s">
        <v>4586</v>
      </c>
      <c r="B33" s="31" t="s">
        <v>4324</v>
      </c>
      <c r="C33" s="31" t="s">
        <v>4324</v>
      </c>
      <c r="D33" s="31" t="s">
        <v>4325</v>
      </c>
      <c r="E33" s="31" t="s">
        <v>4325</v>
      </c>
    </row>
    <row r="34" spans="1:5" ht="21" x14ac:dyDescent="0.5">
      <c r="A34" s="31"/>
      <c r="B34" s="31" t="s">
        <v>4324</v>
      </c>
      <c r="C34" s="31" t="s">
        <v>4324</v>
      </c>
      <c r="D34" s="31" t="s">
        <v>4326</v>
      </c>
      <c r="E34" s="31" t="s">
        <v>4326</v>
      </c>
    </row>
    <row r="35" spans="1:5" ht="21" x14ac:dyDescent="0.5">
      <c r="A35" s="31"/>
      <c r="B35" s="31" t="s">
        <v>4324</v>
      </c>
      <c r="C35" s="31" t="s">
        <v>4327</v>
      </c>
      <c r="D35" s="31" t="s">
        <v>4325</v>
      </c>
      <c r="E35" s="31" t="s">
        <v>4325</v>
      </c>
    </row>
    <row r="36" spans="1:5" ht="21" x14ac:dyDescent="0.5">
      <c r="A36" s="31"/>
      <c r="B36" s="31" t="s">
        <v>4324</v>
      </c>
      <c r="C36" s="31" t="s">
        <v>4327</v>
      </c>
      <c r="D36" s="31" t="s">
        <v>4326</v>
      </c>
      <c r="E36" s="31" t="s">
        <v>4326</v>
      </c>
    </row>
    <row r="37" spans="1:5" ht="21" x14ac:dyDescent="0.5">
      <c r="A37" s="31"/>
      <c r="B37" s="31" t="s">
        <v>4327</v>
      </c>
      <c r="C37" s="31" t="s">
        <v>4324</v>
      </c>
      <c r="D37" s="31" t="s">
        <v>4325</v>
      </c>
      <c r="E37" s="31" t="s">
        <v>4326</v>
      </c>
    </row>
    <row r="38" spans="1:5" ht="21" x14ac:dyDescent="0.5">
      <c r="A38" s="31"/>
      <c r="B38" s="31" t="s">
        <v>4327</v>
      </c>
      <c r="C38" s="31" t="s">
        <v>4324</v>
      </c>
      <c r="D38" s="31" t="s">
        <v>4326</v>
      </c>
      <c r="E38" s="31" t="s">
        <v>4326</v>
      </c>
    </row>
    <row r="39" spans="1:5" ht="21" x14ac:dyDescent="0.5">
      <c r="A39" s="31" t="s">
        <v>4587</v>
      </c>
      <c r="B39" s="31" t="s">
        <v>4327</v>
      </c>
      <c r="C39" s="31" t="s">
        <v>4327</v>
      </c>
      <c r="D39" s="31" t="s">
        <v>4325</v>
      </c>
      <c r="E39" s="31" t="s">
        <v>4326</v>
      </c>
    </row>
    <row r="40" spans="1:5" ht="21" x14ac:dyDescent="0.5">
      <c r="A40" s="31"/>
      <c r="B40" s="31" t="s">
        <v>4327</v>
      </c>
      <c r="C40" s="31" t="s">
        <v>4327</v>
      </c>
      <c r="D40" s="31" t="s">
        <v>4326</v>
      </c>
      <c r="E40" s="31" t="s">
        <v>4325</v>
      </c>
    </row>
  </sheetData>
  <dataValidations count="4">
    <dataValidation type="whole" showInputMessage="1" showErrorMessage="1" error="Enter a value from 1 to 12 only" prompt="Enter 1 to 12" sqref="B10" xr:uid="{0324FD3C-05FC-4244-8B46-4E5C7E8155A8}">
      <formula1>1</formula1>
      <formula2>12</formula2>
    </dataValidation>
    <dataValidation type="whole" showInputMessage="1" showErrorMessage="1" error="Minute must be 0 to 59" prompt="Minute must be 0 to 59" sqref="D10" xr:uid="{8482544A-B33C-438B-A88B-C05A9AE3EBC5}">
      <formula1>0</formula1>
      <formula2>59</formula2>
    </dataValidation>
    <dataValidation type="whole" showInputMessage="1" showErrorMessage="1" error="Degree must be 0 to 29" prompt="Degree must be 0 to 29" sqref="C10" xr:uid="{020095B6-8B18-4EDC-B399-A08CD64AFF06}">
      <formula1>0</formula1>
      <formula2>29</formula2>
    </dataValidation>
    <dataValidation type="whole" showInputMessage="1" showErrorMessage="1" error="Second must be 0 to 59" prompt="Second must be 0 to 59" sqref="E10" xr:uid="{9F7EA8F2-9DAA-465C-A41B-1CE9CEE1FC9E}">
      <formula1>0</formula1>
      <formula2>59</formula2>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2F32A-1AB8-40FD-BB74-CF2F865A9ED1}">
  <dimension ref="A1:J23"/>
  <sheetViews>
    <sheetView topLeftCell="A14" workbookViewId="0"/>
  </sheetViews>
  <sheetFormatPr defaultRowHeight="14.5" x14ac:dyDescent="0.35"/>
  <cols>
    <col min="1" max="1" width="13.1796875" bestFit="1" customWidth="1"/>
    <col min="2" max="2" width="13.54296875" customWidth="1"/>
    <col min="3" max="3" width="15.81640625" bestFit="1" customWidth="1"/>
    <col min="4" max="4" width="18.26953125" bestFit="1" customWidth="1"/>
    <col min="5" max="5" width="19" bestFit="1" customWidth="1"/>
    <col min="6" max="6" width="11" bestFit="1" customWidth="1"/>
    <col min="7" max="7" width="19" bestFit="1" customWidth="1"/>
    <col min="8" max="8" width="10.54296875" bestFit="1" customWidth="1"/>
    <col min="9" max="10" width="13.54296875" customWidth="1"/>
  </cols>
  <sheetData>
    <row r="1" spans="1:10" ht="23.5" x14ac:dyDescent="0.55000000000000004">
      <c r="B1" s="3" t="s">
        <v>9</v>
      </c>
      <c r="C1" s="3" t="s">
        <v>44</v>
      </c>
      <c r="D1" s="3" t="s">
        <v>45</v>
      </c>
      <c r="E1" s="3" t="s">
        <v>43</v>
      </c>
      <c r="F1" s="3" t="s">
        <v>41</v>
      </c>
      <c r="G1" s="3" t="s">
        <v>38</v>
      </c>
      <c r="H1" s="3" t="s">
        <v>40</v>
      </c>
      <c r="I1" s="3" t="s">
        <v>39</v>
      </c>
      <c r="J1" s="3" t="s">
        <v>46</v>
      </c>
    </row>
    <row r="2" spans="1:10" ht="23.5" x14ac:dyDescent="0.55000000000000004">
      <c r="A2" s="3" t="s">
        <v>9</v>
      </c>
      <c r="B2" s="275"/>
      <c r="C2" s="276" t="s">
        <v>4326</v>
      </c>
      <c r="D2" s="273" t="s">
        <v>4020</v>
      </c>
      <c r="E2" s="276" t="s">
        <v>4326</v>
      </c>
      <c r="F2" s="273" t="s">
        <v>4020</v>
      </c>
      <c r="G2" s="277" t="s">
        <v>4325</v>
      </c>
      <c r="H2" s="277" t="s">
        <v>4325</v>
      </c>
      <c r="I2" s="273" t="s">
        <v>4020</v>
      </c>
      <c r="J2" s="273" t="s">
        <v>4020</v>
      </c>
    </row>
    <row r="3" spans="1:10" ht="23.5" x14ac:dyDescent="0.55000000000000004">
      <c r="A3" s="3" t="s">
        <v>44</v>
      </c>
      <c r="B3" s="275"/>
      <c r="C3" s="275"/>
      <c r="D3" s="273" t="s">
        <v>4020</v>
      </c>
      <c r="E3" s="276" t="s">
        <v>4326</v>
      </c>
      <c r="F3" s="273" t="s">
        <v>4020</v>
      </c>
      <c r="G3" s="277" t="s">
        <v>4325</v>
      </c>
      <c r="H3" s="273" t="s">
        <v>4020</v>
      </c>
      <c r="I3" s="273" t="s">
        <v>4020</v>
      </c>
      <c r="J3" s="273" t="s">
        <v>4020</v>
      </c>
    </row>
    <row r="4" spans="1:10" ht="23.5" x14ac:dyDescent="0.55000000000000004">
      <c r="A4" s="3" t="s">
        <v>45</v>
      </c>
      <c r="B4" s="275"/>
      <c r="C4" s="275"/>
      <c r="D4" s="275"/>
      <c r="E4" s="277" t="s">
        <v>4325</v>
      </c>
      <c r="F4" s="273" t="s">
        <v>4020</v>
      </c>
      <c r="G4" s="273" t="s">
        <v>4020</v>
      </c>
      <c r="H4" s="273" t="s">
        <v>4020</v>
      </c>
      <c r="I4" s="273" t="s">
        <v>4020</v>
      </c>
      <c r="J4" s="273" t="s">
        <v>4020</v>
      </c>
    </row>
    <row r="5" spans="1:10" ht="23.5" x14ac:dyDescent="0.55000000000000004">
      <c r="A5" s="3" t="s">
        <v>43</v>
      </c>
      <c r="B5" s="275"/>
      <c r="C5" s="275"/>
      <c r="D5" s="275"/>
      <c r="E5" s="275"/>
      <c r="F5" s="273" t="s">
        <v>4020</v>
      </c>
      <c r="G5" s="273" t="s">
        <v>4020</v>
      </c>
      <c r="H5" s="273" t="s">
        <v>4020</v>
      </c>
      <c r="I5" s="273" t="s">
        <v>4020</v>
      </c>
      <c r="J5" s="273" t="s">
        <v>4625</v>
      </c>
    </row>
    <row r="6" spans="1:10" ht="23.5" x14ac:dyDescent="0.55000000000000004">
      <c r="A6" s="3" t="s">
        <v>41</v>
      </c>
      <c r="B6" s="275"/>
      <c r="C6" s="275"/>
      <c r="D6" s="275"/>
      <c r="E6" s="275"/>
      <c r="F6" s="275"/>
      <c r="G6" s="273" t="s">
        <v>4020</v>
      </c>
      <c r="H6" s="273" t="s">
        <v>4020</v>
      </c>
      <c r="I6" s="273" t="s">
        <v>4020</v>
      </c>
      <c r="J6" s="273" t="s">
        <v>4020</v>
      </c>
    </row>
    <row r="7" spans="1:10" ht="23.5" x14ac:dyDescent="0.55000000000000004">
      <c r="A7" s="3" t="s">
        <v>38</v>
      </c>
      <c r="B7" s="275"/>
      <c r="C7" s="275"/>
      <c r="D7" s="275"/>
      <c r="E7" s="275"/>
      <c r="F7" s="275"/>
      <c r="G7" s="275"/>
      <c r="H7" s="273" t="s">
        <v>4020</v>
      </c>
      <c r="I7" s="273" t="s">
        <v>4020</v>
      </c>
      <c r="J7" s="273" t="s">
        <v>4020</v>
      </c>
    </row>
    <row r="8" spans="1:10" ht="23.5" x14ac:dyDescent="0.55000000000000004">
      <c r="A8" s="3" t="s">
        <v>40</v>
      </c>
      <c r="B8" s="275"/>
      <c r="C8" s="275"/>
      <c r="D8" s="275"/>
      <c r="E8" s="275"/>
      <c r="F8" s="275"/>
      <c r="G8" s="275"/>
      <c r="H8" s="275"/>
      <c r="I8" s="273" t="s">
        <v>4020</v>
      </c>
      <c r="J8" s="273" t="s">
        <v>4020</v>
      </c>
    </row>
    <row r="9" spans="1:10" ht="23.5" x14ac:dyDescent="0.55000000000000004">
      <c r="A9" s="3" t="s">
        <v>39</v>
      </c>
      <c r="B9" s="275"/>
      <c r="C9" s="275"/>
      <c r="D9" s="275"/>
      <c r="E9" s="275"/>
      <c r="F9" s="275"/>
      <c r="G9" s="275"/>
      <c r="H9" s="275"/>
      <c r="I9" s="275"/>
      <c r="J9" s="276" t="s">
        <v>4326</v>
      </c>
    </row>
    <row r="10" spans="1:10" ht="23.5" x14ac:dyDescent="0.55000000000000004">
      <c r="A10" s="3" t="s">
        <v>46</v>
      </c>
      <c r="B10" s="275"/>
      <c r="C10" s="275"/>
      <c r="D10" s="275"/>
      <c r="E10" s="275"/>
      <c r="F10" s="275"/>
      <c r="G10" s="275"/>
      <c r="H10" s="275"/>
      <c r="I10" s="275"/>
      <c r="J10" s="275"/>
    </row>
    <row r="12" spans="1:10" ht="23.5" x14ac:dyDescent="0.55000000000000004">
      <c r="A12" s="3" t="s">
        <v>4325</v>
      </c>
      <c r="B12" s="274"/>
      <c r="C12" s="274"/>
      <c r="D12" s="274"/>
      <c r="E12" s="274"/>
    </row>
    <row r="13" spans="1:10" ht="21" x14ac:dyDescent="0.5">
      <c r="E13" s="31" t="s">
        <v>4321</v>
      </c>
      <c r="F13" s="31" t="s">
        <v>4323</v>
      </c>
      <c r="G13" s="31" t="s">
        <v>4322</v>
      </c>
      <c r="H13" s="31" t="s">
        <v>1</v>
      </c>
    </row>
    <row r="14" spans="1:10" ht="52" x14ac:dyDescent="0.5">
      <c r="A14" s="274" t="s">
        <v>4624</v>
      </c>
      <c r="B14" t="s">
        <v>4615</v>
      </c>
      <c r="C14" t="s">
        <v>4620</v>
      </c>
      <c r="D14" t="s">
        <v>4325</v>
      </c>
      <c r="E14" s="31" t="s">
        <v>4324</v>
      </c>
      <c r="F14" s="31" t="s">
        <v>4325</v>
      </c>
      <c r="G14" s="31" t="s">
        <v>4324</v>
      </c>
      <c r="H14" s="31" t="s">
        <v>4325</v>
      </c>
    </row>
    <row r="15" spans="1:10" ht="35" x14ac:dyDescent="0.5">
      <c r="A15" s="274" t="s">
        <v>4623</v>
      </c>
      <c r="B15" t="s">
        <v>4615</v>
      </c>
      <c r="C15" t="s">
        <v>4622</v>
      </c>
      <c r="D15" t="s">
        <v>4325</v>
      </c>
      <c r="E15" s="31" t="s">
        <v>4324</v>
      </c>
      <c r="F15" s="31" t="s">
        <v>4326</v>
      </c>
      <c r="G15" s="31" t="s">
        <v>4324</v>
      </c>
      <c r="H15" s="31" t="s">
        <v>4326</v>
      </c>
    </row>
    <row r="16" spans="1:10" ht="35" x14ac:dyDescent="0.5">
      <c r="A16" s="274" t="s">
        <v>4621</v>
      </c>
      <c r="B16" t="s">
        <v>4613</v>
      </c>
      <c r="C16" t="s">
        <v>4620</v>
      </c>
      <c r="D16" t="s">
        <v>4326</v>
      </c>
      <c r="E16" s="31" t="s">
        <v>4324</v>
      </c>
      <c r="F16" s="31" t="s">
        <v>4325</v>
      </c>
      <c r="G16" s="31" t="s">
        <v>4327</v>
      </c>
      <c r="H16" s="31" t="s">
        <v>4325</v>
      </c>
    </row>
    <row r="17" spans="1:8" ht="35" x14ac:dyDescent="0.5">
      <c r="A17" s="274" t="s">
        <v>4619</v>
      </c>
      <c r="B17" t="s">
        <v>4618</v>
      </c>
      <c r="C17" t="s">
        <v>4612</v>
      </c>
      <c r="D17" t="s">
        <v>4325</v>
      </c>
      <c r="E17" s="31" t="s">
        <v>4324</v>
      </c>
      <c r="F17" s="31" t="s">
        <v>4326</v>
      </c>
      <c r="G17" s="31" t="s">
        <v>4327</v>
      </c>
      <c r="H17" s="31" t="s">
        <v>4326</v>
      </c>
    </row>
    <row r="18" spans="1:8" ht="21" x14ac:dyDescent="0.5">
      <c r="E18" s="31" t="s">
        <v>4327</v>
      </c>
      <c r="F18" s="31" t="s">
        <v>4325</v>
      </c>
      <c r="G18" s="31" t="s">
        <v>4324</v>
      </c>
      <c r="H18" s="31" t="s">
        <v>4326</v>
      </c>
    </row>
    <row r="19" spans="1:8" ht="23.5" x14ac:dyDescent="0.55000000000000004">
      <c r="A19" s="3" t="s">
        <v>4326</v>
      </c>
      <c r="B19" s="274"/>
      <c r="C19" s="274"/>
      <c r="D19" s="274"/>
      <c r="E19" s="31" t="s">
        <v>4327</v>
      </c>
      <c r="F19" s="31" t="s">
        <v>4326</v>
      </c>
      <c r="G19" s="31" t="s">
        <v>4324</v>
      </c>
      <c r="H19" s="31" t="s">
        <v>4326</v>
      </c>
    </row>
    <row r="20" spans="1:8" ht="21" x14ac:dyDescent="0.5">
      <c r="A20" s="274" t="s">
        <v>4617</v>
      </c>
      <c r="B20" t="s">
        <v>4615</v>
      </c>
      <c r="C20" t="s">
        <v>4613</v>
      </c>
      <c r="D20" t="s">
        <v>4326</v>
      </c>
      <c r="E20" s="31" t="s">
        <v>4327</v>
      </c>
      <c r="F20" s="31" t="s">
        <v>4325</v>
      </c>
      <c r="G20" s="31" t="s">
        <v>4327</v>
      </c>
      <c r="H20" s="31" t="s">
        <v>4326</v>
      </c>
    </row>
    <row r="21" spans="1:8" ht="35" x14ac:dyDescent="0.5">
      <c r="A21" s="274" t="s">
        <v>4616</v>
      </c>
      <c r="B21" t="s">
        <v>4615</v>
      </c>
      <c r="C21" t="s">
        <v>4612</v>
      </c>
      <c r="D21" t="s">
        <v>4326</v>
      </c>
      <c r="E21" s="31" t="s">
        <v>4327</v>
      </c>
      <c r="F21" s="31" t="s">
        <v>4326</v>
      </c>
      <c r="G21" s="31" t="s">
        <v>4327</v>
      </c>
      <c r="H21" s="31" t="s">
        <v>4325</v>
      </c>
    </row>
    <row r="22" spans="1:8" ht="34" x14ac:dyDescent="0.4">
      <c r="A22" s="274" t="s">
        <v>4614</v>
      </c>
      <c r="B22" t="s">
        <v>4613</v>
      </c>
      <c r="C22" t="s">
        <v>4612</v>
      </c>
      <c r="D22" t="s">
        <v>4326</v>
      </c>
    </row>
    <row r="23" spans="1:8" ht="17" x14ac:dyDescent="0.4">
      <c r="A23" s="274" t="s">
        <v>4611</v>
      </c>
      <c r="B23" t="s">
        <v>4610</v>
      </c>
      <c r="C23" t="s">
        <v>4609</v>
      </c>
      <c r="D23" t="s">
        <v>4326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E868-9BA7-4F3C-99C0-57F8E0843C70}">
  <dimension ref="A1:B30"/>
  <sheetViews>
    <sheetView topLeftCell="A18" workbookViewId="0">
      <selection activeCell="A24" sqref="A24:A30"/>
    </sheetView>
  </sheetViews>
  <sheetFormatPr defaultRowHeight="14.5" x14ac:dyDescent="0.35"/>
  <cols>
    <col min="1" max="1" width="114.1796875" style="46" customWidth="1"/>
    <col min="2" max="2" width="39.81640625" customWidth="1"/>
  </cols>
  <sheetData>
    <row r="1" spans="1:2" ht="21" x14ac:dyDescent="0.5">
      <c r="A1" s="39" t="s">
        <v>1111</v>
      </c>
    </row>
    <row r="2" spans="1:2" ht="21" x14ac:dyDescent="0.5">
      <c r="A2" s="39"/>
    </row>
    <row r="3" spans="1:2" ht="42" x14ac:dyDescent="0.5">
      <c r="A3" s="39" t="s">
        <v>1112</v>
      </c>
    </row>
    <row r="4" spans="1:2" ht="21" x14ac:dyDescent="0.5">
      <c r="A4" s="39"/>
    </row>
    <row r="5" spans="1:2" ht="21" x14ac:dyDescent="0.5">
      <c r="A5" s="39" t="s">
        <v>4011</v>
      </c>
      <c r="B5" s="39" t="s">
        <v>3843</v>
      </c>
    </row>
    <row r="6" spans="1:2" ht="21" x14ac:dyDescent="0.5">
      <c r="A6" s="39" t="s">
        <v>4012</v>
      </c>
      <c r="B6" s="39" t="s">
        <v>3843</v>
      </c>
    </row>
    <row r="7" spans="1:2" ht="21" x14ac:dyDescent="0.5">
      <c r="A7" s="39" t="s">
        <v>1113</v>
      </c>
    </row>
    <row r="8" spans="1:2" ht="21" x14ac:dyDescent="0.5">
      <c r="A8" s="39" t="s">
        <v>4013</v>
      </c>
      <c r="B8" s="39" t="s">
        <v>3843</v>
      </c>
    </row>
    <row r="9" spans="1:2" ht="21" x14ac:dyDescent="0.5">
      <c r="A9" s="39" t="s">
        <v>1114</v>
      </c>
    </row>
    <row r="10" spans="1:2" ht="21" x14ac:dyDescent="0.5">
      <c r="A10" s="39" t="s">
        <v>4014</v>
      </c>
    </row>
    <row r="11" spans="1:2" ht="42" x14ac:dyDescent="0.5">
      <c r="A11" s="39" t="s">
        <v>4015</v>
      </c>
    </row>
    <row r="12" spans="1:2" ht="21" x14ac:dyDescent="0.5">
      <c r="A12" s="39"/>
    </row>
    <row r="13" spans="1:2" ht="21" x14ac:dyDescent="0.5">
      <c r="A13" s="39" t="s">
        <v>1115</v>
      </c>
    </row>
    <row r="14" spans="1:2" ht="21" x14ac:dyDescent="0.5">
      <c r="A14" s="39"/>
    </row>
    <row r="15" spans="1:2" ht="42" x14ac:dyDescent="0.5">
      <c r="A15" s="39" t="s">
        <v>4009</v>
      </c>
    </row>
    <row r="16" spans="1:2" ht="21" x14ac:dyDescent="0.5">
      <c r="A16" s="39"/>
    </row>
    <row r="17" spans="1:1" ht="42" x14ac:dyDescent="0.5">
      <c r="A17" s="39" t="s">
        <v>4010</v>
      </c>
    </row>
    <row r="18" spans="1:1" ht="21" x14ac:dyDescent="0.5">
      <c r="A18" s="39"/>
    </row>
    <row r="19" spans="1:1" ht="42" x14ac:dyDescent="0.5">
      <c r="A19" s="39" t="s">
        <v>1116</v>
      </c>
    </row>
    <row r="20" spans="1:1" ht="21" x14ac:dyDescent="0.5">
      <c r="A20" s="39"/>
    </row>
    <row r="21" spans="1:1" ht="21" x14ac:dyDescent="0.5">
      <c r="A21" s="39" t="s">
        <v>1117</v>
      </c>
    </row>
    <row r="22" spans="1:1" ht="21" x14ac:dyDescent="0.5">
      <c r="A22" s="39" t="s">
        <v>1118</v>
      </c>
    </row>
    <row r="23" spans="1:1" ht="21" x14ac:dyDescent="0.5">
      <c r="A23" s="39"/>
    </row>
    <row r="24" spans="1:1" ht="21" x14ac:dyDescent="0.5">
      <c r="A24" s="39" t="s">
        <v>1119</v>
      </c>
    </row>
    <row r="25" spans="1:1" ht="21" x14ac:dyDescent="0.5">
      <c r="A25" s="39"/>
    </row>
    <row r="26" spans="1:1" ht="21" x14ac:dyDescent="0.5">
      <c r="A26" s="39" t="s">
        <v>1120</v>
      </c>
    </row>
    <row r="27" spans="1:1" ht="42" x14ac:dyDescent="0.5">
      <c r="A27" s="39" t="s">
        <v>1121</v>
      </c>
    </row>
    <row r="28" spans="1:1" ht="42" x14ac:dyDescent="0.5">
      <c r="A28" s="39" t="s">
        <v>1122</v>
      </c>
    </row>
    <row r="29" spans="1:1" ht="21" x14ac:dyDescent="0.5">
      <c r="A29" s="39" t="s">
        <v>1123</v>
      </c>
    </row>
    <row r="30" spans="1:1" ht="21" x14ac:dyDescent="0.5">
      <c r="A30" s="39" t="s">
        <v>1124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F827-494D-4550-B79D-2A3EEDD30EBC}">
  <dimension ref="A1:C13"/>
  <sheetViews>
    <sheetView topLeftCell="A7" workbookViewId="0">
      <selection activeCell="A7" sqref="A7:C7"/>
    </sheetView>
  </sheetViews>
  <sheetFormatPr defaultColWidth="9.1796875" defaultRowHeight="17" x14ac:dyDescent="0.35"/>
  <cols>
    <col min="1" max="1" width="29.1796875" style="281" customWidth="1"/>
    <col min="2" max="3" width="126.7265625" style="281" customWidth="1"/>
    <col min="4" max="16384" width="9.1796875" style="281"/>
  </cols>
  <sheetData>
    <row r="1" spans="1:3" s="282" customFormat="1" x14ac:dyDescent="0.35">
      <c r="A1" s="282" t="s">
        <v>4712</v>
      </c>
      <c r="B1" s="282" t="s">
        <v>4692</v>
      </c>
      <c r="C1" s="282" t="s">
        <v>4593</v>
      </c>
    </row>
    <row r="2" spans="1:3" ht="340" x14ac:dyDescent="0.35">
      <c r="A2" s="280" t="s">
        <v>4713</v>
      </c>
      <c r="B2" s="280" t="s">
        <v>4691</v>
      </c>
      <c r="C2" s="280" t="s">
        <v>4690</v>
      </c>
    </row>
    <row r="3" spans="1:3" ht="289" x14ac:dyDescent="0.35">
      <c r="A3" s="279" t="s">
        <v>1100</v>
      </c>
      <c r="B3" s="279" t="s">
        <v>4693</v>
      </c>
      <c r="C3" s="279" t="s">
        <v>4694</v>
      </c>
    </row>
    <row r="4" spans="1:3" ht="340" x14ac:dyDescent="0.35">
      <c r="A4" s="280" t="s">
        <v>1101</v>
      </c>
      <c r="B4" s="280" t="s">
        <v>4695</v>
      </c>
      <c r="C4" s="280" t="s">
        <v>4696</v>
      </c>
    </row>
    <row r="5" spans="1:3" ht="340" x14ac:dyDescent="0.35">
      <c r="A5" s="279" t="s">
        <v>1102</v>
      </c>
      <c r="B5" s="279" t="s">
        <v>4698</v>
      </c>
      <c r="C5" s="279" t="s">
        <v>4697</v>
      </c>
    </row>
    <row r="6" spans="1:3" ht="340" x14ac:dyDescent="0.35">
      <c r="A6" s="280" t="s">
        <v>1103</v>
      </c>
      <c r="B6" s="280" t="s">
        <v>4595</v>
      </c>
      <c r="C6" s="280" t="s">
        <v>4594</v>
      </c>
    </row>
    <row r="7" spans="1:3" ht="340" x14ac:dyDescent="0.35">
      <c r="A7" s="279" t="s">
        <v>1104</v>
      </c>
      <c r="B7" s="279" t="s">
        <v>4699</v>
      </c>
      <c r="C7" s="279" t="s">
        <v>4700</v>
      </c>
    </row>
    <row r="8" spans="1:3" ht="306" x14ac:dyDescent="0.35">
      <c r="A8" s="280" t="s">
        <v>1105</v>
      </c>
      <c r="B8" s="280" t="s">
        <v>4702</v>
      </c>
      <c r="C8" s="280" t="s">
        <v>4701</v>
      </c>
    </row>
    <row r="9" spans="1:3" ht="255" x14ac:dyDescent="0.35">
      <c r="A9" s="279" t="s">
        <v>1106</v>
      </c>
      <c r="B9" s="279" t="s">
        <v>4703</v>
      </c>
      <c r="C9" s="279" t="s">
        <v>4704</v>
      </c>
    </row>
    <row r="10" spans="1:3" ht="340" x14ac:dyDescent="0.35">
      <c r="A10" s="280" t="s">
        <v>1107</v>
      </c>
      <c r="B10" s="280" t="s">
        <v>4706</v>
      </c>
      <c r="C10" s="280" t="s">
        <v>4705</v>
      </c>
    </row>
    <row r="11" spans="1:3" ht="306" x14ac:dyDescent="0.35">
      <c r="A11" s="279" t="s">
        <v>1108</v>
      </c>
      <c r="B11" s="279" t="s">
        <v>4707</v>
      </c>
      <c r="C11" s="279" t="s">
        <v>4708</v>
      </c>
    </row>
    <row r="12" spans="1:3" ht="303.75" customHeight="1" x14ac:dyDescent="0.35">
      <c r="A12" s="280" t="s">
        <v>1109</v>
      </c>
      <c r="B12" s="280" t="s">
        <v>4710</v>
      </c>
      <c r="C12" s="280" t="s">
        <v>4709</v>
      </c>
    </row>
    <row r="13" spans="1:3" ht="409.5" x14ac:dyDescent="0.35">
      <c r="A13" s="279" t="s">
        <v>1110</v>
      </c>
      <c r="B13" s="279" t="s">
        <v>4711</v>
      </c>
      <c r="C13" s="279" t="s">
        <v>4596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A11F2-926C-4041-8726-1C03F69746F7}">
  <dimension ref="A1:B15"/>
  <sheetViews>
    <sheetView workbookViewId="0"/>
  </sheetViews>
  <sheetFormatPr defaultColWidth="9.1796875" defaultRowHeight="21" x14ac:dyDescent="0.5"/>
  <cols>
    <col min="1" max="1" width="68.26953125" style="39" customWidth="1"/>
    <col min="2" max="2" width="100" style="39" customWidth="1"/>
    <col min="3" max="16384" width="9.1796875" style="31"/>
  </cols>
  <sheetData>
    <row r="1" spans="1:2" x14ac:dyDescent="0.5">
      <c r="A1" s="56" t="s">
        <v>3723</v>
      </c>
    </row>
    <row r="2" spans="1:2" ht="42" x14ac:dyDescent="0.5">
      <c r="A2" s="39" t="s">
        <v>3722</v>
      </c>
      <c r="B2" s="39" t="s">
        <v>3727</v>
      </c>
    </row>
    <row r="3" spans="1:2" ht="42" x14ac:dyDescent="0.5">
      <c r="A3" s="39" t="s">
        <v>3725</v>
      </c>
      <c r="B3" s="39" t="s">
        <v>3726</v>
      </c>
    </row>
    <row r="4" spans="1:2" ht="42" x14ac:dyDescent="0.5">
      <c r="A4" s="39" t="s">
        <v>3711</v>
      </c>
    </row>
    <row r="5" spans="1:2" x14ac:dyDescent="0.5">
      <c r="A5" s="39" t="s">
        <v>3712</v>
      </c>
    </row>
    <row r="6" spans="1:2" ht="63" x14ac:dyDescent="0.5">
      <c r="A6" s="39" t="s">
        <v>3713</v>
      </c>
    </row>
    <row r="7" spans="1:2" x14ac:dyDescent="0.5">
      <c r="A7" s="39" t="s">
        <v>3714</v>
      </c>
    </row>
    <row r="8" spans="1:2" ht="42" x14ac:dyDescent="0.5">
      <c r="A8" s="39" t="s">
        <v>3715</v>
      </c>
    </row>
    <row r="9" spans="1:2" ht="42" x14ac:dyDescent="0.5">
      <c r="A9" s="39" t="s">
        <v>3716</v>
      </c>
    </row>
    <row r="10" spans="1:2" x14ac:dyDescent="0.5">
      <c r="A10" s="39" t="s">
        <v>3717</v>
      </c>
    </row>
    <row r="11" spans="1:2" ht="42" x14ac:dyDescent="0.5">
      <c r="A11" s="39" t="s">
        <v>3718</v>
      </c>
    </row>
    <row r="12" spans="1:2" ht="63" x14ac:dyDescent="0.5">
      <c r="A12" s="39" t="s">
        <v>3719</v>
      </c>
    </row>
    <row r="13" spans="1:2" x14ac:dyDescent="0.5">
      <c r="A13" s="39" t="s">
        <v>4468</v>
      </c>
    </row>
    <row r="14" spans="1:2" x14ac:dyDescent="0.5">
      <c r="A14" s="39" t="s">
        <v>3720</v>
      </c>
    </row>
    <row r="15" spans="1:2" ht="42" x14ac:dyDescent="0.5">
      <c r="A15" s="39" t="s">
        <v>3721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DC28-E5B9-4283-BFC4-5C47FB55C38B}">
  <dimension ref="A1:O55"/>
  <sheetViews>
    <sheetView topLeftCell="A49" workbookViewId="0">
      <selection activeCell="D49" sqref="D49:E49"/>
    </sheetView>
  </sheetViews>
  <sheetFormatPr defaultRowHeight="14.5" x14ac:dyDescent="0.35"/>
  <cols>
    <col min="1" max="1" width="31" customWidth="1"/>
    <col min="2" max="2" width="63.7265625" customWidth="1"/>
    <col min="3" max="3" width="74" customWidth="1"/>
  </cols>
  <sheetData>
    <row r="1" spans="1:15" ht="21" x14ac:dyDescent="0.5">
      <c r="A1" s="312" t="s">
        <v>4305</v>
      </c>
      <c r="B1" s="312"/>
      <c r="C1" s="312"/>
      <c r="D1" s="46"/>
      <c r="E1" s="46"/>
      <c r="F1" s="46"/>
      <c r="G1" s="46"/>
      <c r="H1" s="46"/>
      <c r="I1" s="46"/>
      <c r="J1" s="46"/>
      <c r="K1" s="46"/>
      <c r="L1" s="46"/>
      <c r="M1" s="46"/>
      <c r="N1" s="46"/>
      <c r="O1" s="46"/>
    </row>
    <row r="2" spans="1:15" ht="52.5" customHeight="1" x14ac:dyDescent="0.5">
      <c r="A2" s="257">
        <v>1</v>
      </c>
      <c r="B2" s="318" t="s">
        <v>4296</v>
      </c>
      <c r="C2" s="318"/>
      <c r="D2" s="46"/>
      <c r="E2" s="46"/>
      <c r="F2" s="46"/>
      <c r="G2" s="46"/>
      <c r="H2" s="46"/>
      <c r="I2" s="46"/>
      <c r="J2" s="46"/>
      <c r="K2" s="46"/>
      <c r="L2" s="46"/>
      <c r="M2" s="46"/>
      <c r="N2" s="46"/>
      <c r="O2" s="46"/>
    </row>
    <row r="3" spans="1:15" ht="21" x14ac:dyDescent="0.5">
      <c r="A3" s="257">
        <v>2</v>
      </c>
      <c r="B3" s="318" t="s">
        <v>4297</v>
      </c>
      <c r="C3" s="318"/>
      <c r="D3" s="46"/>
      <c r="E3" s="46"/>
      <c r="F3" s="46"/>
      <c r="G3" s="46"/>
      <c r="H3" s="46"/>
      <c r="I3" s="46"/>
      <c r="J3" s="46"/>
      <c r="K3" s="46"/>
      <c r="L3" s="46"/>
      <c r="M3" s="46"/>
      <c r="N3" s="46"/>
      <c r="O3" s="46"/>
    </row>
    <row r="4" spans="1:15" ht="39.75" customHeight="1" x14ac:dyDescent="0.5">
      <c r="A4" s="257">
        <v>3</v>
      </c>
      <c r="B4" s="318" t="s">
        <v>4302</v>
      </c>
      <c r="C4" s="318"/>
      <c r="D4" s="46"/>
      <c r="E4" s="46"/>
      <c r="F4" s="46"/>
      <c r="G4" s="46"/>
      <c r="H4" s="46"/>
      <c r="I4" s="46"/>
      <c r="J4" s="46"/>
      <c r="K4" s="46"/>
      <c r="L4" s="46"/>
      <c r="M4" s="46"/>
      <c r="N4" s="46"/>
      <c r="O4" s="46"/>
    </row>
    <row r="5" spans="1:15" ht="21" x14ac:dyDescent="0.5">
      <c r="A5" s="257">
        <v>4</v>
      </c>
      <c r="B5" s="318" t="s">
        <v>4298</v>
      </c>
      <c r="C5" s="318"/>
      <c r="D5" s="46"/>
      <c r="E5" s="46"/>
      <c r="F5" s="46"/>
      <c r="G5" s="46"/>
      <c r="H5" s="46"/>
      <c r="I5" s="46"/>
      <c r="J5" s="46"/>
      <c r="K5" s="46"/>
      <c r="L5" s="46"/>
      <c r="M5" s="46"/>
      <c r="N5" s="46"/>
      <c r="O5" s="46"/>
    </row>
    <row r="6" spans="1:15" ht="21" x14ac:dyDescent="0.5">
      <c r="A6" s="257">
        <v>5</v>
      </c>
      <c r="B6" s="318" t="s">
        <v>4299</v>
      </c>
      <c r="C6" s="318"/>
      <c r="D6" s="46"/>
      <c r="E6" s="46"/>
      <c r="F6" s="46"/>
      <c r="G6" s="46"/>
      <c r="H6" s="46"/>
      <c r="I6" s="46"/>
      <c r="J6" s="46"/>
      <c r="K6" s="46"/>
      <c r="L6" s="46"/>
      <c r="M6" s="46"/>
      <c r="N6" s="46"/>
      <c r="O6" s="46"/>
    </row>
    <row r="7" spans="1:15" ht="21" x14ac:dyDescent="0.5">
      <c r="A7" s="257">
        <v>6</v>
      </c>
      <c r="B7" s="318" t="s">
        <v>4300</v>
      </c>
      <c r="C7" s="318"/>
      <c r="D7" s="46"/>
      <c r="E7" s="46"/>
      <c r="F7" s="46"/>
      <c r="G7" s="46"/>
      <c r="H7" s="46"/>
      <c r="I7" s="46"/>
      <c r="J7" s="46"/>
      <c r="K7" s="46"/>
      <c r="L7" s="46"/>
      <c r="M7" s="46"/>
      <c r="N7" s="46"/>
      <c r="O7" s="46"/>
    </row>
    <row r="8" spans="1:15" ht="21" x14ac:dyDescent="0.5">
      <c r="A8" s="257">
        <v>7</v>
      </c>
      <c r="B8" s="318" t="s">
        <v>4301</v>
      </c>
      <c r="C8" s="318"/>
      <c r="D8" s="46"/>
      <c r="E8" s="46"/>
      <c r="F8" s="46"/>
      <c r="G8" s="46"/>
      <c r="H8" s="46"/>
      <c r="I8" s="46"/>
      <c r="J8" s="46"/>
      <c r="K8" s="46"/>
      <c r="L8" s="46"/>
      <c r="M8" s="46"/>
      <c r="N8" s="46"/>
      <c r="O8" s="46"/>
    </row>
    <row r="9" spans="1:15" ht="21" x14ac:dyDescent="0.5">
      <c r="A9" s="257">
        <v>8</v>
      </c>
      <c r="B9" s="318" t="s">
        <v>4303</v>
      </c>
      <c r="C9" s="318"/>
      <c r="D9" s="46"/>
      <c r="E9" s="46"/>
      <c r="F9" s="46"/>
      <c r="G9" s="46"/>
      <c r="H9" s="46"/>
      <c r="I9" s="46"/>
      <c r="J9" s="46"/>
      <c r="K9" s="46"/>
      <c r="L9" s="46"/>
      <c r="M9" s="46"/>
      <c r="N9" s="46"/>
      <c r="O9" s="46"/>
    </row>
    <row r="10" spans="1:15" ht="43.5" customHeight="1" x14ac:dyDescent="0.5">
      <c r="A10" s="257">
        <v>9</v>
      </c>
      <c r="B10" s="318" t="s">
        <v>4304</v>
      </c>
      <c r="C10" s="318"/>
      <c r="D10" s="46"/>
      <c r="E10" s="46"/>
      <c r="F10" s="46"/>
      <c r="G10" s="46"/>
      <c r="H10" s="46"/>
      <c r="I10" s="46"/>
      <c r="J10" s="46"/>
      <c r="K10" s="46"/>
      <c r="L10" s="46"/>
      <c r="M10" s="46"/>
      <c r="N10" s="46"/>
      <c r="O10" s="46"/>
    </row>
    <row r="11" spans="1:15" x14ac:dyDescent="0.35">
      <c r="A11" s="46"/>
      <c r="B11" s="46"/>
      <c r="C11" s="46"/>
      <c r="D11" s="46"/>
      <c r="E11" s="46"/>
      <c r="F11" s="46"/>
      <c r="G11" s="46"/>
      <c r="H11" s="46"/>
      <c r="I11" s="46"/>
      <c r="J11" s="46"/>
      <c r="K11" s="46"/>
      <c r="L11" s="46"/>
      <c r="M11" s="46"/>
      <c r="N11" s="46"/>
      <c r="O11" s="46"/>
    </row>
    <row r="12" spans="1:15" ht="21" x14ac:dyDescent="0.5">
      <c r="A12" s="313" t="s">
        <v>4306</v>
      </c>
      <c r="B12" s="313"/>
      <c r="C12" s="313"/>
      <c r="D12" s="46"/>
      <c r="E12" s="46"/>
      <c r="F12" s="46"/>
      <c r="G12" s="46"/>
      <c r="H12" s="46"/>
      <c r="I12" s="46"/>
      <c r="J12" s="46"/>
      <c r="K12" s="46"/>
      <c r="L12" s="46"/>
      <c r="M12" s="46"/>
      <c r="N12" s="46"/>
      <c r="O12" s="46"/>
    </row>
    <row r="13" spans="1:15" ht="21" x14ac:dyDescent="0.5">
      <c r="A13" s="314" t="s">
        <v>4732</v>
      </c>
      <c r="B13" s="314"/>
      <c r="C13" s="314"/>
      <c r="D13" s="46"/>
      <c r="E13" s="46"/>
      <c r="F13" s="46"/>
      <c r="G13" s="46"/>
      <c r="H13" s="46"/>
      <c r="I13" s="46"/>
      <c r="J13" s="46"/>
      <c r="K13" s="46"/>
      <c r="L13" s="46"/>
      <c r="M13" s="46"/>
      <c r="N13" s="46"/>
      <c r="O13" s="46"/>
    </row>
    <row r="14" spans="1:15" ht="21" x14ac:dyDescent="0.5">
      <c r="A14" s="39"/>
      <c r="B14" s="39"/>
      <c r="C14" s="39"/>
      <c r="D14" s="46"/>
      <c r="E14" s="46"/>
      <c r="F14" s="46"/>
      <c r="G14" s="46"/>
      <c r="H14" s="46"/>
      <c r="I14" s="46"/>
      <c r="J14" s="46"/>
      <c r="K14" s="46"/>
      <c r="L14" s="46"/>
      <c r="M14" s="46"/>
      <c r="N14" s="46"/>
      <c r="O14" s="46"/>
    </row>
    <row r="15" spans="1:15" ht="21" x14ac:dyDescent="0.5">
      <c r="A15" s="258" t="s">
        <v>3285</v>
      </c>
      <c r="B15" s="258" t="s">
        <v>4284</v>
      </c>
      <c r="C15" s="258" t="s">
        <v>4285</v>
      </c>
    </row>
    <row r="16" spans="1:15" ht="21" x14ac:dyDescent="0.5">
      <c r="A16" s="31" t="s">
        <v>9</v>
      </c>
      <c r="B16" s="31" t="s">
        <v>4209</v>
      </c>
      <c r="C16" s="31" t="s">
        <v>4219</v>
      </c>
    </row>
    <row r="17" spans="1:15" ht="21" x14ac:dyDescent="0.5">
      <c r="A17" s="31" t="s">
        <v>44</v>
      </c>
      <c r="B17" s="31" t="s">
        <v>4210</v>
      </c>
      <c r="C17" s="31" t="s">
        <v>4220</v>
      </c>
    </row>
    <row r="18" spans="1:15" ht="21" x14ac:dyDescent="0.5">
      <c r="A18" s="31" t="s">
        <v>45</v>
      </c>
      <c r="B18" s="31" t="s">
        <v>4211</v>
      </c>
      <c r="C18" s="31" t="s">
        <v>4219</v>
      </c>
    </row>
    <row r="19" spans="1:15" ht="21" x14ac:dyDescent="0.5">
      <c r="A19" s="31" t="s">
        <v>43</v>
      </c>
      <c r="B19" s="31" t="s">
        <v>4212</v>
      </c>
      <c r="C19" s="31" t="s">
        <v>4220</v>
      </c>
    </row>
    <row r="20" spans="1:15" ht="21" x14ac:dyDescent="0.5">
      <c r="A20" s="31" t="s">
        <v>41</v>
      </c>
      <c r="B20" s="31" t="s">
        <v>4213</v>
      </c>
      <c r="C20" s="31" t="s">
        <v>4221</v>
      </c>
    </row>
    <row r="21" spans="1:15" ht="21" x14ac:dyDescent="0.5">
      <c r="A21" s="31" t="s">
        <v>38</v>
      </c>
      <c r="B21" s="31" t="s">
        <v>4214</v>
      </c>
      <c r="C21" s="31" t="s">
        <v>4219</v>
      </c>
    </row>
    <row r="22" spans="1:15" ht="21" x14ac:dyDescent="0.5">
      <c r="A22" s="31" t="s">
        <v>40</v>
      </c>
      <c r="B22" s="31" t="s">
        <v>4215</v>
      </c>
      <c r="C22" s="31" t="s">
        <v>4218</v>
      </c>
    </row>
    <row r="23" spans="1:15" ht="21" x14ac:dyDescent="0.5">
      <c r="A23" s="31" t="s">
        <v>39</v>
      </c>
      <c r="B23" s="31" t="s">
        <v>4216</v>
      </c>
      <c r="C23" s="31" t="s">
        <v>4218</v>
      </c>
    </row>
    <row r="24" spans="1:15" ht="21" x14ac:dyDescent="0.5">
      <c r="A24" s="31" t="s">
        <v>46</v>
      </c>
      <c r="B24" s="31" t="s">
        <v>4217</v>
      </c>
      <c r="C24" s="31" t="s">
        <v>4218</v>
      </c>
    </row>
    <row r="26" spans="1:15" ht="21" x14ac:dyDescent="0.5">
      <c r="A26" s="319" t="s">
        <v>4189</v>
      </c>
      <c r="B26" s="319"/>
      <c r="C26" s="319"/>
      <c r="D26" s="255"/>
      <c r="E26" s="255"/>
      <c r="F26" s="255"/>
      <c r="G26" s="255"/>
      <c r="H26" s="255"/>
      <c r="I26" s="255"/>
      <c r="J26" s="255"/>
      <c r="K26" s="255"/>
      <c r="L26" s="255"/>
      <c r="M26" s="255"/>
      <c r="N26" s="255"/>
      <c r="O26" s="255"/>
    </row>
    <row r="27" spans="1:15" ht="21" x14ac:dyDescent="0.5">
      <c r="A27" s="31" t="s">
        <v>9</v>
      </c>
      <c r="B27" s="31" t="s">
        <v>4205</v>
      </c>
    </row>
    <row r="28" spans="1:15" ht="21" x14ac:dyDescent="0.5">
      <c r="A28" s="31" t="s">
        <v>44</v>
      </c>
      <c r="B28" s="31" t="s">
        <v>4190</v>
      </c>
    </row>
    <row r="29" spans="1:15" ht="21" x14ac:dyDescent="0.5">
      <c r="A29" s="31" t="s">
        <v>43</v>
      </c>
      <c r="B29" s="31" t="s">
        <v>4191</v>
      </c>
    </row>
    <row r="30" spans="1:15" ht="21" x14ac:dyDescent="0.5">
      <c r="A30" s="31" t="s">
        <v>38</v>
      </c>
      <c r="B30" s="31" t="s">
        <v>4206</v>
      </c>
    </row>
    <row r="31" spans="1:15" ht="21" x14ac:dyDescent="0.5">
      <c r="A31" s="31" t="s">
        <v>45</v>
      </c>
      <c r="B31" s="31" t="s">
        <v>4204</v>
      </c>
    </row>
    <row r="32" spans="1:15" ht="21" x14ac:dyDescent="0.5">
      <c r="A32" s="31" t="s">
        <v>41</v>
      </c>
      <c r="B32" s="31" t="s">
        <v>4192</v>
      </c>
    </row>
    <row r="33" spans="1:15" ht="21" x14ac:dyDescent="0.5">
      <c r="A33" s="31" t="s">
        <v>40</v>
      </c>
      <c r="B33" s="31" t="s">
        <v>4193</v>
      </c>
    </row>
    <row r="34" spans="1:15" ht="21" x14ac:dyDescent="0.5">
      <c r="A34" s="31" t="s">
        <v>4207</v>
      </c>
      <c r="B34" s="31" t="s">
        <v>4208</v>
      </c>
    </row>
    <row r="36" spans="1:15" ht="42" x14ac:dyDescent="0.5">
      <c r="A36" s="56" t="s">
        <v>4194</v>
      </c>
      <c r="B36" s="56"/>
      <c r="C36" s="255"/>
      <c r="D36" s="255"/>
      <c r="E36" s="255"/>
      <c r="F36" s="255"/>
      <c r="G36" s="255"/>
      <c r="H36" s="255"/>
      <c r="I36" s="255"/>
      <c r="J36" s="255"/>
      <c r="K36" s="255"/>
      <c r="L36" s="255"/>
      <c r="M36" s="255"/>
      <c r="N36" s="255"/>
      <c r="O36" s="255"/>
    </row>
    <row r="37" spans="1:15" ht="21" x14ac:dyDescent="0.5">
      <c r="A37" s="31" t="s">
        <v>9</v>
      </c>
      <c r="B37" s="31" t="s">
        <v>4195</v>
      </c>
    </row>
    <row r="38" spans="1:15" ht="21" x14ac:dyDescent="0.5">
      <c r="A38" s="31" t="s">
        <v>44</v>
      </c>
      <c r="B38" s="31" t="s">
        <v>4196</v>
      </c>
    </row>
    <row r="39" spans="1:15" ht="21" x14ac:dyDescent="0.5">
      <c r="A39" s="31" t="s">
        <v>45</v>
      </c>
      <c r="B39" s="31" t="s">
        <v>4197</v>
      </c>
    </row>
    <row r="40" spans="1:15" ht="21" x14ac:dyDescent="0.5">
      <c r="A40" s="31" t="s">
        <v>43</v>
      </c>
      <c r="B40" s="31" t="s">
        <v>4198</v>
      </c>
    </row>
    <row r="41" spans="1:15" ht="21" x14ac:dyDescent="0.5">
      <c r="A41" s="31" t="s">
        <v>38</v>
      </c>
      <c r="B41" s="31" t="s">
        <v>4199</v>
      </c>
    </row>
    <row r="42" spans="1:15" ht="21" x14ac:dyDescent="0.5">
      <c r="A42" s="31" t="s">
        <v>41</v>
      </c>
      <c r="B42" s="31" t="s">
        <v>4200</v>
      </c>
    </row>
    <row r="43" spans="1:15" ht="21" x14ac:dyDescent="0.5">
      <c r="A43" s="31" t="s">
        <v>40</v>
      </c>
      <c r="B43" s="31" t="s">
        <v>4201</v>
      </c>
    </row>
    <row r="44" spans="1:15" ht="21" x14ac:dyDescent="0.5">
      <c r="A44" s="31" t="s">
        <v>4202</v>
      </c>
      <c r="B44" s="31" t="s">
        <v>4203</v>
      </c>
    </row>
    <row r="46" spans="1:15" ht="21" x14ac:dyDescent="0.5">
      <c r="A46" s="55" t="s">
        <v>4286</v>
      </c>
      <c r="B46" s="315" t="s">
        <v>4135</v>
      </c>
      <c r="C46" s="315"/>
    </row>
    <row r="47" spans="1:15" ht="150.75" customHeight="1" x14ac:dyDescent="0.35">
      <c r="A47" t="s">
        <v>4209</v>
      </c>
      <c r="B47" s="310" t="s">
        <v>4287</v>
      </c>
      <c r="C47" s="310"/>
    </row>
    <row r="48" spans="1:15" ht="139.5" customHeight="1" x14ac:dyDescent="0.35">
      <c r="A48" s="256" t="s">
        <v>4210</v>
      </c>
      <c r="B48" s="316" t="s">
        <v>4288</v>
      </c>
      <c r="C48" s="316"/>
    </row>
    <row r="49" spans="1:3" ht="111" customHeight="1" x14ac:dyDescent="0.35">
      <c r="A49" t="s">
        <v>4211</v>
      </c>
      <c r="B49" s="310" t="s">
        <v>4289</v>
      </c>
      <c r="C49" s="311"/>
    </row>
    <row r="50" spans="1:3" ht="219" customHeight="1" x14ac:dyDescent="0.35">
      <c r="A50" s="256" t="s">
        <v>4212</v>
      </c>
      <c r="B50" s="316" t="s">
        <v>4290</v>
      </c>
      <c r="C50" s="317"/>
    </row>
    <row r="51" spans="1:3" ht="132" customHeight="1" x14ac:dyDescent="0.35">
      <c r="A51" t="s">
        <v>4213</v>
      </c>
      <c r="B51" s="310" t="s">
        <v>4291</v>
      </c>
      <c r="C51" s="311"/>
    </row>
    <row r="52" spans="1:3" ht="168" customHeight="1" x14ac:dyDescent="0.35">
      <c r="A52" s="256" t="s">
        <v>4214</v>
      </c>
      <c r="B52" s="316" t="s">
        <v>4292</v>
      </c>
      <c r="C52" s="317"/>
    </row>
    <row r="53" spans="1:3" ht="153" customHeight="1" x14ac:dyDescent="0.35">
      <c r="A53" t="s">
        <v>4215</v>
      </c>
      <c r="B53" s="310" t="s">
        <v>4293</v>
      </c>
      <c r="C53" s="311"/>
    </row>
    <row r="54" spans="1:3" ht="144.75" customHeight="1" x14ac:dyDescent="0.35">
      <c r="A54" s="256" t="s">
        <v>4216</v>
      </c>
      <c r="B54" s="316" t="s">
        <v>4294</v>
      </c>
      <c r="C54" s="317"/>
    </row>
    <row r="55" spans="1:3" ht="213" customHeight="1" x14ac:dyDescent="0.35">
      <c r="A55" t="s">
        <v>4217</v>
      </c>
      <c r="B55" s="310" t="s">
        <v>4295</v>
      </c>
      <c r="C55" s="311"/>
    </row>
  </sheetData>
  <mergeCells count="23">
    <mergeCell ref="B10:C10"/>
    <mergeCell ref="A26:C26"/>
    <mergeCell ref="B4:C4"/>
    <mergeCell ref="B5:C5"/>
    <mergeCell ref="B6:C6"/>
    <mergeCell ref="B7:C7"/>
    <mergeCell ref="B8:C8"/>
    <mergeCell ref="B55:C55"/>
    <mergeCell ref="A1:C1"/>
    <mergeCell ref="A12:C12"/>
    <mergeCell ref="A13:C13"/>
    <mergeCell ref="B46:C46"/>
    <mergeCell ref="B47:C47"/>
    <mergeCell ref="B48:C48"/>
    <mergeCell ref="B49:C49"/>
    <mergeCell ref="B50:C50"/>
    <mergeCell ref="B51:C51"/>
    <mergeCell ref="B52:C52"/>
    <mergeCell ref="B53:C53"/>
    <mergeCell ref="B54:C54"/>
    <mergeCell ref="B2:C2"/>
    <mergeCell ref="B3:C3"/>
    <mergeCell ref="B9:C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10EF-830D-4FC6-B95B-F85F6F269ED7}">
  <dimension ref="A1:C85"/>
  <sheetViews>
    <sheetView workbookViewId="0">
      <selection activeCell="C27" sqref="C27"/>
    </sheetView>
  </sheetViews>
  <sheetFormatPr defaultRowHeight="14.5" x14ac:dyDescent="0.35"/>
  <cols>
    <col min="1" max="1" width="15.7265625" customWidth="1"/>
    <col min="2" max="2" width="13.7265625" customWidth="1"/>
    <col min="3" max="3" width="98.453125" style="46" customWidth="1"/>
  </cols>
  <sheetData>
    <row r="1" spans="1:3" ht="42" x14ac:dyDescent="0.5">
      <c r="A1" s="39" t="s">
        <v>3279</v>
      </c>
      <c r="B1" s="39" t="s">
        <v>3280</v>
      </c>
      <c r="C1" s="39" t="s">
        <v>3281</v>
      </c>
    </row>
    <row r="2" spans="1:3" ht="21" x14ac:dyDescent="0.5">
      <c r="A2" s="31" t="s">
        <v>3192</v>
      </c>
      <c r="B2" s="31">
        <v>1</v>
      </c>
      <c r="C2" s="53" t="s">
        <v>3193</v>
      </c>
    </row>
    <row r="3" spans="1:3" ht="21" x14ac:dyDescent="0.5">
      <c r="A3" s="31" t="s">
        <v>3192</v>
      </c>
      <c r="B3" s="31">
        <v>2</v>
      </c>
      <c r="C3" s="39" t="s">
        <v>3194</v>
      </c>
    </row>
    <row r="4" spans="1:3" ht="21" x14ac:dyDescent="0.5">
      <c r="A4" s="31" t="s">
        <v>3192</v>
      </c>
      <c r="B4" s="31">
        <v>3</v>
      </c>
      <c r="C4" s="39" t="s">
        <v>3195</v>
      </c>
    </row>
    <row r="5" spans="1:3" ht="21" x14ac:dyDescent="0.5">
      <c r="A5" s="31" t="s">
        <v>3192</v>
      </c>
      <c r="B5" s="31">
        <v>4</v>
      </c>
      <c r="C5" s="39" t="s">
        <v>3196</v>
      </c>
    </row>
    <row r="6" spans="1:3" ht="21" x14ac:dyDescent="0.5">
      <c r="A6" s="31" t="s">
        <v>3192</v>
      </c>
      <c r="B6" s="31">
        <v>5</v>
      </c>
      <c r="C6" s="39" t="s">
        <v>3197</v>
      </c>
    </row>
    <row r="7" spans="1:3" ht="21" x14ac:dyDescent="0.5">
      <c r="A7" s="31" t="s">
        <v>3192</v>
      </c>
      <c r="B7" s="31">
        <v>6</v>
      </c>
      <c r="C7" s="39" t="s">
        <v>3198</v>
      </c>
    </row>
    <row r="8" spans="1:3" ht="21" x14ac:dyDescent="0.5">
      <c r="A8" s="31" t="s">
        <v>3192</v>
      </c>
      <c r="B8" s="31">
        <v>7</v>
      </c>
      <c r="C8" s="39" t="s">
        <v>3199</v>
      </c>
    </row>
    <row r="9" spans="1:3" ht="21" x14ac:dyDescent="0.5">
      <c r="A9" s="31" t="s">
        <v>3192</v>
      </c>
      <c r="B9" s="31">
        <v>8</v>
      </c>
      <c r="C9" s="39" t="s">
        <v>3199</v>
      </c>
    </row>
    <row r="10" spans="1:3" ht="42" x14ac:dyDescent="0.5">
      <c r="A10" s="31" t="s">
        <v>3192</v>
      </c>
      <c r="B10" s="31">
        <v>9</v>
      </c>
      <c r="C10" s="39" t="s">
        <v>3200</v>
      </c>
    </row>
    <row r="11" spans="1:3" ht="21" x14ac:dyDescent="0.5">
      <c r="A11" s="31" t="s">
        <v>3192</v>
      </c>
      <c r="B11" s="31">
        <v>10</v>
      </c>
      <c r="C11" s="39" t="s">
        <v>3201</v>
      </c>
    </row>
    <row r="12" spans="1:3" ht="21" x14ac:dyDescent="0.5">
      <c r="A12" s="31" t="s">
        <v>3192</v>
      </c>
      <c r="B12" s="31">
        <v>11</v>
      </c>
      <c r="C12" s="39" t="s">
        <v>3202</v>
      </c>
    </row>
    <row r="13" spans="1:3" ht="42" x14ac:dyDescent="0.5">
      <c r="A13" s="31" t="s">
        <v>3192</v>
      </c>
      <c r="B13" s="31">
        <v>12</v>
      </c>
      <c r="C13" s="39" t="s">
        <v>3203</v>
      </c>
    </row>
    <row r="14" spans="1:3" ht="21" x14ac:dyDescent="0.5">
      <c r="A14" s="31" t="s">
        <v>3204</v>
      </c>
      <c r="B14" s="31">
        <v>1</v>
      </c>
      <c r="C14" s="39" t="s">
        <v>3205</v>
      </c>
    </row>
    <row r="15" spans="1:3" ht="21" x14ac:dyDescent="0.5">
      <c r="A15" s="31" t="s">
        <v>3204</v>
      </c>
      <c r="B15" s="31">
        <v>2</v>
      </c>
      <c r="C15" s="39" t="s">
        <v>3206</v>
      </c>
    </row>
    <row r="16" spans="1:3" ht="21" x14ac:dyDescent="0.5">
      <c r="A16" s="31" t="s">
        <v>3204</v>
      </c>
      <c r="B16" s="31">
        <v>3</v>
      </c>
      <c r="C16" s="39" t="s">
        <v>3207</v>
      </c>
    </row>
    <row r="17" spans="1:3" ht="21" x14ac:dyDescent="0.5">
      <c r="A17" s="31" t="s">
        <v>3204</v>
      </c>
      <c r="B17" s="31">
        <v>4</v>
      </c>
      <c r="C17" s="39" t="s">
        <v>3208</v>
      </c>
    </row>
    <row r="18" spans="1:3" ht="21" x14ac:dyDescent="0.5">
      <c r="A18" s="31" t="s">
        <v>3204</v>
      </c>
      <c r="B18" s="31">
        <v>5</v>
      </c>
      <c r="C18" s="39" t="s">
        <v>3209</v>
      </c>
    </row>
    <row r="19" spans="1:3" ht="21" x14ac:dyDescent="0.5">
      <c r="A19" s="31" t="s">
        <v>3204</v>
      </c>
      <c r="B19" s="31">
        <v>6</v>
      </c>
      <c r="C19" s="39" t="s">
        <v>3210</v>
      </c>
    </row>
    <row r="20" spans="1:3" ht="21" x14ac:dyDescent="0.5">
      <c r="A20" s="31" t="s">
        <v>3204</v>
      </c>
      <c r="B20" s="31">
        <v>7</v>
      </c>
      <c r="C20" s="39" t="s">
        <v>3211</v>
      </c>
    </row>
    <row r="21" spans="1:3" ht="21" x14ac:dyDescent="0.5">
      <c r="A21" s="31" t="s">
        <v>3204</v>
      </c>
      <c r="B21" s="31">
        <v>8</v>
      </c>
      <c r="C21" s="39" t="s">
        <v>3212</v>
      </c>
    </row>
    <row r="22" spans="1:3" ht="42" x14ac:dyDescent="0.5">
      <c r="A22" s="31" t="s">
        <v>3204</v>
      </c>
      <c r="B22" s="31">
        <v>9</v>
      </c>
      <c r="C22" s="39" t="s">
        <v>3213</v>
      </c>
    </row>
    <row r="23" spans="1:3" ht="21" x14ac:dyDescent="0.5">
      <c r="A23" s="31" t="s">
        <v>3204</v>
      </c>
      <c r="B23" s="31">
        <v>10</v>
      </c>
      <c r="C23" s="39" t="s">
        <v>3214</v>
      </c>
    </row>
    <row r="24" spans="1:3" ht="21" x14ac:dyDescent="0.5">
      <c r="A24" s="31" t="s">
        <v>3204</v>
      </c>
      <c r="B24" s="31">
        <v>11</v>
      </c>
      <c r="C24" s="39" t="s">
        <v>3215</v>
      </c>
    </row>
    <row r="25" spans="1:3" ht="21" x14ac:dyDescent="0.5">
      <c r="A25" s="31" t="s">
        <v>3204</v>
      </c>
      <c r="B25" s="31">
        <v>12</v>
      </c>
      <c r="C25" s="39" t="s">
        <v>3216</v>
      </c>
    </row>
    <row r="26" spans="1:3" ht="21" x14ac:dyDescent="0.5">
      <c r="A26" s="31" t="s">
        <v>3217</v>
      </c>
      <c r="B26" s="31">
        <v>1</v>
      </c>
      <c r="C26" s="39" t="s">
        <v>3218</v>
      </c>
    </row>
    <row r="27" spans="1:3" ht="21" x14ac:dyDescent="0.5">
      <c r="A27" s="31" t="s">
        <v>3217</v>
      </c>
      <c r="B27" s="31">
        <v>2</v>
      </c>
      <c r="C27" s="39" t="s">
        <v>3219</v>
      </c>
    </row>
    <row r="28" spans="1:3" ht="21" x14ac:dyDescent="0.5">
      <c r="A28" s="31" t="s">
        <v>3217</v>
      </c>
      <c r="B28" s="31">
        <v>3</v>
      </c>
      <c r="C28" s="39" t="s">
        <v>3220</v>
      </c>
    </row>
    <row r="29" spans="1:3" ht="21" x14ac:dyDescent="0.5">
      <c r="A29" s="31" t="s">
        <v>3217</v>
      </c>
      <c r="B29" s="31">
        <v>4</v>
      </c>
      <c r="C29" s="39" t="s">
        <v>3221</v>
      </c>
    </row>
    <row r="30" spans="1:3" ht="21" x14ac:dyDescent="0.5">
      <c r="A30" s="31" t="s">
        <v>3217</v>
      </c>
      <c r="B30" s="31">
        <v>5</v>
      </c>
      <c r="C30" s="39" t="s">
        <v>3222</v>
      </c>
    </row>
    <row r="31" spans="1:3" ht="21" x14ac:dyDescent="0.5">
      <c r="A31" s="31" t="s">
        <v>3217</v>
      </c>
      <c r="B31" s="31">
        <v>6</v>
      </c>
      <c r="C31" s="39" t="s">
        <v>3223</v>
      </c>
    </row>
    <row r="32" spans="1:3" ht="21" x14ac:dyDescent="0.5">
      <c r="A32" s="31" t="s">
        <v>3217</v>
      </c>
      <c r="B32" s="31">
        <v>7</v>
      </c>
      <c r="C32" s="39" t="s">
        <v>3224</v>
      </c>
    </row>
    <row r="33" spans="1:3" ht="21" x14ac:dyDescent="0.5">
      <c r="A33" s="31" t="s">
        <v>3217</v>
      </c>
      <c r="B33" s="31">
        <v>8</v>
      </c>
      <c r="C33" s="39" t="s">
        <v>3225</v>
      </c>
    </row>
    <row r="34" spans="1:3" ht="21" x14ac:dyDescent="0.5">
      <c r="A34" s="31" t="s">
        <v>3217</v>
      </c>
      <c r="B34" s="31">
        <v>9</v>
      </c>
      <c r="C34" s="39" t="s">
        <v>3226</v>
      </c>
    </row>
    <row r="35" spans="1:3" ht="42" x14ac:dyDescent="0.5">
      <c r="A35" s="31" t="s">
        <v>3217</v>
      </c>
      <c r="B35" s="31">
        <v>10</v>
      </c>
      <c r="C35" s="39" t="s">
        <v>3227</v>
      </c>
    </row>
    <row r="36" spans="1:3" ht="21" x14ac:dyDescent="0.5">
      <c r="A36" s="31" t="s">
        <v>3217</v>
      </c>
      <c r="B36" s="31">
        <v>11</v>
      </c>
      <c r="C36" s="39" t="s">
        <v>3228</v>
      </c>
    </row>
    <row r="37" spans="1:3" ht="21" x14ac:dyDescent="0.5">
      <c r="A37" s="31" t="s">
        <v>3217</v>
      </c>
      <c r="B37" s="31">
        <v>12</v>
      </c>
      <c r="C37" s="39" t="s">
        <v>3229</v>
      </c>
    </row>
    <row r="38" spans="1:3" ht="63" x14ac:dyDescent="0.5">
      <c r="A38" s="31" t="s">
        <v>3230</v>
      </c>
      <c r="B38" s="31">
        <v>1</v>
      </c>
      <c r="C38" s="39" t="s">
        <v>3231</v>
      </c>
    </row>
    <row r="39" spans="1:3" ht="21" x14ac:dyDescent="0.5">
      <c r="A39" s="31" t="s">
        <v>3230</v>
      </c>
      <c r="B39" s="31">
        <v>2</v>
      </c>
      <c r="C39" s="39" t="s">
        <v>3232</v>
      </c>
    </row>
    <row r="40" spans="1:3" ht="42" x14ac:dyDescent="0.5">
      <c r="A40" s="31" t="s">
        <v>3230</v>
      </c>
      <c r="B40" s="31">
        <v>3</v>
      </c>
      <c r="C40" s="39" t="s">
        <v>3233</v>
      </c>
    </row>
    <row r="41" spans="1:3" ht="21" x14ac:dyDescent="0.5">
      <c r="A41" s="31" t="s">
        <v>3230</v>
      </c>
      <c r="B41" s="31">
        <v>4</v>
      </c>
      <c r="C41" s="39" t="s">
        <v>3234</v>
      </c>
    </row>
    <row r="42" spans="1:3" ht="42" x14ac:dyDescent="0.5">
      <c r="A42" s="31" t="s">
        <v>3230</v>
      </c>
      <c r="B42" s="31">
        <v>5</v>
      </c>
      <c r="C42" s="39" t="s">
        <v>3235</v>
      </c>
    </row>
    <row r="43" spans="1:3" ht="21" x14ac:dyDescent="0.5">
      <c r="A43" s="31" t="s">
        <v>3230</v>
      </c>
      <c r="B43" s="31">
        <v>6</v>
      </c>
      <c r="C43" s="39" t="s">
        <v>3236</v>
      </c>
    </row>
    <row r="44" spans="1:3" ht="21" x14ac:dyDescent="0.5">
      <c r="A44" s="31" t="s">
        <v>3230</v>
      </c>
      <c r="B44" s="31">
        <v>7</v>
      </c>
      <c r="C44" s="39" t="s">
        <v>3199</v>
      </c>
    </row>
    <row r="45" spans="1:3" ht="21" x14ac:dyDescent="0.5">
      <c r="A45" s="31" t="s">
        <v>3230</v>
      </c>
      <c r="B45" s="31">
        <v>8</v>
      </c>
      <c r="C45" s="39" t="s">
        <v>3237</v>
      </c>
    </row>
    <row r="46" spans="1:3" ht="21" x14ac:dyDescent="0.5">
      <c r="A46" s="31" t="s">
        <v>3230</v>
      </c>
      <c r="B46" s="31">
        <v>9</v>
      </c>
      <c r="C46" s="39" t="s">
        <v>3238</v>
      </c>
    </row>
    <row r="47" spans="1:3" ht="42" x14ac:dyDescent="0.5">
      <c r="A47" s="31" t="s">
        <v>3230</v>
      </c>
      <c r="B47" s="31">
        <v>10</v>
      </c>
      <c r="C47" s="39" t="s">
        <v>3239</v>
      </c>
    </row>
    <row r="48" spans="1:3" ht="42" x14ac:dyDescent="0.5">
      <c r="A48" s="31" t="s">
        <v>3230</v>
      </c>
      <c r="B48" s="31">
        <v>11</v>
      </c>
      <c r="C48" s="39" t="s">
        <v>3240</v>
      </c>
    </row>
    <row r="49" spans="1:3" ht="21" x14ac:dyDescent="0.5">
      <c r="A49" s="31" t="s">
        <v>3230</v>
      </c>
      <c r="B49" s="31">
        <v>12</v>
      </c>
      <c r="C49" s="39" t="s">
        <v>3241</v>
      </c>
    </row>
    <row r="50" spans="1:3" ht="42" x14ac:dyDescent="0.5">
      <c r="A50" s="31" t="s">
        <v>3242</v>
      </c>
      <c r="B50" s="31">
        <v>1</v>
      </c>
      <c r="C50" s="39" t="s">
        <v>3243</v>
      </c>
    </row>
    <row r="51" spans="1:3" ht="42" x14ac:dyDescent="0.5">
      <c r="A51" s="31" t="s">
        <v>3242</v>
      </c>
      <c r="B51" s="31">
        <v>2</v>
      </c>
      <c r="C51" s="39" t="s">
        <v>3244</v>
      </c>
    </row>
    <row r="52" spans="1:3" ht="21" x14ac:dyDescent="0.5">
      <c r="A52" s="31" t="s">
        <v>3242</v>
      </c>
      <c r="B52" s="31">
        <v>3</v>
      </c>
      <c r="C52" s="39" t="s">
        <v>3245</v>
      </c>
    </row>
    <row r="53" spans="1:3" ht="21" x14ac:dyDescent="0.5">
      <c r="A53" s="31" t="s">
        <v>3242</v>
      </c>
      <c r="B53" s="31">
        <v>4</v>
      </c>
      <c r="C53" s="39" t="s">
        <v>3246</v>
      </c>
    </row>
    <row r="54" spans="1:3" ht="42" x14ac:dyDescent="0.5">
      <c r="A54" s="31" t="s">
        <v>3242</v>
      </c>
      <c r="B54" s="31">
        <v>5</v>
      </c>
      <c r="C54" s="39" t="s">
        <v>3247</v>
      </c>
    </row>
    <row r="55" spans="1:3" ht="21" x14ac:dyDescent="0.5">
      <c r="A55" s="31" t="s">
        <v>3242</v>
      </c>
      <c r="B55" s="31">
        <v>6</v>
      </c>
      <c r="C55" s="39" t="s">
        <v>3248</v>
      </c>
    </row>
    <row r="56" spans="1:3" ht="21" x14ac:dyDescent="0.5">
      <c r="A56" s="31" t="s">
        <v>3242</v>
      </c>
      <c r="B56" s="31">
        <v>7</v>
      </c>
      <c r="C56" s="39" t="s">
        <v>3249</v>
      </c>
    </row>
    <row r="57" spans="1:3" ht="21" x14ac:dyDescent="0.5">
      <c r="A57" s="31" t="s">
        <v>3242</v>
      </c>
      <c r="B57" s="31">
        <v>8</v>
      </c>
      <c r="C57" s="39" t="s">
        <v>3250</v>
      </c>
    </row>
    <row r="58" spans="1:3" ht="42" x14ac:dyDescent="0.5">
      <c r="A58" s="31" t="s">
        <v>3242</v>
      </c>
      <c r="B58" s="31">
        <v>9</v>
      </c>
      <c r="C58" s="39" t="s">
        <v>3251</v>
      </c>
    </row>
    <row r="59" spans="1:3" ht="42" x14ac:dyDescent="0.5">
      <c r="A59" s="31" t="s">
        <v>3242</v>
      </c>
      <c r="B59" s="31">
        <v>10</v>
      </c>
      <c r="C59" s="39" t="s">
        <v>3980</v>
      </c>
    </row>
    <row r="60" spans="1:3" ht="21" x14ac:dyDescent="0.5">
      <c r="A60" s="31" t="s">
        <v>3242</v>
      </c>
      <c r="B60" s="31">
        <v>11</v>
      </c>
      <c r="C60" s="39" t="s">
        <v>3252</v>
      </c>
    </row>
    <row r="61" spans="1:3" ht="42" x14ac:dyDescent="0.5">
      <c r="A61" s="31" t="s">
        <v>3242</v>
      </c>
      <c r="B61" s="31">
        <v>12</v>
      </c>
      <c r="C61" s="39" t="s">
        <v>3253</v>
      </c>
    </row>
    <row r="62" spans="1:3" ht="42" x14ac:dyDescent="0.5">
      <c r="A62" s="54" t="s">
        <v>3254</v>
      </c>
      <c r="B62" s="31">
        <v>1</v>
      </c>
      <c r="C62" s="39" t="s">
        <v>3255</v>
      </c>
    </row>
    <row r="63" spans="1:3" ht="21" x14ac:dyDescent="0.5">
      <c r="A63" s="54" t="s">
        <v>3254</v>
      </c>
      <c r="B63" s="31">
        <v>2</v>
      </c>
      <c r="C63" s="39" t="s">
        <v>3256</v>
      </c>
    </row>
    <row r="64" spans="1:3" ht="21" x14ac:dyDescent="0.5">
      <c r="A64" s="54" t="s">
        <v>3254</v>
      </c>
      <c r="B64" s="31">
        <v>3</v>
      </c>
      <c r="C64" s="39" t="s">
        <v>3257</v>
      </c>
    </row>
    <row r="65" spans="1:3" ht="42" x14ac:dyDescent="0.5">
      <c r="A65" s="54" t="s">
        <v>3254</v>
      </c>
      <c r="B65" s="31">
        <v>4</v>
      </c>
      <c r="C65" s="39" t="s">
        <v>3258</v>
      </c>
    </row>
    <row r="66" spans="1:3" ht="42" x14ac:dyDescent="0.5">
      <c r="A66" s="54" t="s">
        <v>3254</v>
      </c>
      <c r="B66" s="31">
        <v>5</v>
      </c>
      <c r="C66" s="39" t="s">
        <v>3989</v>
      </c>
    </row>
    <row r="67" spans="1:3" ht="42" x14ac:dyDescent="0.5">
      <c r="A67" s="54" t="s">
        <v>3254</v>
      </c>
      <c r="B67" s="31">
        <v>6</v>
      </c>
      <c r="C67" s="39" t="s">
        <v>3259</v>
      </c>
    </row>
    <row r="68" spans="1:3" ht="21" x14ac:dyDescent="0.5">
      <c r="A68" s="54" t="s">
        <v>3254</v>
      </c>
      <c r="B68" s="31">
        <v>7</v>
      </c>
      <c r="C68" s="39" t="s">
        <v>3260</v>
      </c>
    </row>
    <row r="69" spans="1:3" ht="42" x14ac:dyDescent="0.5">
      <c r="A69" s="54" t="s">
        <v>3254</v>
      </c>
      <c r="B69" s="31">
        <v>8</v>
      </c>
      <c r="C69" s="39" t="s">
        <v>3261</v>
      </c>
    </row>
    <row r="70" spans="1:3" ht="21" x14ac:dyDescent="0.5">
      <c r="A70" s="54" t="s">
        <v>3254</v>
      </c>
      <c r="B70" s="31">
        <v>9</v>
      </c>
      <c r="C70" s="39" t="s">
        <v>3262</v>
      </c>
    </row>
    <row r="71" spans="1:3" ht="42" x14ac:dyDescent="0.5">
      <c r="A71" s="54" t="s">
        <v>3254</v>
      </c>
      <c r="B71" s="31">
        <v>10</v>
      </c>
      <c r="C71" s="39" t="s">
        <v>3263</v>
      </c>
    </row>
    <row r="72" spans="1:3" ht="42" x14ac:dyDescent="0.5">
      <c r="A72" s="54" t="s">
        <v>3254</v>
      </c>
      <c r="B72" s="31">
        <v>11</v>
      </c>
      <c r="C72" s="39" t="s">
        <v>3264</v>
      </c>
    </row>
    <row r="73" spans="1:3" ht="21" x14ac:dyDescent="0.5">
      <c r="A73" s="54" t="s">
        <v>3254</v>
      </c>
      <c r="B73" s="31">
        <v>12</v>
      </c>
      <c r="C73" s="39" t="s">
        <v>3265</v>
      </c>
    </row>
    <row r="74" spans="1:3" ht="21" x14ac:dyDescent="0.5">
      <c r="A74" s="54" t="s">
        <v>3266</v>
      </c>
      <c r="B74" s="31">
        <v>1</v>
      </c>
      <c r="C74" s="39" t="s">
        <v>3267</v>
      </c>
    </row>
    <row r="75" spans="1:3" ht="21" x14ac:dyDescent="0.5">
      <c r="A75" s="54" t="s">
        <v>3266</v>
      </c>
      <c r="B75" s="31">
        <v>2</v>
      </c>
      <c r="C75" s="39" t="s">
        <v>3268</v>
      </c>
    </row>
    <row r="76" spans="1:3" ht="21" x14ac:dyDescent="0.5">
      <c r="A76" s="54" t="s">
        <v>3266</v>
      </c>
      <c r="B76" s="31">
        <v>3</v>
      </c>
      <c r="C76" s="39" t="s">
        <v>3269</v>
      </c>
    </row>
    <row r="77" spans="1:3" ht="21" x14ac:dyDescent="0.5">
      <c r="A77" s="54" t="s">
        <v>3266</v>
      </c>
      <c r="B77" s="31">
        <v>4</v>
      </c>
      <c r="C77" s="39" t="s">
        <v>3270</v>
      </c>
    </row>
    <row r="78" spans="1:3" ht="21" x14ac:dyDescent="0.5">
      <c r="A78" s="54" t="s">
        <v>3266</v>
      </c>
      <c r="B78" s="31">
        <v>5</v>
      </c>
      <c r="C78" s="39" t="s">
        <v>3271</v>
      </c>
    </row>
    <row r="79" spans="1:3" ht="21" x14ac:dyDescent="0.5">
      <c r="A79" s="54" t="s">
        <v>3266</v>
      </c>
      <c r="B79" s="31">
        <v>6</v>
      </c>
      <c r="C79" s="39" t="s">
        <v>3272</v>
      </c>
    </row>
    <row r="80" spans="1:3" ht="21" x14ac:dyDescent="0.5">
      <c r="A80" s="54" t="s">
        <v>3266</v>
      </c>
      <c r="B80" s="31">
        <v>7</v>
      </c>
      <c r="C80" s="53" t="s">
        <v>3273</v>
      </c>
    </row>
    <row r="81" spans="1:3" ht="21" x14ac:dyDescent="0.5">
      <c r="A81" s="54" t="s">
        <v>3266</v>
      </c>
      <c r="B81" s="31">
        <v>8</v>
      </c>
      <c r="C81" s="39" t="s">
        <v>3274</v>
      </c>
    </row>
    <row r="82" spans="1:3" ht="21" x14ac:dyDescent="0.5">
      <c r="A82" s="54" t="s">
        <v>3266</v>
      </c>
      <c r="B82" s="31">
        <v>9</v>
      </c>
      <c r="C82" s="39" t="s">
        <v>3275</v>
      </c>
    </row>
    <row r="83" spans="1:3" ht="21" x14ac:dyDescent="0.5">
      <c r="A83" s="54" t="s">
        <v>3266</v>
      </c>
      <c r="B83" s="31">
        <v>10</v>
      </c>
      <c r="C83" s="39" t="s">
        <v>3276</v>
      </c>
    </row>
    <row r="84" spans="1:3" ht="21" x14ac:dyDescent="0.5">
      <c r="A84" s="54" t="s">
        <v>3266</v>
      </c>
      <c r="B84" s="31">
        <v>11</v>
      </c>
      <c r="C84" s="39" t="s">
        <v>3277</v>
      </c>
    </row>
    <row r="85" spans="1:3" ht="21" x14ac:dyDescent="0.5">
      <c r="A85" s="54" t="s">
        <v>3266</v>
      </c>
      <c r="B85" s="31">
        <v>12</v>
      </c>
      <c r="C85" s="39" t="s">
        <v>3278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2633E-5593-40FC-A2BA-1CEDB0AAA7E8}">
  <dimension ref="A1:F13"/>
  <sheetViews>
    <sheetView workbookViewId="0">
      <pane xSplit="1" ySplit="1" topLeftCell="B2" activePane="bottomRight" state="frozen"/>
      <selection pane="topRight" activeCell="B1" sqref="B1"/>
      <selection pane="bottomLeft" activeCell="A2" sqref="A2"/>
      <selection pane="bottomRight" activeCell="B3" sqref="B3"/>
    </sheetView>
  </sheetViews>
  <sheetFormatPr defaultRowHeight="14.5" x14ac:dyDescent="0.35"/>
  <cols>
    <col min="1" max="1" width="8.81640625" style="80"/>
    <col min="2" max="2" width="162.7265625" customWidth="1"/>
    <col min="3" max="3" width="11.54296875" customWidth="1"/>
    <col min="4" max="4" width="9.453125" bestFit="1" customWidth="1"/>
    <col min="5" max="5" width="9.81640625" bestFit="1" customWidth="1"/>
    <col min="6" max="6" width="7.81640625" bestFit="1" customWidth="1"/>
  </cols>
  <sheetData>
    <row r="1" spans="1:6" s="59" customFormat="1" ht="21" x14ac:dyDescent="0.5">
      <c r="A1" s="78" t="s">
        <v>3283</v>
      </c>
      <c r="B1" s="58" t="s">
        <v>3284</v>
      </c>
    </row>
    <row r="2" spans="1:6" ht="66" customHeight="1" x14ac:dyDescent="0.55000000000000004">
      <c r="A2" s="79">
        <v>1</v>
      </c>
      <c r="B2" s="57" t="s">
        <v>4738</v>
      </c>
      <c r="D2" s="1"/>
      <c r="E2" s="1"/>
      <c r="F2" s="1"/>
    </row>
    <row r="3" spans="1:6" ht="126" x14ac:dyDescent="0.5">
      <c r="A3" s="79">
        <v>2</v>
      </c>
      <c r="B3" s="57" t="s">
        <v>4341</v>
      </c>
    </row>
    <row r="4" spans="1:6" ht="147" x14ac:dyDescent="0.5">
      <c r="A4" s="79">
        <v>3</v>
      </c>
      <c r="B4" s="57" t="s">
        <v>4370</v>
      </c>
    </row>
    <row r="5" spans="1:6" ht="84" x14ac:dyDescent="0.5">
      <c r="A5" s="79">
        <v>4</v>
      </c>
      <c r="B5" s="57" t="s">
        <v>4371</v>
      </c>
    </row>
    <row r="6" spans="1:6" ht="126" x14ac:dyDescent="0.5">
      <c r="A6" s="79">
        <v>5</v>
      </c>
      <c r="B6" s="57" t="s">
        <v>4372</v>
      </c>
    </row>
    <row r="7" spans="1:6" ht="126" x14ac:dyDescent="0.5">
      <c r="A7" s="79">
        <v>6</v>
      </c>
      <c r="B7" s="57" t="s">
        <v>4373</v>
      </c>
      <c r="C7" s="31"/>
    </row>
    <row r="8" spans="1:6" ht="84" x14ac:dyDescent="0.5">
      <c r="A8" s="79">
        <v>7</v>
      </c>
      <c r="B8" s="57" t="s">
        <v>4374</v>
      </c>
    </row>
    <row r="9" spans="1:6" ht="168" x14ac:dyDescent="0.5">
      <c r="A9" s="79">
        <v>8</v>
      </c>
      <c r="B9" s="57" t="s">
        <v>4375</v>
      </c>
    </row>
    <row r="10" spans="1:6" ht="168" x14ac:dyDescent="0.5">
      <c r="A10" s="79">
        <v>9</v>
      </c>
      <c r="B10" s="57" t="s">
        <v>4376</v>
      </c>
    </row>
    <row r="11" spans="1:6" ht="168" x14ac:dyDescent="0.5">
      <c r="A11" s="79">
        <v>10</v>
      </c>
      <c r="B11" s="57" t="s">
        <v>4377</v>
      </c>
    </row>
    <row r="12" spans="1:6" ht="273" x14ac:dyDescent="0.5">
      <c r="A12" s="79">
        <v>11</v>
      </c>
      <c r="B12" s="57" t="s">
        <v>4378</v>
      </c>
    </row>
    <row r="13" spans="1:6" ht="315" x14ac:dyDescent="0.5">
      <c r="A13" s="79">
        <v>12</v>
      </c>
      <c r="B13" s="57" t="s">
        <v>4379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pane xSplit="1" ySplit="1" topLeftCell="B2" activePane="bottomRight" state="frozen"/>
      <selection pane="topRight" activeCell="B1" sqref="B1"/>
      <selection pane="bottomLeft" activeCell="A2" sqref="A2"/>
      <selection pane="bottomRight" activeCell="B11" sqref="B11"/>
    </sheetView>
  </sheetViews>
  <sheetFormatPr defaultColWidth="8.81640625" defaultRowHeight="23.5" x14ac:dyDescent="0.55000000000000004"/>
  <cols>
    <col min="1" max="1" width="35.7265625" style="4" customWidth="1"/>
    <col min="2" max="2" width="16.54296875" style="4" customWidth="1"/>
    <col min="3" max="3" width="20.81640625" style="4" bestFit="1" customWidth="1"/>
    <col min="4" max="4" width="27.54296875" style="4" customWidth="1"/>
    <col min="5" max="5" width="27.54296875" style="4" hidden="1" customWidth="1"/>
    <col min="6" max="6" width="25.26953125" style="4" customWidth="1"/>
    <col min="7" max="7" width="11" style="4" customWidth="1"/>
    <col min="8" max="10" width="8.81640625" style="4"/>
    <col min="11" max="11" width="39.54296875" style="4" customWidth="1"/>
    <col min="12" max="12" width="15.1796875" style="4" bestFit="1" customWidth="1"/>
    <col min="13" max="16384" width="8.81640625" style="4"/>
  </cols>
  <sheetData>
    <row r="1" spans="1:12" x14ac:dyDescent="0.55000000000000004">
      <c r="A1" s="3"/>
      <c r="B1" s="3" t="s">
        <v>48</v>
      </c>
      <c r="C1" s="3" t="s">
        <v>4307</v>
      </c>
      <c r="D1" s="3" t="s">
        <v>53</v>
      </c>
      <c r="G1" s="83" t="s">
        <v>42</v>
      </c>
      <c r="H1" s="83" t="s">
        <v>35</v>
      </c>
      <c r="I1" s="83" t="s">
        <v>33</v>
      </c>
      <c r="J1" s="83" t="s">
        <v>31</v>
      </c>
    </row>
    <row r="2" spans="1:12" x14ac:dyDescent="0.55000000000000004">
      <c r="A2" s="3" t="s">
        <v>9</v>
      </c>
      <c r="B2" s="4" t="s">
        <v>44</v>
      </c>
      <c r="C2" s="30" t="s">
        <v>4733</v>
      </c>
      <c r="D2" s="4" t="s">
        <v>4326</v>
      </c>
      <c r="E2" s="4" t="s">
        <v>3724</v>
      </c>
      <c r="F2" s="82"/>
      <c r="G2" s="83"/>
      <c r="H2" s="83"/>
      <c r="I2" s="83"/>
      <c r="J2" s="83"/>
    </row>
    <row r="3" spans="1:12" x14ac:dyDescent="0.55000000000000004">
      <c r="A3" s="3" t="s">
        <v>44</v>
      </c>
      <c r="B3" s="4" t="s">
        <v>43</v>
      </c>
      <c r="C3" s="30" t="s">
        <v>3087</v>
      </c>
      <c r="D3" s="4" t="s">
        <v>4326</v>
      </c>
      <c r="G3" s="83"/>
      <c r="H3" s="83"/>
      <c r="I3" s="83"/>
      <c r="J3" s="83"/>
    </row>
    <row r="4" spans="1:12" x14ac:dyDescent="0.55000000000000004">
      <c r="A4" s="3" t="s">
        <v>45</v>
      </c>
      <c r="B4" s="4" t="s">
        <v>40</v>
      </c>
      <c r="C4" s="30" t="s">
        <v>4734</v>
      </c>
      <c r="D4" s="4" t="s">
        <v>4326</v>
      </c>
      <c r="E4" s="4" t="s">
        <v>3724</v>
      </c>
      <c r="F4" s="82"/>
      <c r="G4" s="83"/>
      <c r="H4" s="83"/>
      <c r="I4" s="83"/>
      <c r="J4" s="83"/>
    </row>
    <row r="5" spans="1:12" x14ac:dyDescent="0.55000000000000004">
      <c r="A5" s="3" t="s">
        <v>43</v>
      </c>
      <c r="B5" s="4" t="s">
        <v>44</v>
      </c>
      <c r="C5" s="30" t="s">
        <v>4733</v>
      </c>
      <c r="D5" s="4" t="s">
        <v>4326</v>
      </c>
      <c r="E5" s="4" t="s">
        <v>3724</v>
      </c>
      <c r="F5" s="82"/>
      <c r="G5" s="83"/>
      <c r="H5" s="83"/>
      <c r="I5" s="83"/>
      <c r="J5" s="83"/>
    </row>
    <row r="6" spans="1:12" x14ac:dyDescent="0.55000000000000004">
      <c r="A6" s="3" t="s">
        <v>41</v>
      </c>
      <c r="B6" s="4" t="s">
        <v>9</v>
      </c>
      <c r="C6" s="30" t="s">
        <v>4735</v>
      </c>
      <c r="D6" s="4" t="s">
        <v>4326</v>
      </c>
      <c r="E6" s="4" t="s">
        <v>3724</v>
      </c>
      <c r="F6" s="82"/>
      <c r="G6" s="263"/>
      <c r="H6" s="83"/>
      <c r="I6" s="83"/>
      <c r="J6" s="83"/>
      <c r="K6" s="85"/>
    </row>
    <row r="7" spans="1:12" x14ac:dyDescent="0.55000000000000004">
      <c r="A7" s="3" t="s">
        <v>38</v>
      </c>
      <c r="B7" s="4" t="s">
        <v>43</v>
      </c>
      <c r="C7" s="30" t="s">
        <v>3087</v>
      </c>
      <c r="D7" s="4" t="s">
        <v>4326</v>
      </c>
      <c r="E7" s="4" t="s">
        <v>3724</v>
      </c>
      <c r="F7" s="82"/>
      <c r="G7" s="83"/>
      <c r="H7" s="83"/>
      <c r="I7" s="83"/>
      <c r="J7" s="83"/>
      <c r="K7" s="85"/>
    </row>
    <row r="8" spans="1:12" x14ac:dyDescent="0.55000000000000004">
      <c r="A8" s="3" t="s">
        <v>40</v>
      </c>
      <c r="B8" s="4" t="s">
        <v>38</v>
      </c>
      <c r="C8" s="30" t="s">
        <v>4736</v>
      </c>
      <c r="D8" s="4" t="s">
        <v>4325</v>
      </c>
      <c r="F8" s="82"/>
      <c r="G8" s="83"/>
      <c r="H8" s="83"/>
      <c r="I8" s="83"/>
      <c r="J8" s="83"/>
      <c r="K8" s="84"/>
      <c r="L8" s="84"/>
    </row>
    <row r="9" spans="1:12" x14ac:dyDescent="0.55000000000000004">
      <c r="A9" s="3" t="s">
        <v>39</v>
      </c>
      <c r="B9" s="4" t="s">
        <v>38</v>
      </c>
      <c r="C9" s="30" t="s">
        <v>4736</v>
      </c>
      <c r="D9" s="4" t="s">
        <v>4325</v>
      </c>
      <c r="G9" s="83"/>
      <c r="H9" s="83"/>
      <c r="I9" s="83"/>
      <c r="J9" s="83"/>
      <c r="K9" s="85"/>
    </row>
    <row r="10" spans="1:12" x14ac:dyDescent="0.55000000000000004">
      <c r="A10" s="3" t="s">
        <v>46</v>
      </c>
      <c r="B10" s="4" t="s">
        <v>43</v>
      </c>
      <c r="C10" s="30" t="s">
        <v>3087</v>
      </c>
      <c r="D10" s="4" t="s">
        <v>4326</v>
      </c>
      <c r="G10" s="83"/>
      <c r="H10" s="83"/>
      <c r="I10" s="83"/>
      <c r="J10" s="83"/>
    </row>
    <row r="11" spans="1:12" x14ac:dyDescent="0.55000000000000004">
      <c r="A11" s="3"/>
      <c r="B11" s="3"/>
      <c r="C11" s="3"/>
      <c r="D11" s="3"/>
    </row>
    <row r="12" spans="1:12" x14ac:dyDescent="0.55000000000000004">
      <c r="A12" s="3" t="s">
        <v>49</v>
      </c>
      <c r="B12" s="3"/>
      <c r="C12" s="3"/>
      <c r="D12" s="3" t="s">
        <v>51</v>
      </c>
      <c r="F12" s="82"/>
    </row>
    <row r="13" spans="1:12" x14ac:dyDescent="0.55000000000000004">
      <c r="A13" s="3" t="s">
        <v>50</v>
      </c>
      <c r="B13" s="3"/>
      <c r="C13" s="3"/>
      <c r="D13" s="3" t="s">
        <v>52</v>
      </c>
    </row>
    <row r="14" spans="1:12" x14ac:dyDescent="0.55000000000000004">
      <c r="D14" s="3" t="s">
        <v>54</v>
      </c>
    </row>
    <row r="15" spans="1:12" x14ac:dyDescent="0.55000000000000004">
      <c r="D15" s="3" t="s">
        <v>65</v>
      </c>
    </row>
    <row r="16" spans="1:12" x14ac:dyDescent="0.55000000000000004">
      <c r="A16" s="4" t="s">
        <v>122</v>
      </c>
    </row>
    <row r="17" spans="1:1" x14ac:dyDescent="0.55000000000000004">
      <c r="A17" s="4" t="s">
        <v>123</v>
      </c>
    </row>
  </sheetData>
  <conditionalFormatting sqref="D2:D10">
    <cfRule type="containsText" dxfId="4" priority="1" operator="containsText" text="Benefic">
      <formula>NOT(ISERROR(SEARCH("Benefic",D2)))</formula>
    </cfRule>
    <cfRule type="containsText" dxfId="3" priority="2" operator="containsText" text="Malefic">
      <formula>NOT(ISERROR(SEARCH("Malefic",D2)))</formula>
    </cfRule>
  </conditionalFormatting>
  <dataValidations count="2">
    <dataValidation type="list" showInputMessage="1" showErrorMessage="1" promptTitle="Choose Malefic or Benefic" sqref="D2:D10" xr:uid="{00000000-0002-0000-0300-000000000000}">
      <formula1>"Malefic,Benefic"</formula1>
    </dataValidation>
    <dataValidation type="list" showInputMessage="1" showErrorMessage="1" promptTitle="Select one planet" sqref="B2:B10" xr:uid="{00000000-0002-0000-0300-000001000000}">
      <formula1>"Ketu,Venus,Sun,Moon,Mars,Rahu,Jupiter,Saturn,Mercury"</formula1>
    </dataValidation>
  </dataValidation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6DA3-8DFC-4289-A9E0-004F61DE8020}">
  <dimension ref="A1:C100"/>
  <sheetViews>
    <sheetView topLeftCell="A87" workbookViewId="0">
      <selection activeCell="B94" sqref="B94"/>
    </sheetView>
  </sheetViews>
  <sheetFormatPr defaultRowHeight="14.5" x14ac:dyDescent="0.35"/>
  <cols>
    <col min="1" max="1" width="38" bestFit="1" customWidth="1"/>
    <col min="2" max="2" width="81.1796875" style="46" customWidth="1"/>
    <col min="3" max="3" width="69.54296875" style="46" customWidth="1"/>
  </cols>
  <sheetData>
    <row r="1" spans="1:3" x14ac:dyDescent="0.35">
      <c r="A1" s="320" t="s">
        <v>4276</v>
      </c>
      <c r="B1" s="320"/>
      <c r="C1" s="254"/>
    </row>
    <row r="2" spans="1:3" ht="29" x14ac:dyDescent="0.35">
      <c r="A2" s="80" t="s">
        <v>142</v>
      </c>
      <c r="B2" s="254" t="s">
        <v>4166</v>
      </c>
      <c r="C2" s="254"/>
    </row>
    <row r="3" spans="1:3" ht="29" x14ac:dyDescent="0.35">
      <c r="A3" s="80" t="s">
        <v>199</v>
      </c>
      <c r="B3" s="254" t="s">
        <v>4164</v>
      </c>
      <c r="C3" s="254"/>
    </row>
    <row r="4" spans="1:3" ht="29" x14ac:dyDescent="0.35">
      <c r="A4" s="80" t="s">
        <v>251</v>
      </c>
      <c r="B4" s="254" t="s">
        <v>4165</v>
      </c>
      <c r="C4" s="254"/>
    </row>
    <row r="5" spans="1:3" ht="58" x14ac:dyDescent="0.35">
      <c r="A5" s="80" t="s">
        <v>302</v>
      </c>
      <c r="B5" s="254" t="s">
        <v>4167</v>
      </c>
      <c r="C5" s="254" t="s">
        <v>4168</v>
      </c>
    </row>
    <row r="6" spans="1:3" ht="59.25" customHeight="1" x14ac:dyDescent="0.35">
      <c r="A6" s="80" t="s">
        <v>350</v>
      </c>
      <c r="B6" s="254" t="s">
        <v>4169</v>
      </c>
      <c r="C6" s="254"/>
    </row>
    <row r="7" spans="1:3" ht="43.5" x14ac:dyDescent="0.35">
      <c r="A7" s="80" t="s">
        <v>386</v>
      </c>
      <c r="B7" s="254" t="s">
        <v>4170</v>
      </c>
      <c r="C7" s="254"/>
    </row>
    <row r="8" spans="1:3" ht="29" x14ac:dyDescent="0.35">
      <c r="A8" s="80" t="s">
        <v>421</v>
      </c>
      <c r="B8" s="254" t="s">
        <v>4171</v>
      </c>
      <c r="C8" s="254"/>
    </row>
    <row r="9" spans="1:3" ht="43.5" x14ac:dyDescent="0.35">
      <c r="A9" s="80" t="s">
        <v>457</v>
      </c>
      <c r="B9" s="254" t="s">
        <v>4172</v>
      </c>
      <c r="C9" s="254"/>
    </row>
    <row r="10" spans="1:3" ht="29" x14ac:dyDescent="0.35">
      <c r="A10" s="80" t="s">
        <v>492</v>
      </c>
      <c r="B10" s="254" t="s">
        <v>4173</v>
      </c>
      <c r="C10" s="254"/>
    </row>
    <row r="11" spans="1:3" ht="29" x14ac:dyDescent="0.35">
      <c r="A11" s="80" t="s">
        <v>529</v>
      </c>
      <c r="B11" s="254" t="s">
        <v>4174</v>
      </c>
      <c r="C11" s="254"/>
    </row>
    <row r="12" spans="1:3" ht="29" x14ac:dyDescent="0.35">
      <c r="A12" s="80" t="s">
        <v>557</v>
      </c>
      <c r="B12" s="254" t="s">
        <v>4175</v>
      </c>
      <c r="C12" s="254"/>
    </row>
    <row r="13" spans="1:3" ht="29" x14ac:dyDescent="0.35">
      <c r="A13" s="80" t="s">
        <v>584</v>
      </c>
      <c r="B13" s="254" t="s">
        <v>4176</v>
      </c>
      <c r="C13" s="254"/>
    </row>
    <row r="14" spans="1:3" x14ac:dyDescent="0.35">
      <c r="A14" s="80"/>
      <c r="B14" s="254"/>
      <c r="C14" s="254"/>
    </row>
    <row r="15" spans="1:3" x14ac:dyDescent="0.35">
      <c r="A15" s="320" t="s">
        <v>4277</v>
      </c>
      <c r="B15" s="320"/>
      <c r="C15" s="254"/>
    </row>
    <row r="16" spans="1:3" ht="29" x14ac:dyDescent="0.35">
      <c r="A16" s="80" t="s">
        <v>142</v>
      </c>
      <c r="B16" s="254" t="s">
        <v>4177</v>
      </c>
      <c r="C16" s="254"/>
    </row>
    <row r="17" spans="1:3" ht="29" x14ac:dyDescent="0.35">
      <c r="A17" s="80" t="s">
        <v>199</v>
      </c>
      <c r="B17" s="254" t="s">
        <v>4178</v>
      </c>
      <c r="C17" s="254"/>
    </row>
    <row r="18" spans="1:3" ht="29" x14ac:dyDescent="0.35">
      <c r="A18" s="80" t="s">
        <v>251</v>
      </c>
      <c r="B18" s="254" t="s">
        <v>4179</v>
      </c>
      <c r="C18" s="254"/>
    </row>
    <row r="19" spans="1:3" ht="43.5" x14ac:dyDescent="0.35">
      <c r="A19" s="80" t="s">
        <v>302</v>
      </c>
      <c r="B19" s="254" t="s">
        <v>4180</v>
      </c>
      <c r="C19" s="254"/>
    </row>
    <row r="20" spans="1:3" ht="29" x14ac:dyDescent="0.35">
      <c r="A20" s="80" t="s">
        <v>350</v>
      </c>
      <c r="B20" s="254" t="s">
        <v>4181</v>
      </c>
      <c r="C20" s="254"/>
    </row>
    <row r="21" spans="1:3" x14ac:dyDescent="0.35">
      <c r="A21" s="80" t="s">
        <v>386</v>
      </c>
      <c r="B21" s="254" t="s">
        <v>4182</v>
      </c>
      <c r="C21" s="254"/>
    </row>
    <row r="22" spans="1:3" ht="43.5" x14ac:dyDescent="0.35">
      <c r="A22" s="80" t="s">
        <v>421</v>
      </c>
      <c r="B22" s="254" t="s">
        <v>4183</v>
      </c>
      <c r="C22" s="254"/>
    </row>
    <row r="23" spans="1:3" ht="29" x14ac:dyDescent="0.35">
      <c r="A23" s="80" t="s">
        <v>457</v>
      </c>
      <c r="B23" s="254" t="s">
        <v>4184</v>
      </c>
      <c r="C23" s="254"/>
    </row>
    <row r="24" spans="1:3" ht="29" x14ac:dyDescent="0.35">
      <c r="A24" s="80" t="s">
        <v>492</v>
      </c>
      <c r="B24" s="254" t="s">
        <v>4185</v>
      </c>
      <c r="C24" s="254"/>
    </row>
    <row r="25" spans="1:3" ht="29" x14ac:dyDescent="0.35">
      <c r="A25" s="80" t="s">
        <v>529</v>
      </c>
      <c r="B25" s="254" t="s">
        <v>4186</v>
      </c>
      <c r="C25" s="254"/>
    </row>
    <row r="26" spans="1:3" ht="29" x14ac:dyDescent="0.35">
      <c r="A26" s="80" t="s">
        <v>557</v>
      </c>
      <c r="B26" s="254" t="s">
        <v>4187</v>
      </c>
      <c r="C26" s="254"/>
    </row>
    <row r="27" spans="1:3" ht="43.5" x14ac:dyDescent="0.35">
      <c r="A27" s="80" t="s">
        <v>584</v>
      </c>
      <c r="B27" s="254" t="s">
        <v>4188</v>
      </c>
      <c r="C27" s="254"/>
    </row>
    <row r="28" spans="1:3" x14ac:dyDescent="0.35">
      <c r="A28" s="80"/>
      <c r="B28" s="254"/>
      <c r="C28" s="254"/>
    </row>
    <row r="29" spans="1:3" x14ac:dyDescent="0.35">
      <c r="A29" s="320" t="s">
        <v>4278</v>
      </c>
      <c r="B29" s="320"/>
      <c r="C29" s="254"/>
    </row>
    <row r="30" spans="1:3" ht="29" x14ac:dyDescent="0.35">
      <c r="A30" s="80" t="s">
        <v>142</v>
      </c>
      <c r="B30" s="254" t="s">
        <v>4222</v>
      </c>
      <c r="C30" s="254"/>
    </row>
    <row r="31" spans="1:3" ht="29" x14ac:dyDescent="0.35">
      <c r="A31" s="80" t="s">
        <v>199</v>
      </c>
      <c r="B31" s="254" t="s">
        <v>4447</v>
      </c>
      <c r="C31" s="254"/>
    </row>
    <row r="32" spans="1:3" ht="29" x14ac:dyDescent="0.35">
      <c r="A32" s="80" t="s">
        <v>251</v>
      </c>
      <c r="B32" s="254" t="s">
        <v>4223</v>
      </c>
      <c r="C32" s="254"/>
    </row>
    <row r="33" spans="1:3" ht="29" x14ac:dyDescent="0.35">
      <c r="A33" s="80" t="s">
        <v>302</v>
      </c>
      <c r="B33" s="254" t="s">
        <v>4224</v>
      </c>
      <c r="C33" s="254"/>
    </row>
    <row r="34" spans="1:3" ht="29" x14ac:dyDescent="0.35">
      <c r="A34" s="80" t="s">
        <v>350</v>
      </c>
      <c r="B34" s="254" t="s">
        <v>4332</v>
      </c>
      <c r="C34" s="254"/>
    </row>
    <row r="35" spans="1:3" ht="29" x14ac:dyDescent="0.35">
      <c r="A35" s="80" t="s">
        <v>386</v>
      </c>
      <c r="B35" s="254" t="s">
        <v>4225</v>
      </c>
      <c r="C35" s="254"/>
    </row>
    <row r="36" spans="1:3" ht="29" x14ac:dyDescent="0.35">
      <c r="A36" s="80" t="s">
        <v>421</v>
      </c>
      <c r="B36" s="254" t="s">
        <v>4331</v>
      </c>
      <c r="C36" s="254"/>
    </row>
    <row r="37" spans="1:3" ht="29" x14ac:dyDescent="0.35">
      <c r="A37" s="80" t="s">
        <v>457</v>
      </c>
      <c r="B37" s="254" t="s">
        <v>4333</v>
      </c>
      <c r="C37" s="254"/>
    </row>
    <row r="38" spans="1:3" ht="29" x14ac:dyDescent="0.35">
      <c r="A38" s="80" t="s">
        <v>492</v>
      </c>
      <c r="B38" s="254" t="s">
        <v>4226</v>
      </c>
      <c r="C38" s="254"/>
    </row>
    <row r="39" spans="1:3" ht="29" x14ac:dyDescent="0.35">
      <c r="A39" s="80" t="s">
        <v>529</v>
      </c>
      <c r="B39" s="254" t="s">
        <v>4227</v>
      </c>
      <c r="C39" s="254"/>
    </row>
    <row r="40" spans="1:3" ht="29" x14ac:dyDescent="0.35">
      <c r="A40" s="80" t="s">
        <v>557</v>
      </c>
      <c r="B40" s="254" t="s">
        <v>4228</v>
      </c>
      <c r="C40" s="254"/>
    </row>
    <row r="41" spans="1:3" ht="29" x14ac:dyDescent="0.35">
      <c r="A41" s="80" t="s">
        <v>584</v>
      </c>
      <c r="B41" s="254" t="s">
        <v>4229</v>
      </c>
      <c r="C41" s="254"/>
    </row>
    <row r="42" spans="1:3" x14ac:dyDescent="0.35">
      <c r="A42" s="80"/>
      <c r="B42" s="254"/>
      <c r="C42" s="254"/>
    </row>
    <row r="43" spans="1:3" x14ac:dyDescent="0.35">
      <c r="A43" s="320" t="s">
        <v>4279</v>
      </c>
      <c r="B43" s="320"/>
      <c r="C43" s="254"/>
    </row>
    <row r="44" spans="1:3" ht="58" x14ac:dyDescent="0.35">
      <c r="A44" s="80" t="s">
        <v>142</v>
      </c>
      <c r="B44" s="254" t="s">
        <v>4230</v>
      </c>
      <c r="C44" s="254"/>
    </row>
    <row r="45" spans="1:3" ht="43.5" x14ac:dyDescent="0.35">
      <c r="A45" s="80" t="s">
        <v>199</v>
      </c>
      <c r="B45" s="254" t="s">
        <v>4231</v>
      </c>
      <c r="C45" s="254"/>
    </row>
    <row r="46" spans="1:3" ht="29" x14ac:dyDescent="0.35">
      <c r="A46" s="80" t="s">
        <v>251</v>
      </c>
      <c r="B46" s="254" t="s">
        <v>4232</v>
      </c>
      <c r="C46" s="254"/>
    </row>
    <row r="47" spans="1:3" ht="43.5" x14ac:dyDescent="0.35">
      <c r="A47" s="80" t="s">
        <v>302</v>
      </c>
      <c r="B47" s="254" t="s">
        <v>4273</v>
      </c>
      <c r="C47" s="254"/>
    </row>
    <row r="48" spans="1:3" ht="43.5" x14ac:dyDescent="0.35">
      <c r="A48" s="80" t="s">
        <v>350</v>
      </c>
      <c r="B48" s="254" t="s">
        <v>4233</v>
      </c>
      <c r="C48" s="254"/>
    </row>
    <row r="49" spans="1:3" ht="29" x14ac:dyDescent="0.35">
      <c r="A49" s="80" t="s">
        <v>386</v>
      </c>
      <c r="B49" s="254" t="s">
        <v>4234</v>
      </c>
      <c r="C49" s="254"/>
    </row>
    <row r="50" spans="1:3" ht="29" x14ac:dyDescent="0.35">
      <c r="A50" s="80" t="s">
        <v>421</v>
      </c>
      <c r="B50" s="254" t="s">
        <v>4235</v>
      </c>
      <c r="C50" s="254"/>
    </row>
    <row r="51" spans="1:3" ht="43.5" x14ac:dyDescent="0.35">
      <c r="A51" s="80" t="s">
        <v>457</v>
      </c>
      <c r="B51" s="254" t="s">
        <v>4236</v>
      </c>
      <c r="C51" s="254"/>
    </row>
    <row r="52" spans="1:3" ht="43.5" x14ac:dyDescent="0.35">
      <c r="A52" s="80" t="s">
        <v>492</v>
      </c>
      <c r="B52" s="254" t="s">
        <v>4330</v>
      </c>
      <c r="C52" s="254"/>
    </row>
    <row r="53" spans="1:3" ht="43.5" x14ac:dyDescent="0.35">
      <c r="A53" s="80" t="s">
        <v>529</v>
      </c>
      <c r="B53" s="254" t="s">
        <v>4237</v>
      </c>
      <c r="C53" s="254"/>
    </row>
    <row r="54" spans="1:3" ht="43.5" x14ac:dyDescent="0.35">
      <c r="A54" s="80" t="s">
        <v>557</v>
      </c>
      <c r="B54" s="254" t="s">
        <v>4271</v>
      </c>
      <c r="C54" s="254"/>
    </row>
    <row r="55" spans="1:3" ht="43.5" x14ac:dyDescent="0.35">
      <c r="A55" s="80" t="s">
        <v>584</v>
      </c>
      <c r="B55" s="254" t="s">
        <v>4329</v>
      </c>
      <c r="C55" s="254"/>
    </row>
    <row r="56" spans="1:3" x14ac:dyDescent="0.35">
      <c r="A56" s="80"/>
      <c r="B56" s="254"/>
      <c r="C56" s="254"/>
    </row>
    <row r="57" spans="1:3" x14ac:dyDescent="0.35">
      <c r="A57" s="320" t="s">
        <v>4282</v>
      </c>
      <c r="B57" s="320"/>
      <c r="C57" s="254"/>
    </row>
    <row r="58" spans="1:3" ht="43.5" x14ac:dyDescent="0.35">
      <c r="A58" s="80" t="s">
        <v>142</v>
      </c>
      <c r="B58" s="254" t="s">
        <v>4238</v>
      </c>
      <c r="C58" s="254"/>
    </row>
    <row r="59" spans="1:3" ht="43.5" x14ac:dyDescent="0.35">
      <c r="A59" s="80" t="s">
        <v>199</v>
      </c>
      <c r="B59" s="254" t="s">
        <v>4239</v>
      </c>
      <c r="C59" s="254"/>
    </row>
    <row r="60" spans="1:3" ht="43.5" x14ac:dyDescent="0.35">
      <c r="A60" s="80" t="s">
        <v>251</v>
      </c>
      <c r="B60" s="254" t="s">
        <v>4240</v>
      </c>
      <c r="C60" s="254"/>
    </row>
    <row r="61" spans="1:3" ht="43.5" x14ac:dyDescent="0.35">
      <c r="A61" s="80" t="s">
        <v>302</v>
      </c>
      <c r="B61" s="254" t="s">
        <v>4241</v>
      </c>
      <c r="C61" s="254"/>
    </row>
    <row r="62" spans="1:3" ht="29" x14ac:dyDescent="0.35">
      <c r="A62" s="80" t="s">
        <v>350</v>
      </c>
      <c r="B62" s="254" t="s">
        <v>4242</v>
      </c>
      <c r="C62" s="254"/>
    </row>
    <row r="63" spans="1:3" ht="43.5" x14ac:dyDescent="0.35">
      <c r="A63" s="80" t="s">
        <v>386</v>
      </c>
      <c r="B63" s="254" t="s">
        <v>4243</v>
      </c>
      <c r="C63" s="254"/>
    </row>
    <row r="64" spans="1:3" ht="43.5" x14ac:dyDescent="0.35">
      <c r="A64" s="80" t="s">
        <v>421</v>
      </c>
      <c r="B64" s="254" t="s">
        <v>4244</v>
      </c>
      <c r="C64" s="254"/>
    </row>
    <row r="65" spans="1:3" ht="43.5" x14ac:dyDescent="0.35">
      <c r="A65" s="80" t="s">
        <v>457</v>
      </c>
      <c r="B65" s="254" t="s">
        <v>4245</v>
      </c>
      <c r="C65" s="254"/>
    </row>
    <row r="66" spans="1:3" ht="43.5" x14ac:dyDescent="0.35">
      <c r="A66" s="80" t="s">
        <v>492</v>
      </c>
      <c r="B66" s="254" t="s">
        <v>4246</v>
      </c>
      <c r="C66" s="254"/>
    </row>
    <row r="67" spans="1:3" ht="43.5" x14ac:dyDescent="0.35">
      <c r="A67" s="80" t="s">
        <v>529</v>
      </c>
      <c r="B67" s="254" t="s">
        <v>4247</v>
      </c>
      <c r="C67" s="254"/>
    </row>
    <row r="68" spans="1:3" ht="29" x14ac:dyDescent="0.35">
      <c r="A68" s="80" t="s">
        <v>557</v>
      </c>
      <c r="B68" s="254" t="s">
        <v>4272</v>
      </c>
      <c r="C68" s="254"/>
    </row>
    <row r="69" spans="1:3" ht="43.5" x14ac:dyDescent="0.35">
      <c r="A69" s="80" t="s">
        <v>584</v>
      </c>
      <c r="B69" s="254" t="s">
        <v>4248</v>
      </c>
      <c r="C69" s="254"/>
    </row>
    <row r="70" spans="1:3" x14ac:dyDescent="0.35">
      <c r="A70" s="80"/>
      <c r="B70" s="254"/>
      <c r="C70" s="254"/>
    </row>
    <row r="71" spans="1:3" x14ac:dyDescent="0.35">
      <c r="A71" s="320" t="s">
        <v>4280</v>
      </c>
      <c r="B71" s="320"/>
      <c r="C71" s="254"/>
    </row>
    <row r="72" spans="1:3" ht="43.5" x14ac:dyDescent="0.35">
      <c r="A72" s="80" t="s">
        <v>142</v>
      </c>
      <c r="B72" s="254" t="s">
        <v>4249</v>
      </c>
      <c r="C72" s="254"/>
    </row>
    <row r="73" spans="1:3" ht="29" x14ac:dyDescent="0.35">
      <c r="A73" s="80" t="s">
        <v>199</v>
      </c>
      <c r="B73" s="254" t="s">
        <v>4250</v>
      </c>
      <c r="C73" s="254"/>
    </row>
    <row r="74" spans="1:3" ht="43.5" x14ac:dyDescent="0.35">
      <c r="A74" s="80" t="s">
        <v>251</v>
      </c>
      <c r="B74" s="254" t="s">
        <v>4251</v>
      </c>
      <c r="C74" s="254"/>
    </row>
    <row r="75" spans="1:3" ht="43.5" x14ac:dyDescent="0.35">
      <c r="A75" s="80" t="s">
        <v>302</v>
      </c>
      <c r="B75" s="254" t="s">
        <v>4252</v>
      </c>
      <c r="C75" s="254"/>
    </row>
    <row r="76" spans="1:3" ht="43.5" x14ac:dyDescent="0.35">
      <c r="A76" s="80" t="s">
        <v>350</v>
      </c>
      <c r="B76" s="254" t="s">
        <v>4274</v>
      </c>
      <c r="C76" s="254"/>
    </row>
    <row r="77" spans="1:3" ht="43.5" x14ac:dyDescent="0.35">
      <c r="A77" s="80" t="s">
        <v>386</v>
      </c>
      <c r="B77" s="254" t="s">
        <v>4253</v>
      </c>
      <c r="C77" s="254"/>
    </row>
    <row r="78" spans="1:3" ht="43.5" x14ac:dyDescent="0.35">
      <c r="A78" s="80" t="s">
        <v>421</v>
      </c>
      <c r="B78" s="254" t="s">
        <v>4254</v>
      </c>
      <c r="C78" s="254"/>
    </row>
    <row r="79" spans="1:3" ht="43.5" x14ac:dyDescent="0.35">
      <c r="A79" s="80" t="s">
        <v>457</v>
      </c>
      <c r="B79" s="254" t="s">
        <v>4255</v>
      </c>
      <c r="C79" s="254"/>
    </row>
    <row r="80" spans="1:3" ht="58" x14ac:dyDescent="0.35">
      <c r="A80" s="80" t="s">
        <v>492</v>
      </c>
      <c r="B80" s="254" t="s">
        <v>4256</v>
      </c>
      <c r="C80" s="254"/>
    </row>
    <row r="81" spans="1:3" ht="43.5" x14ac:dyDescent="0.35">
      <c r="A81" s="80" t="s">
        <v>529</v>
      </c>
      <c r="B81" s="254" t="s">
        <v>4257</v>
      </c>
      <c r="C81" s="254"/>
    </row>
    <row r="82" spans="1:3" ht="43.5" x14ac:dyDescent="0.35">
      <c r="A82" s="80" t="s">
        <v>557</v>
      </c>
      <c r="B82" s="254" t="s">
        <v>4258</v>
      </c>
      <c r="C82" s="254"/>
    </row>
    <row r="83" spans="1:3" ht="29" x14ac:dyDescent="0.35">
      <c r="A83" s="80" t="s">
        <v>584</v>
      </c>
      <c r="B83" s="254" t="s">
        <v>4259</v>
      </c>
      <c r="C83" s="254"/>
    </row>
    <row r="84" spans="1:3" x14ac:dyDescent="0.35">
      <c r="A84" s="80"/>
      <c r="B84" s="254"/>
      <c r="C84" s="254"/>
    </row>
    <row r="85" spans="1:3" x14ac:dyDescent="0.35">
      <c r="A85" s="320" t="s">
        <v>4281</v>
      </c>
      <c r="B85" s="320"/>
      <c r="C85" s="254"/>
    </row>
    <row r="86" spans="1:3" ht="29" x14ac:dyDescent="0.35">
      <c r="A86" s="80" t="s">
        <v>142</v>
      </c>
      <c r="B86" s="254" t="s">
        <v>4260</v>
      </c>
      <c r="C86" s="254"/>
    </row>
    <row r="87" spans="1:3" ht="43.5" x14ac:dyDescent="0.35">
      <c r="A87" s="80" t="s">
        <v>199</v>
      </c>
      <c r="B87" s="254" t="s">
        <v>4261</v>
      </c>
      <c r="C87" s="254"/>
    </row>
    <row r="88" spans="1:3" ht="43.5" x14ac:dyDescent="0.35">
      <c r="A88" s="80" t="s">
        <v>251</v>
      </c>
      <c r="B88" s="254" t="s">
        <v>4725</v>
      </c>
      <c r="C88" s="254"/>
    </row>
    <row r="89" spans="1:3" ht="43.5" x14ac:dyDescent="0.35">
      <c r="A89" s="80" t="s">
        <v>302</v>
      </c>
      <c r="B89" s="254" t="s">
        <v>4262</v>
      </c>
      <c r="C89" s="254"/>
    </row>
    <row r="90" spans="1:3" ht="43.5" x14ac:dyDescent="0.35">
      <c r="A90" s="80" t="s">
        <v>350</v>
      </c>
      <c r="B90" s="254" t="s">
        <v>4263</v>
      </c>
      <c r="C90" s="254"/>
    </row>
    <row r="91" spans="1:3" ht="43.5" x14ac:dyDescent="0.35">
      <c r="A91" s="80" t="s">
        <v>386</v>
      </c>
      <c r="B91" s="254" t="s">
        <v>4264</v>
      </c>
      <c r="C91" s="254"/>
    </row>
    <row r="92" spans="1:3" ht="43.5" x14ac:dyDescent="0.35">
      <c r="A92" s="80" t="s">
        <v>421</v>
      </c>
      <c r="B92" s="254" t="s">
        <v>4265</v>
      </c>
      <c r="C92" s="254"/>
    </row>
    <row r="93" spans="1:3" ht="43.5" x14ac:dyDescent="0.35">
      <c r="A93" s="80" t="s">
        <v>457</v>
      </c>
      <c r="B93" s="254" t="s">
        <v>4266</v>
      </c>
      <c r="C93" s="254"/>
    </row>
    <row r="94" spans="1:3" ht="43.5" x14ac:dyDescent="0.35">
      <c r="A94" s="80" t="s">
        <v>492</v>
      </c>
      <c r="B94" s="254" t="s">
        <v>4267</v>
      </c>
      <c r="C94" s="254"/>
    </row>
    <row r="95" spans="1:3" ht="43.5" x14ac:dyDescent="0.35">
      <c r="A95" s="80" t="s">
        <v>529</v>
      </c>
      <c r="B95" s="254" t="s">
        <v>4268</v>
      </c>
      <c r="C95" s="254"/>
    </row>
    <row r="96" spans="1:3" ht="29" x14ac:dyDescent="0.35">
      <c r="A96" s="80" t="s">
        <v>557</v>
      </c>
      <c r="B96" s="254" t="s">
        <v>4275</v>
      </c>
      <c r="C96" s="254"/>
    </row>
    <row r="97" spans="1:3" ht="72.5" x14ac:dyDescent="0.35">
      <c r="A97" s="80" t="s">
        <v>584</v>
      </c>
      <c r="B97" s="254" t="s">
        <v>4269</v>
      </c>
      <c r="C97" s="254"/>
    </row>
    <row r="98" spans="1:3" x14ac:dyDescent="0.35">
      <c r="A98" s="80"/>
      <c r="B98" s="254"/>
      <c r="C98" s="254"/>
    </row>
    <row r="99" spans="1:3" x14ac:dyDescent="0.35">
      <c r="A99" s="320" t="s">
        <v>4283</v>
      </c>
      <c r="B99" s="320"/>
      <c r="C99" s="254"/>
    </row>
    <row r="100" spans="1:3" ht="208" x14ac:dyDescent="0.35">
      <c r="B100" s="293" t="s">
        <v>4270</v>
      </c>
      <c r="C100" s="254"/>
    </row>
  </sheetData>
  <mergeCells count="8">
    <mergeCell ref="A85:B85"/>
    <mergeCell ref="A99:B99"/>
    <mergeCell ref="A1:B1"/>
    <mergeCell ref="A15:B15"/>
    <mergeCell ref="A29:B29"/>
    <mergeCell ref="A43:B43"/>
    <mergeCell ref="A57:B57"/>
    <mergeCell ref="A71:B7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98C13-4295-4B3C-A15C-3C8F30DA1384}">
  <dimension ref="A1:E34"/>
  <sheetViews>
    <sheetView workbookViewId="0">
      <selection activeCell="A23" sqref="A23"/>
    </sheetView>
  </sheetViews>
  <sheetFormatPr defaultColWidth="9.1796875" defaultRowHeight="14.5" x14ac:dyDescent="0.35"/>
  <cols>
    <col min="1" max="1" width="14.54296875" style="46" bestFit="1" customWidth="1"/>
    <col min="2" max="2" width="92.54296875" style="46" customWidth="1"/>
    <col min="3" max="3" width="19" style="46" bestFit="1" customWidth="1"/>
    <col min="4" max="5" width="13.453125" style="46" customWidth="1"/>
    <col min="6" max="16384" width="9.1796875" style="46"/>
  </cols>
  <sheetData>
    <row r="1" spans="1:5" ht="21" x14ac:dyDescent="0.5">
      <c r="A1" s="115" t="s">
        <v>125</v>
      </c>
      <c r="B1" s="115" t="s">
        <v>3928</v>
      </c>
    </row>
    <row r="2" spans="1:5" ht="42" x14ac:dyDescent="0.5">
      <c r="A2" s="39">
        <v>1</v>
      </c>
      <c r="B2" s="39" t="s">
        <v>3929</v>
      </c>
    </row>
    <row r="3" spans="1:5" ht="42" x14ac:dyDescent="0.5">
      <c r="A3" s="39">
        <v>2</v>
      </c>
      <c r="B3" s="39" t="s">
        <v>3930</v>
      </c>
    </row>
    <row r="4" spans="1:5" ht="21" x14ac:dyDescent="0.5">
      <c r="A4" s="39">
        <v>3</v>
      </c>
      <c r="B4" s="39" t="s">
        <v>3931</v>
      </c>
    </row>
    <row r="5" spans="1:5" ht="21" x14ac:dyDescent="0.5">
      <c r="A5" s="39">
        <v>4</v>
      </c>
      <c r="B5" s="39" t="s">
        <v>3983</v>
      </c>
    </row>
    <row r="6" spans="1:5" ht="84" x14ac:dyDescent="0.5">
      <c r="A6" s="39">
        <v>5</v>
      </c>
      <c r="B6" s="39" t="s">
        <v>3984</v>
      </c>
    </row>
    <row r="7" spans="1:5" ht="42" x14ac:dyDescent="0.5">
      <c r="A7" s="39">
        <v>6</v>
      </c>
      <c r="B7" s="39" t="s">
        <v>3985</v>
      </c>
    </row>
    <row r="8" spans="1:5" ht="21" x14ac:dyDescent="0.5">
      <c r="A8" s="39"/>
      <c r="B8" s="39"/>
    </row>
    <row r="9" spans="1:5" ht="30" customHeight="1" x14ac:dyDescent="0.5">
      <c r="A9" s="321" t="s">
        <v>3979</v>
      </c>
      <c r="B9" s="321"/>
    </row>
    <row r="10" spans="1:5" ht="21" x14ac:dyDescent="0.5">
      <c r="A10" s="39"/>
      <c r="B10" s="39" t="s">
        <v>3937</v>
      </c>
      <c r="C10" s="39" t="s">
        <v>3938</v>
      </c>
      <c r="D10" s="39" t="s">
        <v>3939</v>
      </c>
      <c r="E10" s="39" t="s">
        <v>3940</v>
      </c>
    </row>
    <row r="11" spans="1:5" ht="21" x14ac:dyDescent="0.5">
      <c r="A11" s="39" t="s">
        <v>3941</v>
      </c>
      <c r="B11" s="39" t="s">
        <v>142</v>
      </c>
      <c r="C11" s="39" t="s">
        <v>199</v>
      </c>
      <c r="D11" s="39" t="s">
        <v>251</v>
      </c>
      <c r="E11" s="39" t="s">
        <v>302</v>
      </c>
    </row>
    <row r="12" spans="1:5" ht="21" x14ac:dyDescent="0.5">
      <c r="A12" s="39"/>
      <c r="B12" s="39" t="s">
        <v>350</v>
      </c>
      <c r="C12" s="39" t="s">
        <v>386</v>
      </c>
      <c r="D12" s="39" t="s">
        <v>421</v>
      </c>
      <c r="E12" s="39" t="s">
        <v>457</v>
      </c>
    </row>
    <row r="13" spans="1:5" ht="21" x14ac:dyDescent="0.5">
      <c r="A13" s="39"/>
      <c r="B13" s="39" t="s">
        <v>3942</v>
      </c>
      <c r="C13" s="39" t="s">
        <v>529</v>
      </c>
      <c r="D13" s="39" t="s">
        <v>3943</v>
      </c>
      <c r="E13" s="39" t="s">
        <v>584</v>
      </c>
    </row>
    <row r="14" spans="1:5" ht="21" x14ac:dyDescent="0.5">
      <c r="A14" s="39"/>
      <c r="B14" s="39"/>
      <c r="C14" s="39"/>
      <c r="D14" s="39"/>
      <c r="E14" s="39"/>
    </row>
    <row r="15" spans="1:5" ht="42" x14ac:dyDescent="0.5">
      <c r="A15" s="115"/>
      <c r="B15" s="115" t="s">
        <v>3944</v>
      </c>
      <c r="C15" s="39"/>
      <c r="D15" s="39"/>
      <c r="E15" s="39"/>
    </row>
    <row r="16" spans="1:5" ht="42" x14ac:dyDescent="0.5">
      <c r="A16" s="39" t="s">
        <v>3945</v>
      </c>
      <c r="B16" s="39" t="s">
        <v>3946</v>
      </c>
      <c r="C16" s="39" t="s">
        <v>3947</v>
      </c>
      <c r="D16" s="39"/>
      <c r="E16" s="39"/>
    </row>
    <row r="17" spans="1:5" ht="21" x14ac:dyDescent="0.5">
      <c r="A17" s="39"/>
      <c r="B17" s="39" t="s">
        <v>3948</v>
      </c>
      <c r="C17" s="39" t="s">
        <v>3949</v>
      </c>
      <c r="D17" s="39"/>
      <c r="E17" s="39"/>
    </row>
    <row r="18" spans="1:5" ht="42" x14ac:dyDescent="0.5">
      <c r="A18" s="39"/>
      <c r="B18" s="39" t="s">
        <v>3950</v>
      </c>
      <c r="C18" s="39" t="s">
        <v>3951</v>
      </c>
      <c r="D18" s="39"/>
      <c r="E18" s="39"/>
    </row>
    <row r="19" spans="1:5" ht="21" x14ac:dyDescent="0.5">
      <c r="A19" s="39"/>
      <c r="B19" s="39" t="s">
        <v>3952</v>
      </c>
      <c r="C19" s="39" t="s">
        <v>3953</v>
      </c>
      <c r="D19" s="39"/>
      <c r="E19" s="39"/>
    </row>
    <row r="20" spans="1:5" ht="21" x14ac:dyDescent="0.5">
      <c r="A20" s="39"/>
      <c r="B20" s="39"/>
      <c r="C20" s="39"/>
      <c r="D20" s="39"/>
      <c r="E20" s="39"/>
    </row>
    <row r="21" spans="1:5" ht="21" x14ac:dyDescent="0.5">
      <c r="A21" s="114"/>
      <c r="B21" s="115" t="s">
        <v>3954</v>
      </c>
      <c r="C21" s="39"/>
      <c r="D21" s="39"/>
      <c r="E21" s="39"/>
    </row>
    <row r="22" spans="1:5" ht="21" x14ac:dyDescent="0.5">
      <c r="A22" s="56" t="s">
        <v>3955</v>
      </c>
      <c r="B22" s="56" t="s">
        <v>3956</v>
      </c>
      <c r="C22" s="39"/>
      <c r="D22" s="39"/>
      <c r="E22" s="39"/>
    </row>
    <row r="23" spans="1:5" ht="42" x14ac:dyDescent="0.5">
      <c r="A23" s="39" t="s">
        <v>3957</v>
      </c>
      <c r="B23" s="39" t="s">
        <v>3987</v>
      </c>
      <c r="C23" s="39"/>
      <c r="D23" s="39"/>
      <c r="E23" s="39"/>
    </row>
    <row r="24" spans="1:5" ht="63" x14ac:dyDescent="0.5">
      <c r="A24" s="39" t="s">
        <v>3958</v>
      </c>
      <c r="B24" s="112" t="s">
        <v>3986</v>
      </c>
      <c r="C24" s="39"/>
      <c r="D24" s="39"/>
      <c r="E24" s="39"/>
    </row>
    <row r="25" spans="1:5" ht="21" x14ac:dyDescent="0.5">
      <c r="A25" s="39" t="s">
        <v>3959</v>
      </c>
      <c r="B25" s="112" t="s">
        <v>3978</v>
      </c>
      <c r="C25" s="39"/>
      <c r="D25" s="39"/>
      <c r="E25" s="39"/>
    </row>
    <row r="26" spans="1:5" ht="42" x14ac:dyDescent="0.5">
      <c r="A26" s="39" t="s">
        <v>3960</v>
      </c>
      <c r="B26" s="112" t="s">
        <v>3973</v>
      </c>
      <c r="C26" s="39"/>
      <c r="D26" s="39"/>
      <c r="E26" s="39"/>
    </row>
    <row r="27" spans="1:5" ht="21" x14ac:dyDescent="0.5">
      <c r="A27" s="39" t="s">
        <v>3961</v>
      </c>
      <c r="B27" s="112" t="s">
        <v>3972</v>
      </c>
      <c r="C27" s="39"/>
      <c r="D27" s="39"/>
      <c r="E27" s="39"/>
    </row>
    <row r="28" spans="1:5" ht="42" x14ac:dyDescent="0.5">
      <c r="A28" s="39" t="s">
        <v>3962</v>
      </c>
      <c r="B28" s="112" t="s">
        <v>3971</v>
      </c>
      <c r="C28" s="39"/>
      <c r="D28" s="39"/>
      <c r="E28" s="39"/>
    </row>
    <row r="29" spans="1:5" ht="21" x14ac:dyDescent="0.5">
      <c r="A29" s="39" t="s">
        <v>3963</v>
      </c>
      <c r="B29" s="112" t="s">
        <v>3977</v>
      </c>
      <c r="C29" s="39"/>
      <c r="D29" s="39"/>
      <c r="E29" s="39"/>
    </row>
    <row r="30" spans="1:5" ht="21" x14ac:dyDescent="0.5">
      <c r="A30" s="39" t="s">
        <v>3964</v>
      </c>
      <c r="B30" s="112" t="s">
        <v>3965</v>
      </c>
      <c r="C30" s="39"/>
      <c r="D30" s="39"/>
      <c r="E30" s="39"/>
    </row>
    <row r="31" spans="1:5" ht="21" x14ac:dyDescent="0.5">
      <c r="A31" s="39" t="s">
        <v>3966</v>
      </c>
      <c r="B31" s="112" t="s">
        <v>3975</v>
      </c>
      <c r="C31" s="39"/>
      <c r="D31" s="39"/>
      <c r="E31" s="39"/>
    </row>
    <row r="32" spans="1:5" ht="21" x14ac:dyDescent="0.5">
      <c r="A32" s="39" t="s">
        <v>3967</v>
      </c>
      <c r="B32" s="112" t="s">
        <v>3970</v>
      </c>
      <c r="C32" s="39"/>
      <c r="D32" s="39"/>
      <c r="E32" s="39"/>
    </row>
    <row r="33" spans="1:5" ht="21" x14ac:dyDescent="0.5">
      <c r="A33" s="39" t="s">
        <v>3968</v>
      </c>
      <c r="B33" s="112" t="s">
        <v>3974</v>
      </c>
      <c r="C33" s="39"/>
      <c r="D33" s="39"/>
      <c r="E33" s="39"/>
    </row>
    <row r="34" spans="1:5" ht="21" x14ac:dyDescent="0.5">
      <c r="A34" s="39" t="s">
        <v>3969</v>
      </c>
      <c r="B34" s="112" t="s">
        <v>3976</v>
      </c>
      <c r="C34" s="39"/>
      <c r="D34" s="39"/>
      <c r="E34" s="39"/>
    </row>
  </sheetData>
  <mergeCells count="1">
    <mergeCell ref="A9:B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31DDB-C30E-4E45-B759-89DC45B570CB}">
  <dimension ref="A1:B10"/>
  <sheetViews>
    <sheetView workbookViewId="0"/>
  </sheetViews>
  <sheetFormatPr defaultRowHeight="14.5" x14ac:dyDescent="0.35"/>
  <cols>
    <col min="1" max="1" width="11.54296875" bestFit="1" customWidth="1"/>
    <col min="2" max="2" width="15.54296875" bestFit="1" customWidth="1"/>
  </cols>
  <sheetData>
    <row r="1" spans="1:2" ht="21" x14ac:dyDescent="0.5">
      <c r="A1" s="55" t="s">
        <v>3285</v>
      </c>
      <c r="B1" s="55" t="s">
        <v>4126</v>
      </c>
    </row>
    <row r="2" spans="1:2" ht="21" x14ac:dyDescent="0.5">
      <c r="A2" s="31" t="s">
        <v>9</v>
      </c>
      <c r="B2" s="31" t="s">
        <v>3911</v>
      </c>
    </row>
    <row r="3" spans="1:2" ht="21" x14ac:dyDescent="0.5">
      <c r="A3" s="31" t="s">
        <v>44</v>
      </c>
      <c r="B3" s="31" t="s">
        <v>3912</v>
      </c>
    </row>
    <row r="4" spans="1:2" ht="21" x14ac:dyDescent="0.5">
      <c r="A4" s="31" t="s">
        <v>45</v>
      </c>
      <c r="B4" s="31" t="s">
        <v>3913</v>
      </c>
    </row>
    <row r="5" spans="1:2" ht="21" x14ac:dyDescent="0.5">
      <c r="A5" s="31" t="s">
        <v>43</v>
      </c>
      <c r="B5" s="31" t="s">
        <v>3917</v>
      </c>
    </row>
    <row r="6" spans="1:2" ht="21" x14ac:dyDescent="0.5">
      <c r="A6" s="31" t="s">
        <v>41</v>
      </c>
      <c r="B6" s="31" t="s">
        <v>3918</v>
      </c>
    </row>
    <row r="7" spans="1:2" ht="21" x14ac:dyDescent="0.5">
      <c r="A7" s="31" t="s">
        <v>38</v>
      </c>
      <c r="B7" s="31" t="s">
        <v>3914</v>
      </c>
    </row>
    <row r="8" spans="1:2" ht="21" x14ac:dyDescent="0.5">
      <c r="A8" s="31" t="s">
        <v>40</v>
      </c>
      <c r="B8" s="31" t="s">
        <v>3916</v>
      </c>
    </row>
    <row r="9" spans="1:2" ht="21" x14ac:dyDescent="0.5">
      <c r="A9" s="31" t="s">
        <v>39</v>
      </c>
      <c r="B9" s="31" t="s">
        <v>3915</v>
      </c>
    </row>
    <row r="10" spans="1:2" ht="21" x14ac:dyDescent="0.5">
      <c r="A10" s="31" t="s">
        <v>46</v>
      </c>
      <c r="B10" s="31" t="s">
        <v>3918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751FD-15C1-4356-88B4-B8AE52B5FB59}">
  <dimension ref="A1:C86"/>
  <sheetViews>
    <sheetView topLeftCell="A56" workbookViewId="0">
      <selection activeCell="D70" sqref="D70"/>
    </sheetView>
  </sheetViews>
  <sheetFormatPr defaultRowHeight="14.5" x14ac:dyDescent="0.35"/>
  <cols>
    <col min="1" max="1" width="20.7265625" style="51" customWidth="1"/>
    <col min="2" max="2" width="14.26953125" style="51" customWidth="1"/>
    <col min="3" max="3" width="89.26953125" style="51" customWidth="1"/>
  </cols>
  <sheetData>
    <row r="1" spans="1:3" ht="21" x14ac:dyDescent="0.35">
      <c r="A1" s="29" t="s">
        <v>3285</v>
      </c>
      <c r="B1" s="29" t="s">
        <v>47</v>
      </c>
      <c r="C1" s="61" t="s">
        <v>3286</v>
      </c>
    </row>
    <row r="2" spans="1:3" ht="126" x14ac:dyDescent="0.35">
      <c r="A2" s="32" t="s">
        <v>3192</v>
      </c>
      <c r="B2" s="32">
        <v>1</v>
      </c>
      <c r="C2" s="62" t="s">
        <v>3287</v>
      </c>
    </row>
    <row r="3" spans="1:3" ht="84" x14ac:dyDescent="0.35">
      <c r="A3" s="32" t="s">
        <v>3192</v>
      </c>
      <c r="B3" s="32">
        <v>2</v>
      </c>
      <c r="C3" s="62" t="s">
        <v>3288</v>
      </c>
    </row>
    <row r="4" spans="1:3" ht="105" x14ac:dyDescent="0.35">
      <c r="A4" s="32" t="s">
        <v>3192</v>
      </c>
      <c r="B4" s="32">
        <v>3</v>
      </c>
      <c r="C4" s="62" t="s">
        <v>3289</v>
      </c>
    </row>
    <row r="5" spans="1:3" ht="63" x14ac:dyDescent="0.35">
      <c r="A5" s="32" t="s">
        <v>3192</v>
      </c>
      <c r="B5" s="32">
        <v>4</v>
      </c>
      <c r="C5" s="62" t="s">
        <v>3290</v>
      </c>
    </row>
    <row r="6" spans="1:3" ht="84" x14ac:dyDescent="0.35">
      <c r="A6" s="32" t="s">
        <v>3192</v>
      </c>
      <c r="B6" s="32">
        <v>5</v>
      </c>
      <c r="C6" s="62" t="s">
        <v>3291</v>
      </c>
    </row>
    <row r="7" spans="1:3" ht="63" x14ac:dyDescent="0.35">
      <c r="A7" s="32" t="s">
        <v>3192</v>
      </c>
      <c r="B7" s="32">
        <v>6</v>
      </c>
      <c r="C7" s="62" t="s">
        <v>3292</v>
      </c>
    </row>
    <row r="8" spans="1:3" ht="126" x14ac:dyDescent="0.35">
      <c r="A8" s="32" t="s">
        <v>3192</v>
      </c>
      <c r="B8" s="32">
        <v>7</v>
      </c>
      <c r="C8" s="62" t="s">
        <v>3293</v>
      </c>
    </row>
    <row r="9" spans="1:3" ht="105" x14ac:dyDescent="0.35">
      <c r="A9" s="32" t="s">
        <v>3192</v>
      </c>
      <c r="B9" s="32">
        <v>8</v>
      </c>
      <c r="C9" s="62" t="s">
        <v>3294</v>
      </c>
    </row>
    <row r="10" spans="1:3" ht="84" x14ac:dyDescent="0.35">
      <c r="A10" s="32" t="s">
        <v>3192</v>
      </c>
      <c r="B10" s="32">
        <v>9</v>
      </c>
      <c r="C10" s="62" t="s">
        <v>3295</v>
      </c>
    </row>
    <row r="11" spans="1:3" ht="84" x14ac:dyDescent="0.35">
      <c r="A11" s="32" t="s">
        <v>3192</v>
      </c>
      <c r="B11" s="32">
        <v>10</v>
      </c>
      <c r="C11" s="62" t="s">
        <v>3296</v>
      </c>
    </row>
    <row r="12" spans="1:3" ht="63" x14ac:dyDescent="0.35">
      <c r="A12" s="32" t="s">
        <v>3192</v>
      </c>
      <c r="B12" s="32">
        <v>11</v>
      </c>
      <c r="C12" s="62" t="s">
        <v>3297</v>
      </c>
    </row>
    <row r="13" spans="1:3" ht="84" x14ac:dyDescent="0.35">
      <c r="A13" s="32" t="s">
        <v>3192</v>
      </c>
      <c r="B13" s="32">
        <v>12</v>
      </c>
      <c r="C13" s="62" t="s">
        <v>3298</v>
      </c>
    </row>
    <row r="14" spans="1:3" ht="189" x14ac:dyDescent="0.35">
      <c r="A14" s="32" t="s">
        <v>3204</v>
      </c>
      <c r="B14" s="32">
        <v>1</v>
      </c>
      <c r="C14" s="62" t="s">
        <v>3299</v>
      </c>
    </row>
    <row r="15" spans="1:3" ht="63" x14ac:dyDescent="0.35">
      <c r="A15" s="32" t="s">
        <v>3204</v>
      </c>
      <c r="B15" s="32">
        <v>2</v>
      </c>
      <c r="C15" s="62" t="s">
        <v>3300</v>
      </c>
    </row>
    <row r="16" spans="1:3" ht="63" x14ac:dyDescent="0.35">
      <c r="A16" s="32" t="s">
        <v>3204</v>
      </c>
      <c r="B16" s="32">
        <v>3</v>
      </c>
      <c r="C16" s="62" t="s">
        <v>3301</v>
      </c>
    </row>
    <row r="17" spans="1:3" ht="84" x14ac:dyDescent="0.35">
      <c r="A17" s="32" t="s">
        <v>3204</v>
      </c>
      <c r="B17" s="32">
        <v>4</v>
      </c>
      <c r="C17" s="62" t="s">
        <v>3302</v>
      </c>
    </row>
    <row r="18" spans="1:3" ht="84" x14ac:dyDescent="0.35">
      <c r="A18" s="32" t="s">
        <v>3204</v>
      </c>
      <c r="B18" s="32">
        <v>5</v>
      </c>
      <c r="C18" s="62" t="s">
        <v>3303</v>
      </c>
    </row>
    <row r="19" spans="1:3" ht="84" x14ac:dyDescent="0.35">
      <c r="A19" s="32" t="s">
        <v>3204</v>
      </c>
      <c r="B19" s="32">
        <v>6</v>
      </c>
      <c r="C19" s="62" t="s">
        <v>3304</v>
      </c>
    </row>
    <row r="20" spans="1:3" ht="63" x14ac:dyDescent="0.35">
      <c r="A20" s="32" t="s">
        <v>3204</v>
      </c>
      <c r="B20" s="32">
        <v>7</v>
      </c>
      <c r="C20" s="62" t="s">
        <v>3305</v>
      </c>
    </row>
    <row r="21" spans="1:3" ht="84" x14ac:dyDescent="0.35">
      <c r="A21" s="32" t="s">
        <v>3204</v>
      </c>
      <c r="B21" s="32">
        <v>8</v>
      </c>
      <c r="C21" s="62" t="s">
        <v>3306</v>
      </c>
    </row>
    <row r="22" spans="1:3" ht="84" x14ac:dyDescent="0.35">
      <c r="A22" s="32" t="s">
        <v>3204</v>
      </c>
      <c r="B22" s="32">
        <v>9</v>
      </c>
      <c r="C22" s="62" t="s">
        <v>3307</v>
      </c>
    </row>
    <row r="23" spans="1:3" ht="63" x14ac:dyDescent="0.35">
      <c r="A23" s="32" t="s">
        <v>3204</v>
      </c>
      <c r="B23" s="32">
        <v>10</v>
      </c>
      <c r="C23" s="62" t="s">
        <v>3308</v>
      </c>
    </row>
    <row r="24" spans="1:3" ht="63" x14ac:dyDescent="0.35">
      <c r="A24" s="32" t="s">
        <v>3204</v>
      </c>
      <c r="B24" s="32">
        <v>11</v>
      </c>
      <c r="C24" s="62" t="s">
        <v>3309</v>
      </c>
    </row>
    <row r="25" spans="1:3" ht="63" x14ac:dyDescent="0.35">
      <c r="A25" s="32" t="s">
        <v>3204</v>
      </c>
      <c r="B25" s="32">
        <v>12</v>
      </c>
      <c r="C25" s="62" t="s">
        <v>3310</v>
      </c>
    </row>
    <row r="26" spans="1:3" ht="126" x14ac:dyDescent="0.35">
      <c r="A26" s="32" t="s">
        <v>3217</v>
      </c>
      <c r="B26" s="32">
        <v>1</v>
      </c>
      <c r="C26" s="33" t="s">
        <v>4726</v>
      </c>
    </row>
    <row r="27" spans="1:3" ht="63" x14ac:dyDescent="0.35">
      <c r="A27" s="32" t="s">
        <v>3217</v>
      </c>
      <c r="B27" s="32">
        <v>2</v>
      </c>
      <c r="C27" s="62" t="s">
        <v>3311</v>
      </c>
    </row>
    <row r="28" spans="1:3" ht="63" x14ac:dyDescent="0.35">
      <c r="A28" s="32" t="s">
        <v>3217</v>
      </c>
      <c r="B28" s="32">
        <v>3</v>
      </c>
      <c r="C28" s="62" t="s">
        <v>3312</v>
      </c>
    </row>
    <row r="29" spans="1:3" ht="63" x14ac:dyDescent="0.35">
      <c r="A29" s="32" t="s">
        <v>3217</v>
      </c>
      <c r="B29" s="32">
        <v>4</v>
      </c>
      <c r="C29" s="62" t="s">
        <v>3313</v>
      </c>
    </row>
    <row r="30" spans="1:3" ht="84" x14ac:dyDescent="0.35">
      <c r="A30" s="32" t="s">
        <v>3217</v>
      </c>
      <c r="B30" s="32">
        <v>5</v>
      </c>
      <c r="C30" s="62" t="s">
        <v>3314</v>
      </c>
    </row>
    <row r="31" spans="1:3" ht="63" x14ac:dyDescent="0.35">
      <c r="A31" s="32" t="s">
        <v>3217</v>
      </c>
      <c r="B31" s="32">
        <v>6</v>
      </c>
      <c r="C31" s="62" t="s">
        <v>3315</v>
      </c>
    </row>
    <row r="32" spans="1:3" ht="63" x14ac:dyDescent="0.35">
      <c r="A32" s="32" t="s">
        <v>3217</v>
      </c>
      <c r="B32" s="32">
        <v>7</v>
      </c>
      <c r="C32" s="62" t="s">
        <v>3316</v>
      </c>
    </row>
    <row r="33" spans="1:3" ht="42" x14ac:dyDescent="0.35">
      <c r="A33" s="32" t="s">
        <v>3217</v>
      </c>
      <c r="B33" s="32">
        <v>8</v>
      </c>
      <c r="C33" s="62" t="s">
        <v>3317</v>
      </c>
    </row>
    <row r="34" spans="1:3" ht="84" x14ac:dyDescent="0.35">
      <c r="A34" s="32" t="s">
        <v>3217</v>
      </c>
      <c r="B34" s="32">
        <v>9</v>
      </c>
      <c r="C34" s="62" t="s">
        <v>3318</v>
      </c>
    </row>
    <row r="35" spans="1:3" ht="63" x14ac:dyDescent="0.35">
      <c r="A35" s="32" t="s">
        <v>3217</v>
      </c>
      <c r="B35" s="32">
        <v>10</v>
      </c>
      <c r="C35" s="62" t="s">
        <v>3319</v>
      </c>
    </row>
    <row r="36" spans="1:3" ht="63" x14ac:dyDescent="0.35">
      <c r="A36" s="32" t="s">
        <v>3217</v>
      </c>
      <c r="B36" s="32">
        <v>11</v>
      </c>
      <c r="C36" s="62" t="s">
        <v>3320</v>
      </c>
    </row>
    <row r="37" spans="1:3" ht="42" x14ac:dyDescent="0.35">
      <c r="A37" s="32" t="s">
        <v>3217</v>
      </c>
      <c r="B37" s="32">
        <v>12</v>
      </c>
      <c r="C37" s="62" t="s">
        <v>3321</v>
      </c>
    </row>
    <row r="38" spans="1:3" ht="105" x14ac:dyDescent="0.35">
      <c r="A38" s="32" t="s">
        <v>3230</v>
      </c>
      <c r="B38" s="32">
        <v>1</v>
      </c>
      <c r="C38" s="62" t="s">
        <v>3322</v>
      </c>
    </row>
    <row r="39" spans="1:3" ht="42" x14ac:dyDescent="0.35">
      <c r="A39" s="32" t="s">
        <v>3230</v>
      </c>
      <c r="B39" s="32">
        <v>2</v>
      </c>
      <c r="C39" s="62" t="s">
        <v>3323</v>
      </c>
    </row>
    <row r="40" spans="1:3" ht="42" x14ac:dyDescent="0.35">
      <c r="A40" s="32" t="s">
        <v>3230</v>
      </c>
      <c r="B40" s="32">
        <v>3</v>
      </c>
      <c r="C40" s="62" t="s">
        <v>3324</v>
      </c>
    </row>
    <row r="41" spans="1:3" ht="84" x14ac:dyDescent="0.35">
      <c r="A41" s="32" t="s">
        <v>3230</v>
      </c>
      <c r="B41" s="32">
        <v>4</v>
      </c>
      <c r="C41" s="62" t="s">
        <v>3325</v>
      </c>
    </row>
    <row r="42" spans="1:3" ht="63" x14ac:dyDescent="0.35">
      <c r="A42" s="32" t="s">
        <v>3230</v>
      </c>
      <c r="B42" s="32">
        <v>5</v>
      </c>
      <c r="C42" s="62" t="s">
        <v>3326</v>
      </c>
    </row>
    <row r="43" spans="1:3" ht="84" x14ac:dyDescent="0.35">
      <c r="A43" s="32" t="s">
        <v>3230</v>
      </c>
      <c r="B43" s="32">
        <v>6</v>
      </c>
      <c r="C43" s="62" t="s">
        <v>3327</v>
      </c>
    </row>
    <row r="44" spans="1:3" ht="84" x14ac:dyDescent="0.35">
      <c r="A44" s="32" t="s">
        <v>3230</v>
      </c>
      <c r="B44" s="32">
        <v>7</v>
      </c>
      <c r="C44" s="62" t="s">
        <v>4678</v>
      </c>
    </row>
    <row r="45" spans="1:3" ht="84" x14ac:dyDescent="0.35">
      <c r="A45" s="32" t="s">
        <v>3230</v>
      </c>
      <c r="B45" s="32">
        <v>8</v>
      </c>
      <c r="C45" s="62" t="s">
        <v>3328</v>
      </c>
    </row>
    <row r="46" spans="1:3" ht="63" x14ac:dyDescent="0.35">
      <c r="A46" s="32" t="s">
        <v>3230</v>
      </c>
      <c r="B46" s="32">
        <v>9</v>
      </c>
      <c r="C46" s="62" t="s">
        <v>3329</v>
      </c>
    </row>
    <row r="47" spans="1:3" ht="63" x14ac:dyDescent="0.35">
      <c r="A47" s="32" t="s">
        <v>3230</v>
      </c>
      <c r="B47" s="32">
        <v>10</v>
      </c>
      <c r="C47" s="62" t="s">
        <v>3330</v>
      </c>
    </row>
    <row r="48" spans="1:3" ht="63" x14ac:dyDescent="0.35">
      <c r="A48" s="32" t="s">
        <v>3230</v>
      </c>
      <c r="B48" s="32">
        <v>11</v>
      </c>
      <c r="C48" s="62" t="s">
        <v>3331</v>
      </c>
    </row>
    <row r="49" spans="1:3" ht="63" x14ac:dyDescent="0.35">
      <c r="A49" s="32" t="s">
        <v>3230</v>
      </c>
      <c r="B49" s="32">
        <v>12</v>
      </c>
      <c r="C49" s="62" t="s">
        <v>3332</v>
      </c>
    </row>
    <row r="50" spans="1:3" ht="147" x14ac:dyDescent="0.35">
      <c r="A50" s="32" t="s">
        <v>3242</v>
      </c>
      <c r="B50" s="32">
        <v>1</v>
      </c>
      <c r="C50" s="62" t="s">
        <v>3333</v>
      </c>
    </row>
    <row r="51" spans="1:3" ht="63" x14ac:dyDescent="0.35">
      <c r="A51" s="32" t="s">
        <v>3242</v>
      </c>
      <c r="B51" s="32">
        <v>2</v>
      </c>
      <c r="C51" s="62" t="s">
        <v>3334</v>
      </c>
    </row>
    <row r="52" spans="1:3" ht="84" x14ac:dyDescent="0.35">
      <c r="A52" s="32" t="s">
        <v>3242</v>
      </c>
      <c r="B52" s="32">
        <v>3</v>
      </c>
      <c r="C52" s="62" t="s">
        <v>3335</v>
      </c>
    </row>
    <row r="53" spans="1:3" ht="63" x14ac:dyDescent="0.35">
      <c r="A53" s="32" t="s">
        <v>3242</v>
      </c>
      <c r="B53" s="32">
        <v>4</v>
      </c>
      <c r="C53" s="62" t="s">
        <v>3336</v>
      </c>
    </row>
    <row r="54" spans="1:3" ht="63" x14ac:dyDescent="0.35">
      <c r="A54" s="32" t="s">
        <v>3242</v>
      </c>
      <c r="B54" s="32">
        <v>5</v>
      </c>
      <c r="C54" s="62" t="s">
        <v>3337</v>
      </c>
    </row>
    <row r="55" spans="1:3" ht="189" x14ac:dyDescent="0.35">
      <c r="A55" s="32" t="s">
        <v>3242</v>
      </c>
      <c r="B55" s="32">
        <v>6</v>
      </c>
      <c r="C55" s="62" t="s">
        <v>3338</v>
      </c>
    </row>
    <row r="56" spans="1:3" ht="63" x14ac:dyDescent="0.35">
      <c r="A56" s="32" t="s">
        <v>3242</v>
      </c>
      <c r="B56" s="32">
        <v>7</v>
      </c>
      <c r="C56" s="62" t="s">
        <v>3339</v>
      </c>
    </row>
    <row r="57" spans="1:3" ht="84" x14ac:dyDescent="0.35">
      <c r="A57" s="32" t="s">
        <v>3242</v>
      </c>
      <c r="B57" s="32">
        <v>8</v>
      </c>
      <c r="C57" s="62" t="s">
        <v>3340</v>
      </c>
    </row>
    <row r="58" spans="1:3" ht="63" x14ac:dyDescent="0.35">
      <c r="A58" s="32" t="s">
        <v>3242</v>
      </c>
      <c r="B58" s="32">
        <v>9</v>
      </c>
      <c r="C58" s="62" t="s">
        <v>3341</v>
      </c>
    </row>
    <row r="59" spans="1:3" ht="84" x14ac:dyDescent="0.35">
      <c r="A59" s="32" t="s">
        <v>3242</v>
      </c>
      <c r="B59" s="32">
        <v>10</v>
      </c>
      <c r="C59" s="62" t="s">
        <v>3342</v>
      </c>
    </row>
    <row r="60" spans="1:3" ht="63" x14ac:dyDescent="0.35">
      <c r="A60" s="32" t="s">
        <v>3242</v>
      </c>
      <c r="B60" s="32">
        <v>11</v>
      </c>
      <c r="C60" s="62" t="s">
        <v>3343</v>
      </c>
    </row>
    <row r="61" spans="1:3" ht="105" x14ac:dyDescent="0.35">
      <c r="A61" s="32" t="s">
        <v>3242</v>
      </c>
      <c r="B61" s="32">
        <v>12</v>
      </c>
      <c r="C61" s="62" t="s">
        <v>3344</v>
      </c>
    </row>
    <row r="62" spans="1:3" ht="126" x14ac:dyDescent="0.35">
      <c r="A62" s="60" t="s">
        <v>3254</v>
      </c>
      <c r="B62" s="32">
        <v>1</v>
      </c>
      <c r="C62" s="62" t="s">
        <v>3345</v>
      </c>
    </row>
    <row r="63" spans="1:3" ht="84" x14ac:dyDescent="0.35">
      <c r="A63" s="60" t="s">
        <v>3254</v>
      </c>
      <c r="B63" s="32">
        <v>2</v>
      </c>
      <c r="C63" s="62" t="s">
        <v>3346</v>
      </c>
    </row>
    <row r="64" spans="1:3" ht="63" x14ac:dyDescent="0.35">
      <c r="A64" s="60" t="s">
        <v>3254</v>
      </c>
      <c r="B64" s="32">
        <v>3</v>
      </c>
      <c r="C64" s="62" t="s">
        <v>3347</v>
      </c>
    </row>
    <row r="65" spans="1:3" ht="84" x14ac:dyDescent="0.35">
      <c r="A65" s="60" t="s">
        <v>3254</v>
      </c>
      <c r="B65" s="32">
        <v>4</v>
      </c>
      <c r="C65" s="62" t="s">
        <v>3348</v>
      </c>
    </row>
    <row r="66" spans="1:3" ht="63" x14ac:dyDescent="0.35">
      <c r="A66" s="60" t="s">
        <v>3254</v>
      </c>
      <c r="B66" s="32">
        <v>5</v>
      </c>
      <c r="C66" s="62" t="s">
        <v>3349</v>
      </c>
    </row>
    <row r="67" spans="1:3" ht="84" x14ac:dyDescent="0.35">
      <c r="A67" s="60" t="s">
        <v>3254</v>
      </c>
      <c r="B67" s="32">
        <v>6</v>
      </c>
      <c r="C67" s="62" t="s">
        <v>3350</v>
      </c>
    </row>
    <row r="68" spans="1:3" ht="84" x14ac:dyDescent="0.35">
      <c r="A68" s="60" t="s">
        <v>3254</v>
      </c>
      <c r="B68" s="32">
        <v>7</v>
      </c>
      <c r="C68" s="62" t="s">
        <v>3351</v>
      </c>
    </row>
    <row r="69" spans="1:3" ht="63" x14ac:dyDescent="0.35">
      <c r="A69" s="60" t="s">
        <v>3254</v>
      </c>
      <c r="B69" s="32">
        <v>8</v>
      </c>
      <c r="C69" s="62" t="s">
        <v>3352</v>
      </c>
    </row>
    <row r="70" spans="1:3" ht="84" x14ac:dyDescent="0.35">
      <c r="A70" s="60" t="s">
        <v>3254</v>
      </c>
      <c r="B70" s="32">
        <v>9</v>
      </c>
      <c r="C70" s="62" t="s">
        <v>4679</v>
      </c>
    </row>
    <row r="71" spans="1:3" ht="126" x14ac:dyDescent="0.35">
      <c r="A71" s="60" t="s">
        <v>3254</v>
      </c>
      <c r="B71" s="32">
        <v>10</v>
      </c>
      <c r="C71" s="62" t="s">
        <v>3353</v>
      </c>
    </row>
    <row r="72" spans="1:3" ht="63" x14ac:dyDescent="0.35">
      <c r="A72" s="60" t="s">
        <v>3254</v>
      </c>
      <c r="B72" s="32">
        <v>11</v>
      </c>
      <c r="C72" s="62" t="s">
        <v>3354</v>
      </c>
    </row>
    <row r="73" spans="1:3" ht="84" x14ac:dyDescent="0.35">
      <c r="A73" s="60" t="s">
        <v>3254</v>
      </c>
      <c r="B73" s="32">
        <v>12</v>
      </c>
      <c r="C73" s="62" t="s">
        <v>3355</v>
      </c>
    </row>
    <row r="74" spans="1:3" ht="126" x14ac:dyDescent="0.35">
      <c r="A74" s="60" t="s">
        <v>3266</v>
      </c>
      <c r="B74" s="32">
        <v>1</v>
      </c>
      <c r="C74" s="62" t="s">
        <v>3356</v>
      </c>
    </row>
    <row r="75" spans="1:3" ht="63" x14ac:dyDescent="0.35">
      <c r="A75" s="60" t="s">
        <v>3266</v>
      </c>
      <c r="B75" s="32">
        <v>2</v>
      </c>
      <c r="C75" s="62" t="s">
        <v>3357</v>
      </c>
    </row>
    <row r="76" spans="1:3" ht="63" x14ac:dyDescent="0.35">
      <c r="A76" s="60" t="s">
        <v>3266</v>
      </c>
      <c r="B76" s="32">
        <v>3</v>
      </c>
      <c r="C76" s="62" t="s">
        <v>3358</v>
      </c>
    </row>
    <row r="77" spans="1:3" ht="105" x14ac:dyDescent="0.35">
      <c r="A77" s="60" t="s">
        <v>3266</v>
      </c>
      <c r="B77" s="32">
        <v>4</v>
      </c>
      <c r="C77" s="62" t="s">
        <v>3359</v>
      </c>
    </row>
    <row r="78" spans="1:3" ht="84" x14ac:dyDescent="0.35">
      <c r="A78" s="60" t="s">
        <v>3266</v>
      </c>
      <c r="B78" s="32">
        <v>5</v>
      </c>
      <c r="C78" s="62" t="s">
        <v>3360</v>
      </c>
    </row>
    <row r="79" spans="1:3" ht="63" x14ac:dyDescent="0.35">
      <c r="A79" s="60" t="s">
        <v>3266</v>
      </c>
      <c r="B79" s="32">
        <v>6</v>
      </c>
      <c r="C79" s="62" t="s">
        <v>3361</v>
      </c>
    </row>
    <row r="80" spans="1:3" ht="84" x14ac:dyDescent="0.35">
      <c r="A80" s="60" t="s">
        <v>3266</v>
      </c>
      <c r="B80" s="32">
        <v>7</v>
      </c>
      <c r="C80" s="62" t="s">
        <v>3362</v>
      </c>
    </row>
    <row r="81" spans="1:3" ht="105" x14ac:dyDescent="0.35">
      <c r="A81" s="60" t="s">
        <v>3266</v>
      </c>
      <c r="B81" s="32">
        <v>8</v>
      </c>
      <c r="C81" s="62" t="s">
        <v>3363</v>
      </c>
    </row>
    <row r="82" spans="1:3" ht="63" x14ac:dyDescent="0.35">
      <c r="A82" s="60" t="s">
        <v>3266</v>
      </c>
      <c r="B82" s="32">
        <v>9</v>
      </c>
      <c r="C82" s="62" t="s">
        <v>3364</v>
      </c>
    </row>
    <row r="83" spans="1:3" ht="252" x14ac:dyDescent="0.35">
      <c r="A83" s="60" t="s">
        <v>3266</v>
      </c>
      <c r="B83" s="32">
        <v>10</v>
      </c>
      <c r="C83" s="62" t="s">
        <v>3365</v>
      </c>
    </row>
    <row r="84" spans="1:3" ht="84" x14ac:dyDescent="0.35">
      <c r="A84" s="60" t="s">
        <v>3266</v>
      </c>
      <c r="B84" s="32">
        <v>11</v>
      </c>
      <c r="C84" s="62" t="s">
        <v>3366</v>
      </c>
    </row>
    <row r="85" spans="1:3" ht="105" x14ac:dyDescent="0.35">
      <c r="A85" s="60" t="s">
        <v>3266</v>
      </c>
      <c r="B85" s="32">
        <v>12</v>
      </c>
      <c r="C85" s="62" t="s">
        <v>3367</v>
      </c>
    </row>
    <row r="86" spans="1:3" ht="21" x14ac:dyDescent="0.35">
      <c r="A86" s="73" t="s">
        <v>3368</v>
      </c>
      <c r="B86" s="29"/>
      <c r="C86" s="61"/>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D4FD-A055-45C2-BC24-817EDC8B3D21}">
  <dimension ref="B1:K11"/>
  <sheetViews>
    <sheetView workbookViewId="0">
      <selection activeCell="M5" sqref="M5"/>
    </sheetView>
  </sheetViews>
  <sheetFormatPr defaultRowHeight="14.5" x14ac:dyDescent="0.35"/>
  <cols>
    <col min="2" max="2" width="11.54296875" bestFit="1" customWidth="1"/>
    <col min="3" max="5" width="11.1796875" bestFit="1" customWidth="1"/>
    <col min="6" max="6" width="11.54296875" bestFit="1" customWidth="1"/>
    <col min="7" max="11" width="11.1796875" bestFit="1" customWidth="1"/>
  </cols>
  <sheetData>
    <row r="1" spans="2:11" ht="21.5" thickBot="1" x14ac:dyDescent="0.55000000000000004">
      <c r="B1" s="322" t="s">
        <v>4472</v>
      </c>
      <c r="C1" s="322"/>
      <c r="D1" s="322"/>
      <c r="E1" s="322"/>
      <c r="F1" s="322"/>
      <c r="G1" s="322"/>
      <c r="H1" s="322"/>
      <c r="I1" s="322"/>
      <c r="J1" s="322"/>
      <c r="K1" s="322"/>
    </row>
    <row r="2" spans="2:11" ht="21" x14ac:dyDescent="0.5">
      <c r="B2" s="116"/>
      <c r="C2" s="117" t="s">
        <v>9</v>
      </c>
      <c r="D2" s="117" t="s">
        <v>44</v>
      </c>
      <c r="E2" s="117" t="s">
        <v>45</v>
      </c>
      <c r="F2" s="117" t="s">
        <v>43</v>
      </c>
      <c r="G2" s="117" t="s">
        <v>41</v>
      </c>
      <c r="H2" s="117" t="s">
        <v>38</v>
      </c>
      <c r="I2" s="117" t="s">
        <v>40</v>
      </c>
      <c r="J2" s="117" t="s">
        <v>39</v>
      </c>
      <c r="K2" s="118" t="s">
        <v>46</v>
      </c>
    </row>
    <row r="3" spans="2:11" ht="21" x14ac:dyDescent="0.5">
      <c r="B3" s="119" t="s">
        <v>9</v>
      </c>
      <c r="C3" s="120"/>
      <c r="D3" s="31" t="s">
        <v>4019</v>
      </c>
      <c r="E3" s="31" t="s">
        <v>4019</v>
      </c>
      <c r="F3" s="31" t="s">
        <v>4020</v>
      </c>
      <c r="G3" s="31" t="s">
        <v>4019</v>
      </c>
      <c r="H3" s="31" t="s">
        <v>4021</v>
      </c>
      <c r="I3" s="31" t="s">
        <v>4021</v>
      </c>
      <c r="J3" s="31" t="s">
        <v>4021</v>
      </c>
      <c r="K3" s="121" t="s">
        <v>4021</v>
      </c>
    </row>
    <row r="4" spans="2:11" ht="21" x14ac:dyDescent="0.5">
      <c r="B4" s="119" t="s">
        <v>44</v>
      </c>
      <c r="C4" s="31" t="s">
        <v>4019</v>
      </c>
      <c r="D4" s="120"/>
      <c r="E4" s="31" t="s">
        <v>4020</v>
      </c>
      <c r="F4" s="31" t="s">
        <v>4019</v>
      </c>
      <c r="G4" s="31" t="s">
        <v>4020</v>
      </c>
      <c r="H4" s="31" t="s">
        <v>4020</v>
      </c>
      <c r="I4" s="31" t="s">
        <v>4020</v>
      </c>
      <c r="J4" s="31" t="s">
        <v>4021</v>
      </c>
      <c r="K4" s="121" t="s">
        <v>4021</v>
      </c>
    </row>
    <row r="5" spans="2:11" ht="21" x14ac:dyDescent="0.5">
      <c r="B5" s="119" t="s">
        <v>45</v>
      </c>
      <c r="C5" s="31" t="s">
        <v>4019</v>
      </c>
      <c r="D5" s="31" t="s">
        <v>4019</v>
      </c>
      <c r="E5" s="120"/>
      <c r="F5" s="31" t="s">
        <v>4021</v>
      </c>
      <c r="G5" s="31" t="s">
        <v>4019</v>
      </c>
      <c r="H5" s="31" t="s">
        <v>4020</v>
      </c>
      <c r="I5" s="31" t="s">
        <v>4020</v>
      </c>
      <c r="J5" s="31" t="s">
        <v>4021</v>
      </c>
      <c r="K5" s="121" t="s">
        <v>4019</v>
      </c>
    </row>
    <row r="6" spans="2:11" ht="21" x14ac:dyDescent="0.5">
      <c r="B6" s="119" t="s">
        <v>43</v>
      </c>
      <c r="C6" s="31" t="s">
        <v>4019</v>
      </c>
      <c r="D6" s="31" t="s">
        <v>4021</v>
      </c>
      <c r="E6" s="31" t="s">
        <v>4020</v>
      </c>
      <c r="F6" s="120"/>
      <c r="G6" s="31" t="s">
        <v>4020</v>
      </c>
      <c r="H6" s="31" t="s">
        <v>4019</v>
      </c>
      <c r="I6" s="31" t="s">
        <v>4020</v>
      </c>
      <c r="J6" s="31" t="s">
        <v>4020</v>
      </c>
      <c r="K6" s="121" t="s">
        <v>4020</v>
      </c>
    </row>
    <row r="7" spans="2:11" ht="21" x14ac:dyDescent="0.5">
      <c r="B7" s="119" t="s">
        <v>41</v>
      </c>
      <c r="C7" s="31" t="s">
        <v>4019</v>
      </c>
      <c r="D7" s="31" t="s">
        <v>4019</v>
      </c>
      <c r="E7" s="31" t="s">
        <v>4019</v>
      </c>
      <c r="F7" s="31" t="s">
        <v>4021</v>
      </c>
      <c r="G7" s="120"/>
      <c r="H7" s="31" t="s">
        <v>4021</v>
      </c>
      <c r="I7" s="31" t="s">
        <v>4020</v>
      </c>
      <c r="J7" s="31" t="s">
        <v>4020</v>
      </c>
      <c r="K7" s="121" t="s">
        <v>4020</v>
      </c>
    </row>
    <row r="8" spans="2:11" ht="21" x14ac:dyDescent="0.5">
      <c r="B8" s="119" t="s">
        <v>38</v>
      </c>
      <c r="C8" s="31" t="s">
        <v>4021</v>
      </c>
      <c r="D8" s="31" t="s">
        <v>4021</v>
      </c>
      <c r="E8" s="31" t="s">
        <v>4020</v>
      </c>
      <c r="F8" s="31" t="s">
        <v>4019</v>
      </c>
      <c r="G8" s="31" t="s">
        <v>4020</v>
      </c>
      <c r="H8" s="120"/>
      <c r="I8" s="31" t="s">
        <v>4019</v>
      </c>
      <c r="J8" s="31" t="s">
        <v>4019</v>
      </c>
      <c r="K8" s="121" t="s">
        <v>4019</v>
      </c>
    </row>
    <row r="9" spans="2:11" ht="21" x14ac:dyDescent="0.5">
      <c r="B9" s="119" t="s">
        <v>40</v>
      </c>
      <c r="C9" s="31" t="s">
        <v>4021</v>
      </c>
      <c r="D9" s="31" t="s">
        <v>4021</v>
      </c>
      <c r="E9" s="31" t="s">
        <v>4021</v>
      </c>
      <c r="F9" s="31" t="s">
        <v>4019</v>
      </c>
      <c r="G9" s="31" t="s">
        <v>4020</v>
      </c>
      <c r="H9" s="31" t="s">
        <v>4019</v>
      </c>
      <c r="I9" s="120"/>
      <c r="J9" s="31" t="s">
        <v>4019</v>
      </c>
      <c r="K9" s="121" t="s">
        <v>4021</v>
      </c>
    </row>
    <row r="10" spans="2:11" ht="21" x14ac:dyDescent="0.5">
      <c r="B10" s="119" t="s">
        <v>39</v>
      </c>
      <c r="C10" s="31" t="s">
        <v>4021</v>
      </c>
      <c r="D10" s="31" t="s">
        <v>4021</v>
      </c>
      <c r="E10" s="31" t="s">
        <v>4021</v>
      </c>
      <c r="F10" s="31" t="s">
        <v>4020</v>
      </c>
      <c r="G10" s="31" t="s">
        <v>4020</v>
      </c>
      <c r="H10" s="31" t="s">
        <v>4019</v>
      </c>
      <c r="I10" s="31" t="s">
        <v>4019</v>
      </c>
      <c r="J10" s="120"/>
      <c r="K10" s="121" t="s">
        <v>4021</v>
      </c>
    </row>
    <row r="11" spans="2:11" ht="21.5" thickBot="1" x14ac:dyDescent="0.55000000000000004">
      <c r="B11" s="122" t="s">
        <v>46</v>
      </c>
      <c r="C11" s="123" t="s">
        <v>4021</v>
      </c>
      <c r="D11" s="123" t="s">
        <v>4021</v>
      </c>
      <c r="E11" s="123" t="s">
        <v>4019</v>
      </c>
      <c r="F11" s="123" t="s">
        <v>4020</v>
      </c>
      <c r="G11" s="123" t="s">
        <v>4020</v>
      </c>
      <c r="H11" s="123" t="s">
        <v>4019</v>
      </c>
      <c r="I11" s="123" t="s">
        <v>4021</v>
      </c>
      <c r="J11" s="123" t="s">
        <v>4021</v>
      </c>
      <c r="K11" s="124"/>
    </row>
  </sheetData>
  <mergeCells count="1">
    <mergeCell ref="B1:K1"/>
  </mergeCells>
  <conditionalFormatting sqref="C3:K11">
    <cfRule type="cellIs" dxfId="2" priority="1" operator="equal">
      <formula>"Neutral"</formula>
    </cfRule>
    <cfRule type="cellIs" dxfId="1" priority="2" operator="equal">
      <formula>"Friendly"</formula>
    </cfRule>
    <cfRule type="cellIs" dxfId="0" priority="3" operator="equal">
      <formula>"Enemy"</formula>
    </cfRule>
  </conditionalFormatting>
  <dataValidations count="1">
    <dataValidation type="list" allowBlank="1" showInputMessage="1" showErrorMessage="1" sqref="D3:K3 E4:K4 F5:K5 G6:K6 H7:K7 I8:K8 J9:K9 K10 C4:C11 D5:D11 E6:E11 F7:F11 G8:G11 H9:H11 I10:I11 J11" xr:uid="{CFADDEAC-3D99-45FA-8939-D36AE3B410DF}">
      <formula1>"Friendly,Enemy,Neutral"</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C7DF-3919-4A29-864D-6453E1552AAB}">
  <dimension ref="A1:A52"/>
  <sheetViews>
    <sheetView topLeftCell="A36" workbookViewId="0">
      <selection activeCell="A2" sqref="A2"/>
    </sheetView>
  </sheetViews>
  <sheetFormatPr defaultRowHeight="14.5" x14ac:dyDescent="0.35"/>
  <cols>
    <col min="1" max="1" width="29.7265625" bestFit="1" customWidth="1"/>
  </cols>
  <sheetData>
    <row r="1" spans="1:1" ht="21" x14ac:dyDescent="0.5">
      <c r="A1" s="55" t="s">
        <v>4022</v>
      </c>
    </row>
    <row r="2" spans="1:1" x14ac:dyDescent="0.35">
      <c r="A2" s="113" t="s">
        <v>3907</v>
      </c>
    </row>
    <row r="3" spans="1:1" x14ac:dyDescent="0.35">
      <c r="A3" s="113" t="s">
        <v>3908</v>
      </c>
    </row>
    <row r="4" spans="1:1" x14ac:dyDescent="0.35">
      <c r="A4" s="113" t="s">
        <v>3862</v>
      </c>
    </row>
    <row r="5" spans="1:1" x14ac:dyDescent="0.35">
      <c r="A5" s="113" t="s">
        <v>3872</v>
      </c>
    </row>
    <row r="6" spans="1:1" x14ac:dyDescent="0.35">
      <c r="A6" s="113" t="s">
        <v>3906</v>
      </c>
    </row>
    <row r="7" spans="1:1" x14ac:dyDescent="0.35">
      <c r="A7" s="113" t="s">
        <v>3859</v>
      </c>
    </row>
    <row r="8" spans="1:1" x14ac:dyDescent="0.35">
      <c r="A8" s="113" t="s">
        <v>3886</v>
      </c>
    </row>
    <row r="9" spans="1:1" x14ac:dyDescent="0.35">
      <c r="A9" s="113" t="s">
        <v>3899</v>
      </c>
    </row>
    <row r="10" spans="1:1" x14ac:dyDescent="0.35">
      <c r="A10" s="113" t="s">
        <v>3896</v>
      </c>
    </row>
    <row r="11" spans="1:1" x14ac:dyDescent="0.35">
      <c r="A11" s="113" t="s">
        <v>3869</v>
      </c>
    </row>
    <row r="12" spans="1:1" x14ac:dyDescent="0.35">
      <c r="A12" s="113" t="s">
        <v>3873</v>
      </c>
    </row>
    <row r="13" spans="1:1" x14ac:dyDescent="0.35">
      <c r="A13" s="113" t="s">
        <v>3874</v>
      </c>
    </row>
    <row r="14" spans="1:1" x14ac:dyDescent="0.35">
      <c r="A14" s="113" t="s">
        <v>3881</v>
      </c>
    </row>
    <row r="15" spans="1:1" x14ac:dyDescent="0.35">
      <c r="A15" s="113" t="s">
        <v>3903</v>
      </c>
    </row>
    <row r="16" spans="1:1" x14ac:dyDescent="0.35">
      <c r="A16" s="113" t="s">
        <v>3883</v>
      </c>
    </row>
    <row r="17" spans="1:1" x14ac:dyDescent="0.35">
      <c r="A17" s="113" t="s">
        <v>3894</v>
      </c>
    </row>
    <row r="18" spans="1:1" x14ac:dyDescent="0.35">
      <c r="A18" s="113" t="s">
        <v>3867</v>
      </c>
    </row>
    <row r="19" spans="1:1" x14ac:dyDescent="0.35">
      <c r="A19" s="113" t="s">
        <v>3905</v>
      </c>
    </row>
    <row r="20" spans="1:1" x14ac:dyDescent="0.35">
      <c r="A20" s="113" t="s">
        <v>3891</v>
      </c>
    </row>
    <row r="21" spans="1:1" x14ac:dyDescent="0.35">
      <c r="A21" s="113" t="s">
        <v>3212</v>
      </c>
    </row>
    <row r="22" spans="1:1" x14ac:dyDescent="0.35">
      <c r="A22" s="113" t="s">
        <v>3876</v>
      </c>
    </row>
    <row r="23" spans="1:1" x14ac:dyDescent="0.35">
      <c r="A23" s="113" t="s">
        <v>3895</v>
      </c>
    </row>
    <row r="24" spans="1:1" x14ac:dyDescent="0.35">
      <c r="A24" s="113" t="s">
        <v>3902</v>
      </c>
    </row>
    <row r="25" spans="1:1" x14ac:dyDescent="0.35">
      <c r="A25" s="113" t="s">
        <v>3889</v>
      </c>
    </row>
    <row r="26" spans="1:1" x14ac:dyDescent="0.35">
      <c r="A26" s="113" t="s">
        <v>3860</v>
      </c>
    </row>
    <row r="27" spans="1:1" x14ac:dyDescent="0.35">
      <c r="A27" s="113" t="s">
        <v>3887</v>
      </c>
    </row>
    <row r="28" spans="1:1" x14ac:dyDescent="0.35">
      <c r="A28" s="113" t="s">
        <v>3875</v>
      </c>
    </row>
    <row r="29" spans="1:1" x14ac:dyDescent="0.35">
      <c r="A29" s="113" t="s">
        <v>3898</v>
      </c>
    </row>
    <row r="30" spans="1:1" x14ac:dyDescent="0.35">
      <c r="A30" s="113" t="s">
        <v>3879</v>
      </c>
    </row>
    <row r="31" spans="1:1" x14ac:dyDescent="0.35">
      <c r="A31" s="113" t="s">
        <v>3870</v>
      </c>
    </row>
    <row r="32" spans="1:1" x14ac:dyDescent="0.35">
      <c r="A32" s="113" t="s">
        <v>3861</v>
      </c>
    </row>
    <row r="33" spans="1:1" x14ac:dyDescent="0.35">
      <c r="A33" s="113" t="s">
        <v>3900</v>
      </c>
    </row>
    <row r="34" spans="1:1" x14ac:dyDescent="0.35">
      <c r="A34" s="113" t="s">
        <v>3878</v>
      </c>
    </row>
    <row r="35" spans="1:1" x14ac:dyDescent="0.35">
      <c r="A35" s="113" t="s">
        <v>3892</v>
      </c>
    </row>
    <row r="36" spans="1:1" x14ac:dyDescent="0.35">
      <c r="A36" s="113" t="s">
        <v>3864</v>
      </c>
    </row>
    <row r="37" spans="1:1" x14ac:dyDescent="0.35">
      <c r="A37" s="113" t="s">
        <v>3884</v>
      </c>
    </row>
    <row r="38" spans="1:1" x14ac:dyDescent="0.35">
      <c r="A38" s="113" t="s">
        <v>3865</v>
      </c>
    </row>
    <row r="39" spans="1:1" x14ac:dyDescent="0.35">
      <c r="A39" s="113" t="s">
        <v>3863</v>
      </c>
    </row>
    <row r="40" spans="1:1" x14ac:dyDescent="0.35">
      <c r="A40" s="113" t="s">
        <v>3890</v>
      </c>
    </row>
    <row r="41" spans="1:1" x14ac:dyDescent="0.35">
      <c r="A41" s="113" t="s">
        <v>3866</v>
      </c>
    </row>
    <row r="42" spans="1:1" x14ac:dyDescent="0.35">
      <c r="A42" s="113" t="s">
        <v>3880</v>
      </c>
    </row>
    <row r="43" spans="1:1" x14ac:dyDescent="0.35">
      <c r="A43" s="113" t="s">
        <v>3904</v>
      </c>
    </row>
    <row r="44" spans="1:1" x14ac:dyDescent="0.35">
      <c r="A44" s="113" t="s">
        <v>3871</v>
      </c>
    </row>
    <row r="45" spans="1:1" x14ac:dyDescent="0.35">
      <c r="A45" s="113" t="s">
        <v>3897</v>
      </c>
    </row>
    <row r="46" spans="1:1" x14ac:dyDescent="0.35">
      <c r="A46" s="113" t="s">
        <v>3901</v>
      </c>
    </row>
    <row r="47" spans="1:1" x14ac:dyDescent="0.35">
      <c r="A47" s="113" t="s">
        <v>3893</v>
      </c>
    </row>
    <row r="48" spans="1:1" x14ac:dyDescent="0.35">
      <c r="A48" s="113" t="s">
        <v>3877</v>
      </c>
    </row>
    <row r="49" spans="1:1" x14ac:dyDescent="0.35">
      <c r="A49" s="113" t="s">
        <v>3882</v>
      </c>
    </row>
    <row r="50" spans="1:1" x14ac:dyDescent="0.35">
      <c r="A50" s="113" t="s">
        <v>3868</v>
      </c>
    </row>
    <row r="51" spans="1:1" x14ac:dyDescent="0.35">
      <c r="A51" s="113" t="s">
        <v>3885</v>
      </c>
    </row>
    <row r="52" spans="1:1" x14ac:dyDescent="0.35">
      <c r="A52" s="113" t="s">
        <v>3888</v>
      </c>
    </row>
  </sheetData>
  <sortState xmlns:xlrd2="http://schemas.microsoft.com/office/spreadsheetml/2017/richdata2" ref="A3:A52">
    <sortCondition ref="A3:A52"/>
  </sortState>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topLeftCell="A27" zoomScaleNormal="100" workbookViewId="0">
      <selection activeCell="B32" sqref="B32:C32"/>
    </sheetView>
  </sheetViews>
  <sheetFormatPr defaultColWidth="8.81640625" defaultRowHeight="21" x14ac:dyDescent="0.5"/>
  <cols>
    <col min="1" max="1" width="69.453125" style="28" customWidth="1"/>
    <col min="2" max="2" width="47" style="27" customWidth="1"/>
    <col min="3" max="3" width="70" style="28" customWidth="1"/>
    <col min="4" max="4" width="24" style="26" customWidth="1"/>
    <col min="5" max="5" width="29.81640625" style="26" customWidth="1"/>
    <col min="6" max="6" width="15.1796875" style="26" customWidth="1"/>
    <col min="7" max="8" width="8.81640625" style="26"/>
    <col min="9" max="9" width="14.81640625" style="26" bestFit="1" customWidth="1"/>
    <col min="10" max="16384" width="8.81640625" style="26"/>
  </cols>
  <sheetData>
    <row r="1" spans="1:6" ht="23.5" x14ac:dyDescent="0.55000000000000004">
      <c r="A1" s="102" t="s">
        <v>4</v>
      </c>
      <c r="B1" s="98" t="s">
        <v>3199</v>
      </c>
      <c r="C1" s="104" t="s">
        <v>120</v>
      </c>
      <c r="E1" s="25" t="s">
        <v>71</v>
      </c>
      <c r="F1" s="25" t="s">
        <v>46</v>
      </c>
    </row>
    <row r="2" spans="1:6" ht="47" x14ac:dyDescent="0.55000000000000004">
      <c r="A2" s="102" t="s">
        <v>3</v>
      </c>
      <c r="B2" s="99">
        <v>7</v>
      </c>
      <c r="C2" s="101" t="s">
        <v>4728</v>
      </c>
      <c r="E2" s="25" t="s">
        <v>72</v>
      </c>
      <c r="F2" s="25" t="s">
        <v>38</v>
      </c>
    </row>
    <row r="3" spans="1:6" ht="23.5" x14ac:dyDescent="0.55000000000000004">
      <c r="A3" s="102" t="str">
        <f>CONCATENATE("Sub Lord of the Primary House ",B2)</f>
        <v>Sub Lord of the Primary House 7</v>
      </c>
      <c r="B3" s="98" t="s">
        <v>38</v>
      </c>
      <c r="C3" s="100"/>
      <c r="E3" s="25" t="s">
        <v>73</v>
      </c>
      <c r="F3" s="25" t="s">
        <v>9</v>
      </c>
    </row>
    <row r="4" spans="1:6" ht="23.5" x14ac:dyDescent="0.55000000000000004">
      <c r="A4" s="102" t="str">
        <f>CONCATENATE("Is Sub Lord ",B3," Retrograde or Direct?")</f>
        <v>Is Sub Lord Venus Retrograde or Direct?</v>
      </c>
      <c r="B4" s="98" t="s">
        <v>4471</v>
      </c>
      <c r="C4" s="100" t="str">
        <f>IF(B4="Retrograde",CONCATENATE("Event delayed till ",B3," turns direct"),"")</f>
        <v/>
      </c>
      <c r="E4" s="25" t="s">
        <v>74</v>
      </c>
      <c r="F4" s="25" t="s">
        <v>44</v>
      </c>
    </row>
    <row r="5" spans="1:6" ht="47" x14ac:dyDescent="0.55000000000000004">
      <c r="A5" s="102" t="str">
        <f>CONCATENATE("Name of the Star in which the Sub Lord ",B3," Deposited?")</f>
        <v>Name of the Star in which the Sub Lord Venus Deposited?</v>
      </c>
      <c r="B5" s="98" t="s">
        <v>4315</v>
      </c>
      <c r="C5" s="100"/>
      <c r="E5" s="25" t="s">
        <v>4313</v>
      </c>
      <c r="F5" s="25" t="s">
        <v>45</v>
      </c>
    </row>
    <row r="6" spans="1:6" ht="23.5" x14ac:dyDescent="0.55000000000000004">
      <c r="A6" s="102" t="str">
        <f>CONCATENATE("Star lord of the star ",B5,"?")</f>
        <v>Star lord of the star Uttara Phalguni?</v>
      </c>
      <c r="B6" s="98" t="s">
        <v>9</v>
      </c>
      <c r="C6" s="100"/>
      <c r="E6" s="25" t="s">
        <v>76</v>
      </c>
      <c r="F6" s="25" t="s">
        <v>39</v>
      </c>
    </row>
    <row r="7" spans="1:6" ht="23.5" x14ac:dyDescent="0.55000000000000004">
      <c r="A7" s="102" t="str">
        <f>CONCATENATE("Is the Star lord ",B6," retrograde?")</f>
        <v>Is the Star lord Sun retrograde?</v>
      </c>
      <c r="B7" s="98" t="s">
        <v>4471</v>
      </c>
      <c r="C7" s="100" t="str">
        <f>IF(B7="Retrograde",CONCATENATE("Event is denied if Starlord ",B6," is retrograde"),"")</f>
        <v/>
      </c>
      <c r="E7" s="25" t="s">
        <v>77</v>
      </c>
      <c r="F7" s="25" t="s">
        <v>41</v>
      </c>
    </row>
    <row r="8" spans="1:6" ht="23.5" x14ac:dyDescent="0.55000000000000004">
      <c r="A8" s="102" t="s">
        <v>0</v>
      </c>
      <c r="B8" s="98">
        <v>4</v>
      </c>
      <c r="C8" s="100" t="s">
        <v>57</v>
      </c>
      <c r="E8" s="25" t="s">
        <v>78</v>
      </c>
      <c r="F8" s="25" t="s">
        <v>40</v>
      </c>
    </row>
    <row r="9" spans="1:6" ht="23.5" x14ac:dyDescent="0.55000000000000004">
      <c r="A9" s="102" t="s">
        <v>10</v>
      </c>
      <c r="B9" s="98" t="s">
        <v>4338</v>
      </c>
      <c r="C9" s="100" t="s">
        <v>4727</v>
      </c>
      <c r="E9" s="25" t="s">
        <v>4311</v>
      </c>
      <c r="F9" s="25" t="s">
        <v>43</v>
      </c>
    </row>
    <row r="10" spans="1:6" ht="23.5" x14ac:dyDescent="0.55000000000000004">
      <c r="A10" s="108" t="s">
        <v>107</v>
      </c>
      <c r="B10" s="98" t="s">
        <v>4338</v>
      </c>
      <c r="C10" s="100" t="s">
        <v>58</v>
      </c>
      <c r="E10" s="25" t="s">
        <v>4314</v>
      </c>
      <c r="F10" s="25" t="s">
        <v>46</v>
      </c>
    </row>
    <row r="11" spans="1:6" ht="47" x14ac:dyDescent="0.55000000000000004">
      <c r="A11" s="102" t="s">
        <v>111</v>
      </c>
      <c r="B11" s="98"/>
      <c r="C11" s="100" t="s">
        <v>115</v>
      </c>
      <c r="E11" s="25" t="s">
        <v>4312</v>
      </c>
      <c r="F11" s="25" t="s">
        <v>38</v>
      </c>
    </row>
    <row r="12" spans="1:6" ht="23.5" x14ac:dyDescent="0.55000000000000004">
      <c r="A12" s="102" t="s">
        <v>112</v>
      </c>
      <c r="B12" s="98"/>
      <c r="C12" s="100" t="s">
        <v>116</v>
      </c>
      <c r="E12" s="25" t="s">
        <v>4315</v>
      </c>
      <c r="F12" s="25" t="s">
        <v>9</v>
      </c>
    </row>
    <row r="13" spans="1:6" ht="47" x14ac:dyDescent="0.55000000000000004">
      <c r="A13" s="102" t="s">
        <v>108</v>
      </c>
      <c r="B13" s="102"/>
      <c r="C13" s="100"/>
      <c r="E13" s="25" t="s">
        <v>83</v>
      </c>
      <c r="F13" s="25" t="s">
        <v>44</v>
      </c>
    </row>
    <row r="14" spans="1:6" ht="47" x14ac:dyDescent="0.55000000000000004">
      <c r="A14" s="102" t="s">
        <v>109</v>
      </c>
      <c r="B14" s="102"/>
      <c r="C14" s="100"/>
      <c r="E14" s="25" t="s">
        <v>84</v>
      </c>
      <c r="F14" s="25" t="s">
        <v>45</v>
      </c>
    </row>
    <row r="15" spans="1:6" ht="23.5" x14ac:dyDescent="0.55000000000000004">
      <c r="A15" s="108" t="s">
        <v>110</v>
      </c>
      <c r="B15" s="98" t="s">
        <v>4338</v>
      </c>
      <c r="C15" s="100"/>
      <c r="E15" s="25" t="s">
        <v>85</v>
      </c>
      <c r="F15" s="25" t="s">
        <v>39</v>
      </c>
    </row>
    <row r="16" spans="1:6" ht="47" x14ac:dyDescent="0.55000000000000004">
      <c r="A16" s="102" t="s">
        <v>111</v>
      </c>
      <c r="B16" s="98"/>
      <c r="C16" s="100" t="s">
        <v>115</v>
      </c>
      <c r="E16" s="25" t="s">
        <v>86</v>
      </c>
      <c r="F16" s="25" t="s">
        <v>41</v>
      </c>
    </row>
    <row r="17" spans="1:6" ht="23.5" x14ac:dyDescent="0.55000000000000004">
      <c r="A17" s="102" t="s">
        <v>112</v>
      </c>
      <c r="B17" s="98"/>
      <c r="C17" s="100" t="s">
        <v>116</v>
      </c>
      <c r="E17" s="25" t="s">
        <v>87</v>
      </c>
      <c r="F17" s="25" t="s">
        <v>40</v>
      </c>
    </row>
    <row r="18" spans="1:6" ht="47" x14ac:dyDescent="0.55000000000000004">
      <c r="A18" s="102" t="s">
        <v>108</v>
      </c>
      <c r="B18" s="98"/>
      <c r="C18" s="100"/>
      <c r="E18" s="25" t="s">
        <v>3436</v>
      </c>
      <c r="F18" s="25" t="s">
        <v>43</v>
      </c>
    </row>
    <row r="19" spans="1:6" ht="47" x14ac:dyDescent="0.55000000000000004">
      <c r="A19" s="102" t="s">
        <v>109</v>
      </c>
      <c r="B19" s="102"/>
      <c r="C19" s="100" t="s">
        <v>57</v>
      </c>
      <c r="E19" s="26" t="s">
        <v>89</v>
      </c>
      <c r="F19" s="26" t="s">
        <v>46</v>
      </c>
    </row>
    <row r="20" spans="1:6" ht="23.5" x14ac:dyDescent="0.55000000000000004">
      <c r="A20" s="108" t="s">
        <v>4310</v>
      </c>
      <c r="B20" s="98" t="s">
        <v>4338</v>
      </c>
      <c r="C20" s="100"/>
      <c r="E20" s="26" t="s">
        <v>4316</v>
      </c>
      <c r="F20" s="26" t="s">
        <v>38</v>
      </c>
    </row>
    <row r="21" spans="1:6" ht="47" x14ac:dyDescent="0.55000000000000004">
      <c r="A21" s="102" t="s">
        <v>113</v>
      </c>
      <c r="B21" s="98"/>
      <c r="C21" s="100" t="s">
        <v>115</v>
      </c>
      <c r="E21" s="26" t="s">
        <v>4317</v>
      </c>
      <c r="F21" s="26" t="s">
        <v>9</v>
      </c>
    </row>
    <row r="22" spans="1:6" ht="23.5" x14ac:dyDescent="0.55000000000000004">
      <c r="A22" s="102" t="s">
        <v>114</v>
      </c>
      <c r="B22" s="98"/>
      <c r="C22" s="100" t="s">
        <v>116</v>
      </c>
      <c r="E22" s="26" t="s">
        <v>92</v>
      </c>
      <c r="F22" s="26" t="s">
        <v>44</v>
      </c>
    </row>
    <row r="23" spans="1:6" ht="47" x14ac:dyDescent="0.55000000000000004">
      <c r="A23" s="102" t="s">
        <v>117</v>
      </c>
      <c r="B23" s="98"/>
      <c r="C23" s="100"/>
      <c r="E23" s="26" t="s">
        <v>93</v>
      </c>
      <c r="F23" s="26" t="s">
        <v>45</v>
      </c>
    </row>
    <row r="24" spans="1:6" ht="47" x14ac:dyDescent="0.55000000000000004">
      <c r="A24" s="102" t="s">
        <v>118</v>
      </c>
      <c r="B24" s="102"/>
      <c r="C24" s="100"/>
      <c r="E24" s="26" t="s">
        <v>4318</v>
      </c>
      <c r="F24" s="26" t="s">
        <v>39</v>
      </c>
    </row>
    <row r="25" spans="1:6" ht="23.5" x14ac:dyDescent="0.55000000000000004">
      <c r="A25" s="108" t="s">
        <v>4309</v>
      </c>
      <c r="B25" s="102" t="s">
        <v>4338</v>
      </c>
      <c r="C25" s="100"/>
      <c r="E25" s="26" t="s">
        <v>4320</v>
      </c>
      <c r="F25" s="26" t="s">
        <v>41</v>
      </c>
    </row>
    <row r="26" spans="1:6" ht="47" x14ac:dyDescent="0.55000000000000004">
      <c r="A26" s="102" t="s">
        <v>113</v>
      </c>
      <c r="B26" s="98"/>
      <c r="C26" s="100" t="s">
        <v>115</v>
      </c>
      <c r="E26" s="26" t="s">
        <v>4319</v>
      </c>
      <c r="F26" s="26" t="s">
        <v>40</v>
      </c>
    </row>
    <row r="27" spans="1:6" ht="23.5" x14ac:dyDescent="0.55000000000000004">
      <c r="A27" s="102" t="s">
        <v>114</v>
      </c>
      <c r="B27" s="102"/>
      <c r="C27" s="100" t="s">
        <v>116</v>
      </c>
      <c r="E27" s="26" t="s">
        <v>97</v>
      </c>
      <c r="F27" s="26" t="s">
        <v>43</v>
      </c>
    </row>
    <row r="28" spans="1:6" ht="47" x14ac:dyDescent="0.55000000000000004">
      <c r="A28" s="102" t="s">
        <v>117</v>
      </c>
      <c r="B28" s="102"/>
      <c r="C28" s="100"/>
    </row>
    <row r="29" spans="1:6" ht="47" x14ac:dyDescent="0.55000000000000004">
      <c r="A29" s="102" t="s">
        <v>118</v>
      </c>
      <c r="B29" s="98"/>
      <c r="C29" s="100"/>
    </row>
    <row r="30" spans="1:6" ht="23.5" x14ac:dyDescent="0.5">
      <c r="A30" s="105" t="s">
        <v>119</v>
      </c>
      <c r="B30" s="98" t="s">
        <v>4729</v>
      </c>
      <c r="C30" s="106" t="s">
        <v>57</v>
      </c>
    </row>
    <row r="31" spans="1:6" ht="153.75" customHeight="1" x14ac:dyDescent="0.5">
      <c r="A31" s="103" t="s">
        <v>5</v>
      </c>
      <c r="B31" s="323" t="s">
        <v>4730</v>
      </c>
      <c r="C31" s="323"/>
    </row>
    <row r="32" spans="1:6" ht="46.5" customHeight="1" x14ac:dyDescent="0.5">
      <c r="A32" s="103" t="s">
        <v>3845</v>
      </c>
      <c r="B32" s="324" t="str">
        <f>C2</f>
        <v>7 = 2, 6, 7, 10, 11 Favor
7 = 5, 8, 12 Loss</v>
      </c>
      <c r="C32" s="324"/>
    </row>
    <row r="33" spans="2:2" x14ac:dyDescent="0.5">
      <c r="B33" s="24"/>
    </row>
    <row r="34" spans="2:2" x14ac:dyDescent="0.5">
      <c r="B34" s="24"/>
    </row>
  </sheetData>
  <mergeCells count="2">
    <mergeCell ref="B31:C31"/>
    <mergeCell ref="B32:C32"/>
  </mergeCells>
  <dataValidations count="5">
    <dataValidation type="list" showInputMessage="1" showErrorMessage="1" errorTitle="Select from Dropdown" error="Do not enter a value. Select from the list of planets in the dropdown." sqref="B3 B6" xr:uid="{00000000-0002-0000-0000-000000000000}">
      <formula1>"Ketu,Venus,Sun,Moon,Mars,Rahu,Jupiter,Saturn,Mercury"</formula1>
    </dataValidation>
    <dataValidation type="list" showInputMessage="1" showErrorMessage="1" errorTitle="Choose from List" error="Choose Retrograde or Direct from the Dropdown List" promptTitle="Is it Retro?" prompt="Is the Starlord Retrograde or Direct_x000a_" sqref="B7" xr:uid="{00000000-0002-0000-0000-000001000000}">
      <formula1>"Retrograde,Direct"</formula1>
    </dataValidation>
    <dataValidation type="list" showInputMessage="1" showErrorMessage="1" errorTitle="Choose from List" error="Choose Retrograde or Direct from the Dropdown List" promptTitle="Is it Retro?" prompt="Select Retrograde or Direct" sqref="B4" xr:uid="{00000000-0002-0000-0000-000003000000}">
      <formula1>"Retrograde,Direct"</formula1>
    </dataValidation>
    <dataValidation type="whole" showInputMessage="1" showErrorMessage="1" errorTitle="Enter House Number" error="1 to 12 only" promptTitle="Enter House Number" prompt="Enter between 1 and 12" sqref="B2" xr:uid="{00000000-0002-0000-0000-000004000000}">
      <formula1>1</formula1>
      <formula2>12</formula2>
    </dataValidation>
    <dataValidation type="list" showInputMessage="1" showErrorMessage="1" errorTitle="Select from Dropdown" error="Select one of the 27 stars from the list" promptTitle="Select a Star" prompt="Select one of the 27 stars from the list" sqref="B5" xr:uid="{00000000-0002-0000-0000-000002000000}">
      <formula1>$E$1:$E$27</formula1>
    </dataValidation>
  </dataValidation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8413-61E3-4A6C-AB58-6C2147173B36}">
  <dimension ref="A1:B19"/>
  <sheetViews>
    <sheetView topLeftCell="A3" workbookViewId="0">
      <selection activeCell="A3" sqref="A3:A6"/>
    </sheetView>
  </sheetViews>
  <sheetFormatPr defaultColWidth="9.1796875" defaultRowHeight="21" x14ac:dyDescent="0.5"/>
  <cols>
    <col min="1" max="1" width="116.453125" style="39" customWidth="1"/>
    <col min="2" max="2" width="63.81640625" style="39" customWidth="1"/>
    <col min="3" max="16384" width="9.1796875" style="31"/>
  </cols>
  <sheetData>
    <row r="1" spans="1:1" ht="42" x14ac:dyDescent="0.5">
      <c r="A1" s="56" t="s">
        <v>3737</v>
      </c>
    </row>
    <row r="2" spans="1:1" x14ac:dyDescent="0.5">
      <c r="A2" s="81" t="s">
        <v>3735</v>
      </c>
    </row>
    <row r="3" spans="1:1" x14ac:dyDescent="0.5">
      <c r="A3" s="39" t="s">
        <v>3800</v>
      </c>
    </row>
    <row r="4" spans="1:1" x14ac:dyDescent="0.5">
      <c r="A4" s="39" t="s">
        <v>3801</v>
      </c>
    </row>
    <row r="5" spans="1:1" ht="42" x14ac:dyDescent="0.5">
      <c r="A5" s="39" t="s">
        <v>3990</v>
      </c>
    </row>
    <row r="6" spans="1:1" x14ac:dyDescent="0.5">
      <c r="A6" s="39" t="s">
        <v>3729</v>
      </c>
    </row>
    <row r="8" spans="1:1" x14ac:dyDescent="0.5">
      <c r="A8" s="81" t="s">
        <v>3736</v>
      </c>
    </row>
    <row r="9" spans="1:1" x14ac:dyDescent="0.5">
      <c r="A9" s="39" t="s">
        <v>3797</v>
      </c>
    </row>
    <row r="10" spans="1:1" x14ac:dyDescent="0.5">
      <c r="A10" s="39" t="s">
        <v>3798</v>
      </c>
    </row>
    <row r="11" spans="1:1" ht="42" x14ac:dyDescent="0.5">
      <c r="A11" s="39" t="s">
        <v>3991</v>
      </c>
    </row>
    <row r="12" spans="1:1" x14ac:dyDescent="0.5">
      <c r="A12" s="39" t="s">
        <v>3730</v>
      </c>
    </row>
    <row r="13" spans="1:1" x14ac:dyDescent="0.5">
      <c r="A13" s="39" t="s">
        <v>3731</v>
      </c>
    </row>
    <row r="14" spans="1:1" x14ac:dyDescent="0.5">
      <c r="A14" s="39" t="s">
        <v>3732</v>
      </c>
    </row>
    <row r="15" spans="1:1" x14ac:dyDescent="0.5">
      <c r="A15" s="39" t="s">
        <v>3733</v>
      </c>
    </row>
    <row r="16" spans="1:1" x14ac:dyDescent="0.5">
      <c r="A16" s="39" t="s">
        <v>3734</v>
      </c>
    </row>
    <row r="18" spans="1:2" x14ac:dyDescent="0.5">
      <c r="A18" s="81" t="s">
        <v>3799</v>
      </c>
    </row>
    <row r="19" spans="1:2" ht="63" x14ac:dyDescent="0.5">
      <c r="A19" s="39" t="s">
        <v>3739</v>
      </c>
      <c r="B19" s="39" t="s">
        <v>3738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4495E-9554-494D-8BF6-F1CCADAD4621}">
  <dimension ref="A1:B13"/>
  <sheetViews>
    <sheetView workbookViewId="0">
      <selection activeCell="B12" sqref="B12"/>
    </sheetView>
  </sheetViews>
  <sheetFormatPr defaultRowHeight="14.5" x14ac:dyDescent="0.35"/>
  <cols>
    <col min="2" max="2" width="77.1796875" bestFit="1" customWidth="1"/>
  </cols>
  <sheetData>
    <row r="1" spans="1:2" ht="21" x14ac:dyDescent="0.5">
      <c r="A1" s="55" t="s">
        <v>4467</v>
      </c>
      <c r="B1" s="55" t="s">
        <v>4466</v>
      </c>
    </row>
    <row r="2" spans="1:2" ht="21" x14ac:dyDescent="0.5">
      <c r="A2" s="31">
        <v>1</v>
      </c>
      <c r="B2" s="31" t="s">
        <v>3920</v>
      </c>
    </row>
    <row r="3" spans="1:2" ht="21" x14ac:dyDescent="0.5">
      <c r="A3" s="31">
        <v>2</v>
      </c>
      <c r="B3" s="31" t="s">
        <v>3921</v>
      </c>
    </row>
    <row r="4" spans="1:2" ht="21" x14ac:dyDescent="0.5">
      <c r="A4" s="31">
        <v>3</v>
      </c>
      <c r="B4" s="31" t="s">
        <v>3922</v>
      </c>
    </row>
    <row r="5" spans="1:2" ht="21" x14ac:dyDescent="0.5">
      <c r="A5" s="31">
        <v>4</v>
      </c>
      <c r="B5" s="31" t="s">
        <v>3923</v>
      </c>
    </row>
    <row r="6" spans="1:2" ht="21" x14ac:dyDescent="0.5">
      <c r="A6" s="31">
        <v>5</v>
      </c>
      <c r="B6" s="31" t="s">
        <v>4127</v>
      </c>
    </row>
    <row r="7" spans="1:2" ht="21" x14ac:dyDescent="0.5">
      <c r="A7" s="31">
        <v>6</v>
      </c>
      <c r="B7" s="31" t="s">
        <v>3924</v>
      </c>
    </row>
    <row r="8" spans="1:2" ht="21" x14ac:dyDescent="0.5">
      <c r="A8" s="31">
        <v>7</v>
      </c>
      <c r="B8" s="31" t="s">
        <v>3927</v>
      </c>
    </row>
    <row r="9" spans="1:2" ht="21" x14ac:dyDescent="0.5">
      <c r="A9" s="31">
        <v>8</v>
      </c>
      <c r="B9" s="31" t="s">
        <v>3925</v>
      </c>
    </row>
    <row r="10" spans="1:2" ht="21" x14ac:dyDescent="0.5">
      <c r="A10" s="31">
        <v>9</v>
      </c>
      <c r="B10" s="31" t="s">
        <v>3982</v>
      </c>
    </row>
    <row r="11" spans="1:2" ht="21" x14ac:dyDescent="0.5">
      <c r="A11" s="31">
        <v>10</v>
      </c>
      <c r="B11" s="31" t="s">
        <v>4128</v>
      </c>
    </row>
    <row r="12" spans="1:2" ht="21" x14ac:dyDescent="0.5">
      <c r="A12" s="31">
        <v>11</v>
      </c>
      <c r="B12" s="31" t="s">
        <v>4737</v>
      </c>
    </row>
    <row r="13" spans="1:2" ht="21" x14ac:dyDescent="0.5">
      <c r="A13" s="31">
        <v>12</v>
      </c>
      <c r="B13" s="31" t="s">
        <v>3926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2154-B46E-4E2A-B256-7000A86E4B6A}">
  <dimension ref="A1:K1621"/>
  <sheetViews>
    <sheetView topLeftCell="A26" workbookViewId="0">
      <selection activeCell="D39" sqref="D39"/>
    </sheetView>
  </sheetViews>
  <sheetFormatPr defaultRowHeight="14.5" x14ac:dyDescent="0.35"/>
  <cols>
    <col min="1" max="1" width="5" bestFit="1" customWidth="1"/>
    <col min="2" max="2" width="19.54296875" bestFit="1" customWidth="1"/>
    <col min="3" max="3" width="75.54296875" customWidth="1"/>
    <col min="4" max="4" width="68.7265625" customWidth="1"/>
    <col min="5" max="5" width="36.81640625" customWidth="1"/>
  </cols>
  <sheetData>
    <row r="1" spans="1:5" ht="25" x14ac:dyDescent="0.35">
      <c r="A1" s="40" t="s">
        <v>125</v>
      </c>
      <c r="B1" s="41" t="s">
        <v>3850</v>
      </c>
      <c r="C1" s="41" t="s">
        <v>3851</v>
      </c>
      <c r="D1" s="40" t="s">
        <v>3852</v>
      </c>
      <c r="E1" s="40"/>
    </row>
    <row r="2" spans="1:5" x14ac:dyDescent="0.35">
      <c r="A2" s="43">
        <v>1</v>
      </c>
      <c r="B2" s="44">
        <v>1</v>
      </c>
      <c r="C2" s="44">
        <v>1</v>
      </c>
      <c r="D2" s="43" t="s">
        <v>3853</v>
      </c>
      <c r="E2" s="107"/>
    </row>
    <row r="3" spans="1:5" x14ac:dyDescent="0.35">
      <c r="A3" s="43">
        <v>2</v>
      </c>
      <c r="B3" s="44">
        <v>1</v>
      </c>
      <c r="C3" s="44">
        <v>1</v>
      </c>
      <c r="D3" s="43" t="s">
        <v>1128</v>
      </c>
      <c r="E3" s="107"/>
    </row>
    <row r="4" spans="1:5" x14ac:dyDescent="0.35">
      <c r="A4" s="43">
        <v>3</v>
      </c>
      <c r="B4" s="44">
        <v>1</v>
      </c>
      <c r="C4" s="44">
        <v>1</v>
      </c>
      <c r="D4" s="43" t="s">
        <v>1129</v>
      </c>
      <c r="E4" s="107"/>
    </row>
    <row r="5" spans="1:5" x14ac:dyDescent="0.35">
      <c r="A5" s="43">
        <v>4</v>
      </c>
      <c r="B5" s="44">
        <v>1</v>
      </c>
      <c r="C5" s="44">
        <v>2</v>
      </c>
      <c r="D5" s="43" t="s">
        <v>1130</v>
      </c>
      <c r="E5" s="107"/>
    </row>
    <row r="6" spans="1:5" x14ac:dyDescent="0.35">
      <c r="A6" s="43">
        <v>5</v>
      </c>
      <c r="B6" s="44">
        <v>1</v>
      </c>
      <c r="C6" s="44">
        <v>2</v>
      </c>
      <c r="D6" s="43" t="s">
        <v>1131</v>
      </c>
      <c r="E6" s="107"/>
    </row>
    <row r="7" spans="1:5" x14ac:dyDescent="0.35">
      <c r="A7" s="43">
        <v>6</v>
      </c>
      <c r="B7" s="44">
        <v>1</v>
      </c>
      <c r="C7" s="44">
        <v>2</v>
      </c>
      <c r="D7" s="43" t="s">
        <v>1132</v>
      </c>
      <c r="E7" s="107"/>
    </row>
    <row r="8" spans="1:5" x14ac:dyDescent="0.35">
      <c r="A8" s="43">
        <v>7</v>
      </c>
      <c r="B8" s="44">
        <v>1</v>
      </c>
      <c r="C8" s="44">
        <v>3</v>
      </c>
      <c r="D8" s="43" t="s">
        <v>1133</v>
      </c>
      <c r="E8" s="107"/>
    </row>
    <row r="9" spans="1:5" x14ac:dyDescent="0.35">
      <c r="A9" s="43">
        <v>8</v>
      </c>
      <c r="B9" s="44">
        <v>1</v>
      </c>
      <c r="C9" s="44">
        <v>3</v>
      </c>
      <c r="D9" s="43" t="s">
        <v>3854</v>
      </c>
      <c r="E9" s="107"/>
    </row>
    <row r="10" spans="1:5" x14ac:dyDescent="0.35">
      <c r="A10" s="43">
        <v>9</v>
      </c>
      <c r="B10" s="44">
        <v>1</v>
      </c>
      <c r="C10" s="44">
        <v>3</v>
      </c>
      <c r="D10" s="43" t="s">
        <v>3855</v>
      </c>
      <c r="E10" s="107"/>
    </row>
    <row r="11" spans="1:5" x14ac:dyDescent="0.35">
      <c r="A11" s="43">
        <v>10</v>
      </c>
      <c r="B11" s="44">
        <v>1</v>
      </c>
      <c r="C11" s="44">
        <v>3</v>
      </c>
      <c r="D11" s="43" t="s">
        <v>1134</v>
      </c>
      <c r="E11" s="107"/>
    </row>
    <row r="12" spans="1:5" x14ac:dyDescent="0.35">
      <c r="A12" s="43">
        <v>11</v>
      </c>
      <c r="B12" s="44">
        <v>1</v>
      </c>
      <c r="C12" s="44">
        <v>3</v>
      </c>
      <c r="D12" s="43" t="s">
        <v>1135</v>
      </c>
      <c r="E12" s="107"/>
    </row>
    <row r="13" spans="1:5" x14ac:dyDescent="0.35">
      <c r="A13" s="43">
        <v>12</v>
      </c>
      <c r="B13" s="44">
        <v>1</v>
      </c>
      <c r="C13" s="44">
        <v>4</v>
      </c>
      <c r="D13" s="43" t="s">
        <v>1136</v>
      </c>
      <c r="E13" s="107"/>
    </row>
    <row r="14" spans="1:5" x14ac:dyDescent="0.35">
      <c r="A14" s="43">
        <v>13</v>
      </c>
      <c r="B14" s="44">
        <v>1</v>
      </c>
      <c r="C14" s="44">
        <v>4</v>
      </c>
      <c r="D14" s="43" t="s">
        <v>1137</v>
      </c>
      <c r="E14" s="107"/>
    </row>
    <row r="15" spans="1:5" x14ac:dyDescent="0.35">
      <c r="A15" s="43">
        <v>14</v>
      </c>
      <c r="B15" s="44">
        <v>1</v>
      </c>
      <c r="C15" s="44">
        <v>4</v>
      </c>
      <c r="D15" s="43" t="s">
        <v>1138</v>
      </c>
      <c r="E15" s="107"/>
    </row>
    <row r="16" spans="1:5" x14ac:dyDescent="0.35">
      <c r="A16" s="43">
        <v>15</v>
      </c>
      <c r="B16" s="44">
        <v>1</v>
      </c>
      <c r="C16" s="44">
        <v>4</v>
      </c>
      <c r="D16" s="43" t="s">
        <v>1139</v>
      </c>
      <c r="E16" s="107"/>
    </row>
    <row r="17" spans="1:5" x14ac:dyDescent="0.35">
      <c r="A17" s="43">
        <v>16</v>
      </c>
      <c r="B17" s="44">
        <v>1</v>
      </c>
      <c r="C17" s="44">
        <v>5</v>
      </c>
      <c r="D17" s="43" t="s">
        <v>1140</v>
      </c>
      <c r="E17" s="107"/>
    </row>
    <row r="18" spans="1:5" x14ac:dyDescent="0.35">
      <c r="A18" s="43">
        <v>17</v>
      </c>
      <c r="B18" s="44">
        <v>1</v>
      </c>
      <c r="C18" s="44">
        <v>5</v>
      </c>
      <c r="D18" s="43" t="s">
        <v>1141</v>
      </c>
      <c r="E18" s="107"/>
    </row>
    <row r="19" spans="1:5" x14ac:dyDescent="0.35">
      <c r="A19" s="43">
        <v>18</v>
      </c>
      <c r="B19" s="44">
        <v>1</v>
      </c>
      <c r="C19" s="44">
        <v>5</v>
      </c>
      <c r="D19" s="43" t="s">
        <v>1142</v>
      </c>
      <c r="E19" s="107"/>
    </row>
    <row r="20" spans="1:5" x14ac:dyDescent="0.35">
      <c r="A20" s="43">
        <v>19</v>
      </c>
      <c r="B20" s="44">
        <v>1</v>
      </c>
      <c r="C20" s="44">
        <v>5</v>
      </c>
      <c r="D20" s="43" t="s">
        <v>1143</v>
      </c>
      <c r="E20" s="107"/>
    </row>
    <row r="21" spans="1:5" x14ac:dyDescent="0.35">
      <c r="A21" s="43">
        <v>20</v>
      </c>
      <c r="B21" s="44">
        <v>1</v>
      </c>
      <c r="C21" s="44">
        <v>5</v>
      </c>
      <c r="D21" s="43" t="s">
        <v>1144</v>
      </c>
      <c r="E21" s="107"/>
    </row>
    <row r="22" spans="1:5" x14ac:dyDescent="0.35">
      <c r="A22" s="43">
        <v>21</v>
      </c>
      <c r="B22" s="44">
        <v>1</v>
      </c>
      <c r="C22" s="44">
        <v>6</v>
      </c>
      <c r="D22" s="43" t="s">
        <v>1145</v>
      </c>
      <c r="E22" s="107"/>
    </row>
    <row r="23" spans="1:5" x14ac:dyDescent="0.35">
      <c r="A23" s="43">
        <v>22</v>
      </c>
      <c r="B23" s="44">
        <v>1</v>
      </c>
      <c r="C23" s="44">
        <v>6</v>
      </c>
      <c r="D23" s="43" t="s">
        <v>1146</v>
      </c>
      <c r="E23" s="107"/>
    </row>
    <row r="24" spans="1:5" x14ac:dyDescent="0.35">
      <c r="A24" s="43">
        <v>23</v>
      </c>
      <c r="B24" s="44">
        <v>1</v>
      </c>
      <c r="C24" s="44">
        <v>6</v>
      </c>
      <c r="D24" s="43" t="s">
        <v>1147</v>
      </c>
      <c r="E24" s="107"/>
    </row>
    <row r="25" spans="1:5" x14ac:dyDescent="0.35">
      <c r="A25" s="43">
        <v>24</v>
      </c>
      <c r="B25" s="44">
        <v>1</v>
      </c>
      <c r="C25" s="44">
        <v>6</v>
      </c>
      <c r="D25" s="43" t="s">
        <v>1148</v>
      </c>
      <c r="E25" s="107"/>
    </row>
    <row r="26" spans="1:5" x14ac:dyDescent="0.35">
      <c r="A26" s="43">
        <v>25</v>
      </c>
      <c r="B26" s="44">
        <v>1</v>
      </c>
      <c r="C26" s="44">
        <v>6</v>
      </c>
      <c r="D26" s="43" t="s">
        <v>1149</v>
      </c>
      <c r="E26" s="107"/>
    </row>
    <row r="27" spans="1:5" x14ac:dyDescent="0.35">
      <c r="A27" s="43">
        <v>26</v>
      </c>
      <c r="B27" s="44">
        <v>1</v>
      </c>
      <c r="C27" s="44">
        <v>6</v>
      </c>
      <c r="D27" s="43" t="s">
        <v>1150</v>
      </c>
      <c r="E27" s="107"/>
    </row>
    <row r="28" spans="1:5" x14ac:dyDescent="0.35">
      <c r="A28" s="43">
        <v>27</v>
      </c>
      <c r="B28" s="44">
        <v>1</v>
      </c>
      <c r="C28" s="44">
        <v>6</v>
      </c>
      <c r="D28" s="43" t="s">
        <v>1151</v>
      </c>
      <c r="E28" s="107"/>
    </row>
    <row r="29" spans="1:5" x14ac:dyDescent="0.35">
      <c r="A29" s="43">
        <v>28</v>
      </c>
      <c r="B29" s="44">
        <v>1</v>
      </c>
      <c r="C29" s="44">
        <v>6</v>
      </c>
      <c r="D29" s="43" t="s">
        <v>1152</v>
      </c>
      <c r="E29" s="107"/>
    </row>
    <row r="30" spans="1:5" x14ac:dyDescent="0.35">
      <c r="A30" s="43">
        <v>29</v>
      </c>
      <c r="B30" s="44">
        <v>1</v>
      </c>
      <c r="C30" s="44">
        <v>6</v>
      </c>
      <c r="D30" s="43" t="s">
        <v>1153</v>
      </c>
      <c r="E30" s="107"/>
    </row>
    <row r="31" spans="1:5" x14ac:dyDescent="0.35">
      <c r="A31" s="43">
        <v>30</v>
      </c>
      <c r="B31" s="44">
        <v>1</v>
      </c>
      <c r="C31" s="44">
        <v>6</v>
      </c>
      <c r="D31" s="43" t="s">
        <v>1154</v>
      </c>
      <c r="E31" s="107"/>
    </row>
    <row r="32" spans="1:5" x14ac:dyDescent="0.35">
      <c r="A32" s="43">
        <v>31</v>
      </c>
      <c r="B32" s="44">
        <v>1</v>
      </c>
      <c r="C32" s="44">
        <v>7</v>
      </c>
      <c r="D32" s="43" t="s">
        <v>1155</v>
      </c>
      <c r="E32" s="107"/>
    </row>
    <row r="33" spans="1:5" x14ac:dyDescent="0.35">
      <c r="A33" s="43">
        <v>32</v>
      </c>
      <c r="B33" s="44">
        <v>1</v>
      </c>
      <c r="C33" s="44">
        <v>7</v>
      </c>
      <c r="D33" s="43" t="s">
        <v>1156</v>
      </c>
      <c r="E33" s="107"/>
    </row>
    <row r="34" spans="1:5" x14ac:dyDescent="0.35">
      <c r="A34" s="43">
        <v>33</v>
      </c>
      <c r="B34" s="44">
        <v>1</v>
      </c>
      <c r="C34" s="44">
        <v>7</v>
      </c>
      <c r="D34" s="43" t="s">
        <v>1157</v>
      </c>
      <c r="E34" s="107"/>
    </row>
    <row r="35" spans="1:5" x14ac:dyDescent="0.35">
      <c r="A35" s="43">
        <v>34</v>
      </c>
      <c r="B35" s="44">
        <v>1</v>
      </c>
      <c r="C35" s="44">
        <v>7</v>
      </c>
      <c r="D35" s="43" t="s">
        <v>1158</v>
      </c>
      <c r="E35" s="107"/>
    </row>
    <row r="36" spans="1:5" x14ac:dyDescent="0.35">
      <c r="A36" s="43">
        <v>35</v>
      </c>
      <c r="B36" s="44">
        <v>1</v>
      </c>
      <c r="C36" s="44">
        <v>7</v>
      </c>
      <c r="D36" s="43" t="s">
        <v>1159</v>
      </c>
      <c r="E36" s="107"/>
    </row>
    <row r="37" spans="1:5" x14ac:dyDescent="0.35">
      <c r="A37" s="43">
        <v>36</v>
      </c>
      <c r="B37" s="44">
        <v>1</v>
      </c>
      <c r="C37" s="44">
        <v>7</v>
      </c>
      <c r="D37" s="43" t="s">
        <v>1160</v>
      </c>
      <c r="E37" s="107"/>
    </row>
    <row r="38" spans="1:5" x14ac:dyDescent="0.35">
      <c r="A38" s="43">
        <v>37</v>
      </c>
      <c r="B38" s="44">
        <v>1</v>
      </c>
      <c r="C38" s="44">
        <v>8</v>
      </c>
      <c r="D38" s="43" t="s">
        <v>1161</v>
      </c>
      <c r="E38" s="107"/>
    </row>
    <row r="39" spans="1:5" x14ac:dyDescent="0.35">
      <c r="A39" s="43">
        <v>38</v>
      </c>
      <c r="B39" s="44">
        <v>1</v>
      </c>
      <c r="C39" s="44">
        <v>8</v>
      </c>
      <c r="D39" s="43" t="s">
        <v>1162</v>
      </c>
      <c r="E39" s="107"/>
    </row>
    <row r="40" spans="1:5" x14ac:dyDescent="0.35">
      <c r="A40" s="43">
        <v>39</v>
      </c>
      <c r="B40" s="44">
        <v>1</v>
      </c>
      <c r="C40" s="44">
        <v>8</v>
      </c>
      <c r="D40" s="43" t="s">
        <v>1163</v>
      </c>
      <c r="E40" s="107"/>
    </row>
    <row r="41" spans="1:5" x14ac:dyDescent="0.35">
      <c r="A41" s="43">
        <v>40</v>
      </c>
      <c r="B41" s="44">
        <v>1</v>
      </c>
      <c r="C41" s="44">
        <v>8</v>
      </c>
      <c r="D41" s="43" t="s">
        <v>1164</v>
      </c>
      <c r="E41" s="107"/>
    </row>
    <row r="42" spans="1:5" x14ac:dyDescent="0.35">
      <c r="A42" s="43">
        <v>41</v>
      </c>
      <c r="B42" s="44">
        <v>1</v>
      </c>
      <c r="C42" s="44">
        <v>8</v>
      </c>
      <c r="D42" s="43" t="s">
        <v>1165</v>
      </c>
      <c r="E42" s="107"/>
    </row>
    <row r="43" spans="1:5" x14ac:dyDescent="0.35">
      <c r="A43" s="43">
        <v>42</v>
      </c>
      <c r="B43" s="44">
        <v>1</v>
      </c>
      <c r="C43" s="44">
        <v>8</v>
      </c>
      <c r="D43" s="43" t="s">
        <v>1166</v>
      </c>
      <c r="E43" s="107"/>
    </row>
    <row r="44" spans="1:5" x14ac:dyDescent="0.35">
      <c r="A44" s="43">
        <v>43</v>
      </c>
      <c r="B44" s="44">
        <v>1</v>
      </c>
      <c r="C44" s="44">
        <v>8</v>
      </c>
      <c r="D44" s="43" t="s">
        <v>1167</v>
      </c>
      <c r="E44" s="107"/>
    </row>
    <row r="45" spans="1:5" x14ac:dyDescent="0.35">
      <c r="A45" s="43">
        <v>44</v>
      </c>
      <c r="B45" s="44">
        <v>1</v>
      </c>
      <c r="C45" s="44">
        <v>8</v>
      </c>
      <c r="D45" s="43" t="s">
        <v>1168</v>
      </c>
      <c r="E45" s="107"/>
    </row>
    <row r="46" spans="1:5" x14ac:dyDescent="0.35">
      <c r="A46" s="43">
        <v>45</v>
      </c>
      <c r="B46" s="44">
        <v>1</v>
      </c>
      <c r="C46" s="44">
        <v>8</v>
      </c>
      <c r="D46" s="43" t="s">
        <v>1169</v>
      </c>
      <c r="E46" s="107"/>
    </row>
    <row r="47" spans="1:5" x14ac:dyDescent="0.35">
      <c r="A47" s="43">
        <v>46</v>
      </c>
      <c r="B47" s="44">
        <v>1</v>
      </c>
      <c r="C47" s="44">
        <v>8</v>
      </c>
      <c r="D47" s="43" t="s">
        <v>1170</v>
      </c>
      <c r="E47" s="107"/>
    </row>
    <row r="48" spans="1:5" x14ac:dyDescent="0.35">
      <c r="A48" s="43">
        <v>47</v>
      </c>
      <c r="B48" s="44">
        <v>1</v>
      </c>
      <c r="C48" s="44">
        <v>8</v>
      </c>
      <c r="D48" s="43" t="s">
        <v>1171</v>
      </c>
      <c r="E48" s="107"/>
    </row>
    <row r="49" spans="1:5" x14ac:dyDescent="0.35">
      <c r="A49" s="43">
        <v>48</v>
      </c>
      <c r="B49" s="44">
        <v>1</v>
      </c>
      <c r="C49" s="44">
        <v>8</v>
      </c>
      <c r="D49" s="43" t="s">
        <v>1172</v>
      </c>
      <c r="E49" s="107"/>
    </row>
    <row r="50" spans="1:5" x14ac:dyDescent="0.35">
      <c r="A50" s="43">
        <v>49</v>
      </c>
      <c r="B50" s="44">
        <v>1</v>
      </c>
      <c r="C50" s="44">
        <v>9</v>
      </c>
      <c r="D50" s="43" t="s">
        <v>1173</v>
      </c>
      <c r="E50" s="107"/>
    </row>
    <row r="51" spans="1:5" x14ac:dyDescent="0.35">
      <c r="A51" s="43">
        <v>50</v>
      </c>
      <c r="B51" s="44">
        <v>1</v>
      </c>
      <c r="C51" s="44">
        <v>9</v>
      </c>
      <c r="D51" s="43" t="s">
        <v>1174</v>
      </c>
      <c r="E51" s="107"/>
    </row>
    <row r="52" spans="1:5" x14ac:dyDescent="0.35">
      <c r="A52" s="43">
        <v>51</v>
      </c>
      <c r="B52" s="44">
        <v>1</v>
      </c>
      <c r="C52" s="44">
        <v>9</v>
      </c>
      <c r="D52" s="43" t="s">
        <v>1175</v>
      </c>
      <c r="E52" s="107"/>
    </row>
    <row r="53" spans="1:5" x14ac:dyDescent="0.35">
      <c r="A53" s="43">
        <v>52</v>
      </c>
      <c r="B53" s="44">
        <v>1</v>
      </c>
      <c r="C53" s="44">
        <v>9</v>
      </c>
      <c r="D53" s="43" t="s">
        <v>1176</v>
      </c>
      <c r="E53" s="107"/>
    </row>
    <row r="54" spans="1:5" x14ac:dyDescent="0.35">
      <c r="A54" s="43">
        <v>53</v>
      </c>
      <c r="B54" s="44">
        <v>1</v>
      </c>
      <c r="C54" s="44">
        <v>9</v>
      </c>
      <c r="D54" s="43" t="s">
        <v>1177</v>
      </c>
      <c r="E54" s="107"/>
    </row>
    <row r="55" spans="1:5" x14ac:dyDescent="0.35">
      <c r="A55" s="43">
        <v>54</v>
      </c>
      <c r="B55" s="44">
        <v>1</v>
      </c>
      <c r="C55" s="44">
        <v>9</v>
      </c>
      <c r="D55" s="43" t="s">
        <v>1178</v>
      </c>
      <c r="E55" s="107"/>
    </row>
    <row r="56" spans="1:5" x14ac:dyDescent="0.35">
      <c r="A56" s="43">
        <v>55</v>
      </c>
      <c r="B56" s="44">
        <v>1</v>
      </c>
      <c r="C56" s="44">
        <v>9</v>
      </c>
      <c r="D56" s="43" t="s">
        <v>1179</v>
      </c>
      <c r="E56" s="107"/>
    </row>
    <row r="57" spans="1:5" x14ac:dyDescent="0.35">
      <c r="A57" s="43">
        <v>56</v>
      </c>
      <c r="B57" s="44">
        <v>1</v>
      </c>
      <c r="C57" s="44">
        <v>9</v>
      </c>
      <c r="D57" s="43" t="s">
        <v>1180</v>
      </c>
      <c r="E57" s="107"/>
    </row>
    <row r="58" spans="1:5" x14ac:dyDescent="0.35">
      <c r="A58" s="43">
        <v>57</v>
      </c>
      <c r="B58" s="44">
        <v>1</v>
      </c>
      <c r="C58" s="44">
        <v>9</v>
      </c>
      <c r="D58" s="43" t="s">
        <v>1181</v>
      </c>
      <c r="E58" s="107"/>
    </row>
    <row r="59" spans="1:5" x14ac:dyDescent="0.35">
      <c r="A59" s="43">
        <v>58</v>
      </c>
      <c r="B59" s="44">
        <v>1</v>
      </c>
      <c r="C59" s="44">
        <v>9</v>
      </c>
      <c r="D59" s="43" t="s">
        <v>1182</v>
      </c>
      <c r="E59" s="107"/>
    </row>
    <row r="60" spans="1:5" x14ac:dyDescent="0.35">
      <c r="A60" s="43">
        <v>59</v>
      </c>
      <c r="B60" s="44">
        <v>1</v>
      </c>
      <c r="C60" s="44">
        <v>10</v>
      </c>
      <c r="D60" s="43" t="s">
        <v>1183</v>
      </c>
      <c r="E60" s="107"/>
    </row>
    <row r="61" spans="1:5" x14ac:dyDescent="0.35">
      <c r="A61" s="43">
        <v>60</v>
      </c>
      <c r="B61" s="44">
        <v>1</v>
      </c>
      <c r="C61" s="44">
        <v>10</v>
      </c>
      <c r="D61" s="43" t="s">
        <v>1184</v>
      </c>
      <c r="E61" s="107"/>
    </row>
    <row r="62" spans="1:5" x14ac:dyDescent="0.35">
      <c r="A62" s="43">
        <v>61</v>
      </c>
      <c r="B62" s="44">
        <v>1</v>
      </c>
      <c r="C62" s="44">
        <v>10</v>
      </c>
      <c r="D62" s="43" t="s">
        <v>1185</v>
      </c>
      <c r="E62" s="107"/>
    </row>
    <row r="63" spans="1:5" x14ac:dyDescent="0.35">
      <c r="A63" s="43">
        <v>62</v>
      </c>
      <c r="B63" s="44">
        <v>1</v>
      </c>
      <c r="C63" s="44">
        <v>10</v>
      </c>
      <c r="D63" s="43" t="s">
        <v>1186</v>
      </c>
      <c r="E63" s="107"/>
    </row>
    <row r="64" spans="1:5" x14ac:dyDescent="0.35">
      <c r="A64" s="43">
        <v>63</v>
      </c>
      <c r="B64" s="44">
        <v>1</v>
      </c>
      <c r="C64" s="44">
        <v>10</v>
      </c>
      <c r="D64" s="43" t="s">
        <v>1187</v>
      </c>
      <c r="E64" s="107"/>
    </row>
    <row r="65" spans="1:5" x14ac:dyDescent="0.35">
      <c r="A65" s="43">
        <v>64</v>
      </c>
      <c r="B65" s="44">
        <v>1</v>
      </c>
      <c r="C65" s="44">
        <v>10</v>
      </c>
      <c r="D65" s="43" t="s">
        <v>1188</v>
      </c>
      <c r="E65" s="107"/>
    </row>
    <row r="66" spans="1:5" x14ac:dyDescent="0.35">
      <c r="A66" s="43">
        <v>65</v>
      </c>
      <c r="B66" s="44">
        <v>1</v>
      </c>
      <c r="C66" s="44">
        <v>10</v>
      </c>
      <c r="D66" s="43" t="s">
        <v>1189</v>
      </c>
      <c r="E66" s="107"/>
    </row>
    <row r="67" spans="1:5" x14ac:dyDescent="0.35">
      <c r="A67" s="43">
        <v>66</v>
      </c>
      <c r="B67" s="44">
        <v>1</v>
      </c>
      <c r="C67" s="44">
        <v>10</v>
      </c>
      <c r="D67" s="43" t="s">
        <v>1190</v>
      </c>
      <c r="E67" s="107"/>
    </row>
    <row r="68" spans="1:5" x14ac:dyDescent="0.35">
      <c r="A68" s="43">
        <v>67</v>
      </c>
      <c r="B68" s="44">
        <v>1</v>
      </c>
      <c r="C68" s="44">
        <v>11</v>
      </c>
      <c r="D68" s="43" t="s">
        <v>1191</v>
      </c>
      <c r="E68" s="107"/>
    </row>
    <row r="69" spans="1:5" x14ac:dyDescent="0.35">
      <c r="A69" s="43">
        <v>68</v>
      </c>
      <c r="B69" s="44">
        <v>1</v>
      </c>
      <c r="C69" s="44">
        <v>11</v>
      </c>
      <c r="D69" s="43" t="s">
        <v>1192</v>
      </c>
      <c r="E69" s="107"/>
    </row>
    <row r="70" spans="1:5" x14ac:dyDescent="0.35">
      <c r="A70" s="43">
        <v>69</v>
      </c>
      <c r="B70" s="44">
        <v>1</v>
      </c>
      <c r="C70" s="44">
        <v>11</v>
      </c>
      <c r="D70" s="43" t="s">
        <v>1193</v>
      </c>
      <c r="E70" s="107"/>
    </row>
    <row r="71" spans="1:5" x14ac:dyDescent="0.35">
      <c r="A71" s="43">
        <v>70</v>
      </c>
      <c r="B71" s="44">
        <v>1</v>
      </c>
      <c r="C71" s="44">
        <v>11</v>
      </c>
      <c r="D71" s="43" t="s">
        <v>1194</v>
      </c>
      <c r="E71" s="107"/>
    </row>
    <row r="72" spans="1:5" x14ac:dyDescent="0.35">
      <c r="A72" s="43">
        <v>71</v>
      </c>
      <c r="B72" s="44">
        <v>1</v>
      </c>
      <c r="C72" s="44">
        <v>11</v>
      </c>
      <c r="D72" s="43" t="s">
        <v>1195</v>
      </c>
      <c r="E72" s="107"/>
    </row>
    <row r="73" spans="1:5" x14ac:dyDescent="0.35">
      <c r="A73" s="43">
        <v>72</v>
      </c>
      <c r="B73" s="44">
        <v>1</v>
      </c>
      <c r="C73" s="44">
        <v>11</v>
      </c>
      <c r="D73" s="43" t="s">
        <v>1196</v>
      </c>
      <c r="E73" s="107"/>
    </row>
    <row r="74" spans="1:5" x14ac:dyDescent="0.35">
      <c r="A74" s="43">
        <v>73</v>
      </c>
      <c r="B74" s="44">
        <v>1</v>
      </c>
      <c r="C74" s="44">
        <v>11</v>
      </c>
      <c r="D74" s="43" t="s">
        <v>1197</v>
      </c>
      <c r="E74" s="107"/>
    </row>
    <row r="75" spans="1:5" x14ac:dyDescent="0.35">
      <c r="A75" s="43">
        <v>74</v>
      </c>
      <c r="B75" s="44">
        <v>1</v>
      </c>
      <c r="C75" s="44">
        <v>11</v>
      </c>
      <c r="D75" s="43" t="s">
        <v>1198</v>
      </c>
      <c r="E75" s="107"/>
    </row>
    <row r="76" spans="1:5" x14ac:dyDescent="0.35">
      <c r="A76" s="43">
        <v>75</v>
      </c>
      <c r="B76" s="44">
        <v>1</v>
      </c>
      <c r="C76" s="44">
        <v>11</v>
      </c>
      <c r="D76" s="43" t="s">
        <v>1199</v>
      </c>
      <c r="E76" s="107"/>
    </row>
    <row r="77" spans="1:5" x14ac:dyDescent="0.35">
      <c r="A77" s="43">
        <v>76</v>
      </c>
      <c r="B77" s="44">
        <v>1</v>
      </c>
      <c r="C77" s="44">
        <v>11</v>
      </c>
      <c r="D77" s="43" t="s">
        <v>1125</v>
      </c>
      <c r="E77" s="107"/>
    </row>
    <row r="78" spans="1:5" x14ac:dyDescent="0.35">
      <c r="A78" s="43">
        <v>77</v>
      </c>
      <c r="B78" s="44">
        <v>1</v>
      </c>
      <c r="C78" s="44">
        <v>11</v>
      </c>
      <c r="D78" s="43" t="s">
        <v>1200</v>
      </c>
      <c r="E78" s="107"/>
    </row>
    <row r="79" spans="1:5" x14ac:dyDescent="0.35">
      <c r="A79" s="43">
        <v>78</v>
      </c>
      <c r="B79" s="44">
        <v>1</v>
      </c>
      <c r="C79" s="44">
        <v>12</v>
      </c>
      <c r="D79" s="43" t="s">
        <v>1201</v>
      </c>
      <c r="E79" s="107"/>
    </row>
    <row r="80" spans="1:5" x14ac:dyDescent="0.35">
      <c r="A80" s="43">
        <v>79</v>
      </c>
      <c r="B80" s="44">
        <v>1</v>
      </c>
      <c r="C80" s="44">
        <v>12</v>
      </c>
      <c r="D80" s="43" t="s">
        <v>1202</v>
      </c>
      <c r="E80" s="107"/>
    </row>
    <row r="81" spans="1:5" x14ac:dyDescent="0.35">
      <c r="A81" s="43">
        <v>80</v>
      </c>
      <c r="B81" s="44">
        <v>1</v>
      </c>
      <c r="C81" s="44">
        <v>12</v>
      </c>
      <c r="D81" s="43" t="s">
        <v>1203</v>
      </c>
      <c r="E81" s="107"/>
    </row>
    <row r="82" spans="1:5" x14ac:dyDescent="0.35">
      <c r="A82" s="43">
        <v>81</v>
      </c>
      <c r="B82" s="44">
        <v>1</v>
      </c>
      <c r="C82" s="44">
        <v>12</v>
      </c>
      <c r="D82" s="43" t="s">
        <v>1204</v>
      </c>
      <c r="E82" s="107"/>
    </row>
    <row r="83" spans="1:5" x14ac:dyDescent="0.35">
      <c r="A83" s="43">
        <v>82</v>
      </c>
      <c r="B83" s="44">
        <v>1</v>
      </c>
      <c r="C83" s="44">
        <v>12</v>
      </c>
      <c r="D83" s="43" t="s">
        <v>1205</v>
      </c>
      <c r="E83" s="107"/>
    </row>
    <row r="84" spans="1:5" x14ac:dyDescent="0.35">
      <c r="A84" s="43">
        <v>83</v>
      </c>
      <c r="B84" s="44">
        <v>1</v>
      </c>
      <c r="C84" s="44">
        <v>12</v>
      </c>
      <c r="D84" s="43" t="s">
        <v>1206</v>
      </c>
      <c r="E84" s="107"/>
    </row>
    <row r="85" spans="1:5" x14ac:dyDescent="0.35">
      <c r="A85" s="43">
        <v>84</v>
      </c>
      <c r="B85" s="44">
        <v>1</v>
      </c>
      <c r="C85" s="44">
        <v>12</v>
      </c>
      <c r="D85" s="43" t="s">
        <v>1207</v>
      </c>
      <c r="E85" s="107"/>
    </row>
    <row r="86" spans="1:5" x14ac:dyDescent="0.35">
      <c r="A86" s="43">
        <v>85</v>
      </c>
      <c r="B86" s="44">
        <v>1</v>
      </c>
      <c r="C86" s="44">
        <v>12</v>
      </c>
      <c r="D86" s="43" t="s">
        <v>1208</v>
      </c>
      <c r="E86" s="107"/>
    </row>
    <row r="87" spans="1:5" x14ac:dyDescent="0.35">
      <c r="A87" s="43">
        <v>86</v>
      </c>
      <c r="B87" s="44">
        <v>1</v>
      </c>
      <c r="C87" s="44">
        <v>12</v>
      </c>
      <c r="D87" s="43" t="s">
        <v>1209</v>
      </c>
      <c r="E87" s="107"/>
    </row>
    <row r="88" spans="1:5" x14ac:dyDescent="0.35">
      <c r="A88" s="43">
        <v>87</v>
      </c>
      <c r="B88" s="44">
        <v>1</v>
      </c>
      <c r="C88" s="44">
        <v>12</v>
      </c>
      <c r="D88" s="43" t="s">
        <v>1210</v>
      </c>
      <c r="E88" s="107"/>
    </row>
    <row r="89" spans="1:5" x14ac:dyDescent="0.35">
      <c r="A89" s="43">
        <v>88</v>
      </c>
      <c r="B89" s="44">
        <v>1</v>
      </c>
      <c r="C89" s="44">
        <v>12</v>
      </c>
      <c r="D89" s="43" t="s">
        <v>1211</v>
      </c>
      <c r="E89" s="107"/>
    </row>
    <row r="90" spans="1:5" x14ac:dyDescent="0.35">
      <c r="A90" s="43">
        <v>89</v>
      </c>
      <c r="B90" s="44">
        <v>1</v>
      </c>
      <c r="C90" s="44">
        <v>12</v>
      </c>
      <c r="D90" s="43" t="s">
        <v>1212</v>
      </c>
      <c r="E90" s="107"/>
    </row>
    <row r="91" spans="1:5" x14ac:dyDescent="0.35">
      <c r="A91" s="43">
        <v>90</v>
      </c>
      <c r="B91" s="44">
        <v>1</v>
      </c>
      <c r="C91" s="44">
        <v>12</v>
      </c>
      <c r="D91" s="43" t="s">
        <v>1213</v>
      </c>
      <c r="E91" s="107"/>
    </row>
    <row r="92" spans="1:5" x14ac:dyDescent="0.35">
      <c r="A92" s="43">
        <v>91</v>
      </c>
      <c r="B92" s="44">
        <v>1</v>
      </c>
      <c r="C92" s="44">
        <v>12</v>
      </c>
      <c r="D92" s="43" t="s">
        <v>1214</v>
      </c>
      <c r="E92" s="107"/>
    </row>
    <row r="93" spans="1:5" x14ac:dyDescent="0.35">
      <c r="A93" s="43">
        <v>92</v>
      </c>
      <c r="B93" s="44">
        <v>1</v>
      </c>
      <c r="C93" s="44" t="s">
        <v>1216</v>
      </c>
      <c r="D93" s="43" t="s">
        <v>1215</v>
      </c>
      <c r="E93" s="107"/>
    </row>
    <row r="94" spans="1:5" x14ac:dyDescent="0.35">
      <c r="A94" s="43">
        <v>93</v>
      </c>
      <c r="B94" s="44">
        <v>1</v>
      </c>
      <c r="C94" s="44" t="s">
        <v>1218</v>
      </c>
      <c r="D94" s="43" t="s">
        <v>1217</v>
      </c>
      <c r="E94" s="107"/>
    </row>
    <row r="95" spans="1:5" x14ac:dyDescent="0.35">
      <c r="A95" s="43">
        <v>94</v>
      </c>
      <c r="B95" s="44">
        <v>1</v>
      </c>
      <c r="C95" s="44" t="s">
        <v>1220</v>
      </c>
      <c r="D95" s="43" t="s">
        <v>1219</v>
      </c>
      <c r="E95" s="107"/>
    </row>
    <row r="96" spans="1:5" x14ac:dyDescent="0.35">
      <c r="A96" s="43">
        <v>95</v>
      </c>
      <c r="B96" s="44">
        <v>1</v>
      </c>
      <c r="C96" s="44" t="s">
        <v>1222</v>
      </c>
      <c r="D96" s="43" t="s">
        <v>1221</v>
      </c>
      <c r="E96" s="107"/>
    </row>
    <row r="97" spans="1:5" x14ac:dyDescent="0.35">
      <c r="A97" s="43">
        <v>96</v>
      </c>
      <c r="B97" s="44">
        <v>1</v>
      </c>
      <c r="C97" s="44" t="s">
        <v>1224</v>
      </c>
      <c r="D97" s="43" t="s">
        <v>1223</v>
      </c>
      <c r="E97" s="107"/>
    </row>
    <row r="98" spans="1:5" x14ac:dyDescent="0.35">
      <c r="A98" s="43">
        <v>97</v>
      </c>
      <c r="B98" s="44">
        <v>1</v>
      </c>
      <c r="C98" s="44" t="s">
        <v>1226</v>
      </c>
      <c r="D98" s="43" t="s">
        <v>1225</v>
      </c>
      <c r="E98" s="107"/>
    </row>
    <row r="99" spans="1:5" x14ac:dyDescent="0.35">
      <c r="A99" s="43">
        <v>98</v>
      </c>
      <c r="B99" s="44">
        <v>1</v>
      </c>
      <c r="C99" s="44" t="s">
        <v>1228</v>
      </c>
      <c r="D99" s="43" t="s">
        <v>1227</v>
      </c>
      <c r="E99" s="107"/>
    </row>
    <row r="100" spans="1:5" x14ac:dyDescent="0.35">
      <c r="A100" s="43">
        <v>99</v>
      </c>
      <c r="B100" s="44">
        <v>1</v>
      </c>
      <c r="C100" s="44" t="s">
        <v>1230</v>
      </c>
      <c r="D100" s="43" t="s">
        <v>1229</v>
      </c>
      <c r="E100" s="107"/>
    </row>
    <row r="101" spans="1:5" x14ac:dyDescent="0.35">
      <c r="A101" s="43">
        <v>100</v>
      </c>
      <c r="B101" s="44">
        <v>1</v>
      </c>
      <c r="C101" s="44" t="s">
        <v>1232</v>
      </c>
      <c r="D101" s="43" t="s">
        <v>1231</v>
      </c>
      <c r="E101" s="107"/>
    </row>
    <row r="102" spans="1:5" x14ac:dyDescent="0.35">
      <c r="A102" s="43">
        <v>101</v>
      </c>
      <c r="B102" s="44">
        <v>1</v>
      </c>
      <c r="C102" s="44" t="s">
        <v>1234</v>
      </c>
      <c r="D102" s="43" t="s">
        <v>1233</v>
      </c>
      <c r="E102" s="107"/>
    </row>
    <row r="103" spans="1:5" x14ac:dyDescent="0.35">
      <c r="A103" s="43">
        <v>102</v>
      </c>
      <c r="B103" s="44">
        <v>1</v>
      </c>
      <c r="C103" s="44" t="s">
        <v>1236</v>
      </c>
      <c r="D103" s="43" t="s">
        <v>1235</v>
      </c>
      <c r="E103" s="107"/>
    </row>
    <row r="104" spans="1:5" x14ac:dyDescent="0.35">
      <c r="A104" s="43">
        <v>103</v>
      </c>
      <c r="B104" s="44">
        <v>1</v>
      </c>
      <c r="C104" s="44" t="s">
        <v>1238</v>
      </c>
      <c r="D104" s="43" t="s">
        <v>1237</v>
      </c>
      <c r="E104" s="107"/>
    </row>
    <row r="105" spans="1:5" x14ac:dyDescent="0.35">
      <c r="A105" s="43">
        <v>104</v>
      </c>
      <c r="B105" s="44">
        <v>1</v>
      </c>
      <c r="C105" s="44" t="s">
        <v>1240</v>
      </c>
      <c r="D105" s="43" t="s">
        <v>1239</v>
      </c>
      <c r="E105" s="107"/>
    </row>
    <row r="106" spans="1:5" x14ac:dyDescent="0.35">
      <c r="A106" s="43">
        <v>105</v>
      </c>
      <c r="B106" s="44">
        <v>1</v>
      </c>
      <c r="C106" s="44" t="s">
        <v>1242</v>
      </c>
      <c r="D106" s="43" t="s">
        <v>1241</v>
      </c>
      <c r="E106" s="107"/>
    </row>
    <row r="107" spans="1:5" x14ac:dyDescent="0.35">
      <c r="A107" s="43">
        <v>106</v>
      </c>
      <c r="B107" s="44">
        <v>1</v>
      </c>
      <c r="C107" s="44" t="s">
        <v>1244</v>
      </c>
      <c r="D107" s="43" t="s">
        <v>1243</v>
      </c>
      <c r="E107" s="107"/>
    </row>
    <row r="108" spans="1:5" x14ac:dyDescent="0.35">
      <c r="A108" s="43">
        <v>107</v>
      </c>
      <c r="B108" s="44">
        <v>1</v>
      </c>
      <c r="C108" s="44" t="s">
        <v>128</v>
      </c>
      <c r="D108" s="43" t="s">
        <v>1245</v>
      </c>
      <c r="E108" s="107"/>
    </row>
    <row r="109" spans="1:5" x14ac:dyDescent="0.35">
      <c r="A109" s="43">
        <v>108</v>
      </c>
      <c r="B109" s="44">
        <v>1</v>
      </c>
      <c r="C109" s="44" t="s">
        <v>1220</v>
      </c>
      <c r="D109" s="43" t="s">
        <v>1246</v>
      </c>
      <c r="E109" s="107"/>
    </row>
    <row r="110" spans="1:5" x14ac:dyDescent="0.35">
      <c r="A110" s="43">
        <v>109</v>
      </c>
      <c r="B110" s="44">
        <v>1</v>
      </c>
      <c r="C110" s="44" t="s">
        <v>1248</v>
      </c>
      <c r="D110" s="43" t="s">
        <v>1247</v>
      </c>
      <c r="E110" s="107"/>
    </row>
    <row r="111" spans="1:5" x14ac:dyDescent="0.35">
      <c r="A111" s="43">
        <v>110</v>
      </c>
      <c r="B111" s="44">
        <v>1</v>
      </c>
      <c r="C111" s="44" t="s">
        <v>1250</v>
      </c>
      <c r="D111" s="43" t="s">
        <v>1249</v>
      </c>
      <c r="E111" s="107"/>
    </row>
    <row r="112" spans="1:5" x14ac:dyDescent="0.35">
      <c r="A112" s="43">
        <v>111</v>
      </c>
      <c r="B112" s="44">
        <v>1</v>
      </c>
      <c r="C112" s="44" t="s">
        <v>3710</v>
      </c>
      <c r="D112" s="43" t="s">
        <v>1251</v>
      </c>
      <c r="E112" s="107"/>
    </row>
    <row r="113" spans="1:5" x14ac:dyDescent="0.35">
      <c r="A113" s="43">
        <v>112</v>
      </c>
      <c r="B113" s="44">
        <v>1</v>
      </c>
      <c r="C113" s="44" t="s">
        <v>1253</v>
      </c>
      <c r="D113" s="43" t="s">
        <v>1252</v>
      </c>
      <c r="E113" s="107"/>
    </row>
    <row r="114" spans="1:5" x14ac:dyDescent="0.35">
      <c r="A114" s="43">
        <v>113</v>
      </c>
      <c r="B114" s="44">
        <v>1</v>
      </c>
      <c r="C114" s="44" t="s">
        <v>129</v>
      </c>
      <c r="D114" s="43" t="s">
        <v>1254</v>
      </c>
      <c r="E114" s="107"/>
    </row>
    <row r="115" spans="1:5" x14ac:dyDescent="0.35">
      <c r="A115" s="43">
        <v>114</v>
      </c>
      <c r="B115" s="44">
        <v>1</v>
      </c>
      <c r="C115" s="44" t="s">
        <v>1256</v>
      </c>
      <c r="D115" s="43" t="s">
        <v>1255</v>
      </c>
      <c r="E115" s="107"/>
    </row>
    <row r="116" spans="1:5" x14ac:dyDescent="0.35">
      <c r="A116" s="43">
        <v>115</v>
      </c>
      <c r="B116" s="42">
        <v>1</v>
      </c>
      <c r="C116" s="42" t="s">
        <v>1258</v>
      </c>
      <c r="D116" s="45" t="s">
        <v>1257</v>
      </c>
      <c r="E116" s="107"/>
    </row>
    <row r="117" spans="1:5" x14ac:dyDescent="0.35">
      <c r="A117" s="43">
        <v>116</v>
      </c>
      <c r="B117" s="42">
        <v>1</v>
      </c>
      <c r="C117" s="42" t="s">
        <v>1260</v>
      </c>
      <c r="D117" s="45" t="s">
        <v>1259</v>
      </c>
      <c r="E117" s="107"/>
    </row>
    <row r="118" spans="1:5" x14ac:dyDescent="0.35">
      <c r="A118" s="43">
        <v>117</v>
      </c>
      <c r="B118" s="42">
        <v>1</v>
      </c>
      <c r="C118" s="42" t="s">
        <v>1262</v>
      </c>
      <c r="D118" s="45" t="s">
        <v>1261</v>
      </c>
      <c r="E118" s="107"/>
    </row>
    <row r="119" spans="1:5" x14ac:dyDescent="0.35">
      <c r="A119" s="43">
        <v>118</v>
      </c>
      <c r="B119" s="42">
        <v>1</v>
      </c>
      <c r="C119" s="42" t="s">
        <v>1264</v>
      </c>
      <c r="D119" s="45" t="s">
        <v>1263</v>
      </c>
      <c r="E119" s="107"/>
    </row>
    <row r="120" spans="1:5" x14ac:dyDescent="0.35">
      <c r="A120" s="43">
        <v>119</v>
      </c>
      <c r="B120" s="42">
        <v>2</v>
      </c>
      <c r="C120" s="42">
        <v>1</v>
      </c>
      <c r="D120" s="45" t="s">
        <v>1265</v>
      </c>
      <c r="E120" s="107"/>
    </row>
    <row r="121" spans="1:5" x14ac:dyDescent="0.35">
      <c r="A121" s="43">
        <v>120</v>
      </c>
      <c r="B121" s="42">
        <v>2</v>
      </c>
      <c r="C121" s="42">
        <v>1</v>
      </c>
      <c r="D121" s="45" t="s">
        <v>1266</v>
      </c>
      <c r="E121" s="107"/>
    </row>
    <row r="122" spans="1:5" x14ac:dyDescent="0.35">
      <c r="A122" s="43">
        <v>121</v>
      </c>
      <c r="B122" s="42">
        <v>2</v>
      </c>
      <c r="C122" s="42">
        <v>1</v>
      </c>
      <c r="D122" s="45" t="s">
        <v>1267</v>
      </c>
      <c r="E122" s="107"/>
    </row>
    <row r="123" spans="1:5" x14ac:dyDescent="0.35">
      <c r="A123" s="43">
        <v>122</v>
      </c>
      <c r="B123" s="42">
        <v>2</v>
      </c>
      <c r="C123" s="42">
        <v>2</v>
      </c>
      <c r="D123" s="45" t="s">
        <v>1268</v>
      </c>
      <c r="E123" s="107"/>
    </row>
    <row r="124" spans="1:5" x14ac:dyDescent="0.35">
      <c r="A124" s="43">
        <v>123</v>
      </c>
      <c r="B124" s="42">
        <v>2</v>
      </c>
      <c r="C124" s="42">
        <v>2</v>
      </c>
      <c r="D124" s="45" t="s">
        <v>1269</v>
      </c>
      <c r="E124" s="107"/>
    </row>
    <row r="125" spans="1:5" x14ac:dyDescent="0.35">
      <c r="A125" s="43">
        <v>124</v>
      </c>
      <c r="B125" s="42">
        <v>2</v>
      </c>
      <c r="C125" s="42">
        <v>2</v>
      </c>
      <c r="D125" s="45" t="s">
        <v>1270</v>
      </c>
      <c r="E125" s="107"/>
    </row>
    <row r="126" spans="1:5" x14ac:dyDescent="0.35">
      <c r="A126" s="43">
        <v>125</v>
      </c>
      <c r="B126" s="42">
        <v>2</v>
      </c>
      <c r="C126" s="42">
        <v>2</v>
      </c>
      <c r="D126" s="45" t="s">
        <v>1271</v>
      </c>
      <c r="E126" s="107"/>
    </row>
    <row r="127" spans="1:5" x14ac:dyDescent="0.35">
      <c r="A127" s="43">
        <v>126</v>
      </c>
      <c r="B127" s="42">
        <v>2</v>
      </c>
      <c r="C127" s="42">
        <v>2</v>
      </c>
      <c r="D127" s="45" t="s">
        <v>1272</v>
      </c>
      <c r="E127" s="107"/>
    </row>
    <row r="128" spans="1:5" x14ac:dyDescent="0.35">
      <c r="A128" s="43">
        <v>127</v>
      </c>
      <c r="B128" s="42">
        <v>2</v>
      </c>
      <c r="C128" s="42">
        <v>2</v>
      </c>
      <c r="D128" s="45" t="s">
        <v>1273</v>
      </c>
      <c r="E128" s="107"/>
    </row>
    <row r="129" spans="1:5" x14ac:dyDescent="0.35">
      <c r="A129" s="43">
        <v>128</v>
      </c>
      <c r="B129" s="42">
        <v>2</v>
      </c>
      <c r="C129" s="42">
        <v>3</v>
      </c>
      <c r="D129" s="45" t="s">
        <v>1274</v>
      </c>
      <c r="E129" s="107"/>
    </row>
    <row r="130" spans="1:5" x14ac:dyDescent="0.35">
      <c r="A130" s="43">
        <v>129</v>
      </c>
      <c r="B130" s="42">
        <v>2</v>
      </c>
      <c r="C130" s="42">
        <v>3</v>
      </c>
      <c r="D130" s="45" t="s">
        <v>1275</v>
      </c>
      <c r="E130" s="107"/>
    </row>
    <row r="131" spans="1:5" x14ac:dyDescent="0.35">
      <c r="A131" s="43">
        <v>130</v>
      </c>
      <c r="B131" s="42">
        <v>2</v>
      </c>
      <c r="C131" s="42">
        <v>3</v>
      </c>
      <c r="D131" s="45" t="s">
        <v>1276</v>
      </c>
      <c r="E131" s="107"/>
    </row>
    <row r="132" spans="1:5" x14ac:dyDescent="0.35">
      <c r="A132" s="43">
        <v>131</v>
      </c>
      <c r="B132" s="42">
        <v>2</v>
      </c>
      <c r="C132" s="42">
        <v>3</v>
      </c>
      <c r="D132" s="45" t="s">
        <v>1277</v>
      </c>
      <c r="E132" s="107"/>
    </row>
    <row r="133" spans="1:5" x14ac:dyDescent="0.35">
      <c r="A133" s="43">
        <v>132</v>
      </c>
      <c r="B133" s="42">
        <v>2</v>
      </c>
      <c r="C133" s="42">
        <v>3</v>
      </c>
      <c r="D133" s="45" t="s">
        <v>1278</v>
      </c>
      <c r="E133" s="107"/>
    </row>
    <row r="134" spans="1:5" x14ac:dyDescent="0.35">
      <c r="A134" s="43">
        <v>133</v>
      </c>
      <c r="B134" s="42">
        <v>2</v>
      </c>
      <c r="C134" s="42">
        <v>4</v>
      </c>
      <c r="D134" s="46" t="s">
        <v>1279</v>
      </c>
      <c r="E134" s="107"/>
    </row>
    <row r="135" spans="1:5" x14ac:dyDescent="0.35">
      <c r="A135" s="43">
        <v>134</v>
      </c>
      <c r="B135" s="42">
        <v>2</v>
      </c>
      <c r="C135" s="42">
        <v>4</v>
      </c>
      <c r="D135" s="45" t="s">
        <v>1280</v>
      </c>
      <c r="E135" s="107"/>
    </row>
    <row r="136" spans="1:5" x14ac:dyDescent="0.35">
      <c r="A136" s="43">
        <v>135</v>
      </c>
      <c r="B136" s="42">
        <v>2</v>
      </c>
      <c r="C136" s="42">
        <v>4</v>
      </c>
      <c r="D136" s="45" t="s">
        <v>1281</v>
      </c>
      <c r="E136" s="107"/>
    </row>
    <row r="137" spans="1:5" x14ac:dyDescent="0.35">
      <c r="A137" s="43">
        <v>136</v>
      </c>
      <c r="B137" s="42">
        <v>2</v>
      </c>
      <c r="C137" s="42">
        <v>4</v>
      </c>
      <c r="D137" s="45" t="s">
        <v>1282</v>
      </c>
      <c r="E137" s="107"/>
    </row>
    <row r="138" spans="1:5" x14ac:dyDescent="0.35">
      <c r="A138" s="43">
        <v>137</v>
      </c>
      <c r="B138" s="42">
        <v>2</v>
      </c>
      <c r="C138" s="42">
        <v>4</v>
      </c>
      <c r="D138" s="45" t="s">
        <v>1283</v>
      </c>
      <c r="E138" s="107"/>
    </row>
    <row r="139" spans="1:5" x14ac:dyDescent="0.35">
      <c r="A139" s="43">
        <v>138</v>
      </c>
      <c r="B139" s="42">
        <v>2</v>
      </c>
      <c r="C139" s="42">
        <v>4</v>
      </c>
      <c r="D139" s="45" t="s">
        <v>1284</v>
      </c>
      <c r="E139" s="107"/>
    </row>
    <row r="140" spans="1:5" x14ac:dyDescent="0.35">
      <c r="A140" s="43">
        <v>139</v>
      </c>
      <c r="B140" s="42">
        <v>2</v>
      </c>
      <c r="C140" s="42">
        <v>5</v>
      </c>
      <c r="D140" s="45" t="s">
        <v>1285</v>
      </c>
      <c r="E140" s="107"/>
    </row>
    <row r="141" spans="1:5" x14ac:dyDescent="0.35">
      <c r="A141" s="43">
        <v>140</v>
      </c>
      <c r="B141" s="42">
        <v>2</v>
      </c>
      <c r="C141" s="42">
        <v>5</v>
      </c>
      <c r="D141" s="45" t="s">
        <v>3842</v>
      </c>
      <c r="E141" s="107"/>
    </row>
    <row r="142" spans="1:5" x14ac:dyDescent="0.35">
      <c r="A142" s="43">
        <v>141</v>
      </c>
      <c r="B142" s="42">
        <v>2</v>
      </c>
      <c r="C142" s="42">
        <v>6</v>
      </c>
      <c r="D142" s="45" t="s">
        <v>1286</v>
      </c>
      <c r="E142" s="107"/>
    </row>
    <row r="143" spans="1:5" x14ac:dyDescent="0.35">
      <c r="A143" s="43">
        <v>142</v>
      </c>
      <c r="B143" s="42">
        <v>2</v>
      </c>
      <c r="C143" s="42">
        <v>6</v>
      </c>
      <c r="D143" s="45" t="s">
        <v>1287</v>
      </c>
      <c r="E143" s="107"/>
    </row>
    <row r="144" spans="1:5" x14ac:dyDescent="0.35">
      <c r="A144" s="43">
        <v>143</v>
      </c>
      <c r="B144" s="42">
        <v>2</v>
      </c>
      <c r="C144" s="42">
        <v>6</v>
      </c>
      <c r="D144" s="45" t="s">
        <v>1288</v>
      </c>
      <c r="E144" s="107"/>
    </row>
    <row r="145" spans="1:5" x14ac:dyDescent="0.35">
      <c r="A145" s="43">
        <v>144</v>
      </c>
      <c r="B145" s="42">
        <v>2</v>
      </c>
      <c r="C145" s="42">
        <v>6</v>
      </c>
      <c r="D145" s="45" t="s">
        <v>1289</v>
      </c>
      <c r="E145" s="107"/>
    </row>
    <row r="146" spans="1:5" x14ac:dyDescent="0.35">
      <c r="A146" s="43">
        <v>145</v>
      </c>
      <c r="B146" s="42">
        <v>2</v>
      </c>
      <c r="C146" s="42">
        <v>6</v>
      </c>
      <c r="D146" s="45" t="s">
        <v>1290</v>
      </c>
      <c r="E146" s="107"/>
    </row>
    <row r="147" spans="1:5" x14ac:dyDescent="0.35">
      <c r="A147" s="43">
        <v>146</v>
      </c>
      <c r="B147" s="42">
        <v>2</v>
      </c>
      <c r="C147" s="42">
        <v>7</v>
      </c>
      <c r="D147" s="46" t="s">
        <v>1291</v>
      </c>
      <c r="E147" s="107"/>
    </row>
    <row r="148" spans="1:5" x14ac:dyDescent="0.35">
      <c r="A148" s="43">
        <v>147</v>
      </c>
      <c r="B148" s="42">
        <v>2</v>
      </c>
      <c r="C148" s="42">
        <v>7</v>
      </c>
      <c r="D148" s="45" t="s">
        <v>1292</v>
      </c>
      <c r="E148" s="107"/>
    </row>
    <row r="149" spans="1:5" x14ac:dyDescent="0.35">
      <c r="A149" s="43">
        <v>148</v>
      </c>
      <c r="B149" s="42">
        <v>2</v>
      </c>
      <c r="C149" s="42">
        <v>7</v>
      </c>
      <c r="D149" s="45" t="s">
        <v>1293</v>
      </c>
      <c r="E149" s="107"/>
    </row>
    <row r="150" spans="1:5" x14ac:dyDescent="0.35">
      <c r="A150" s="43">
        <v>149</v>
      </c>
      <c r="B150" s="42">
        <v>2</v>
      </c>
      <c r="C150" s="42">
        <v>7</v>
      </c>
      <c r="D150" s="45" t="s">
        <v>1294</v>
      </c>
      <c r="E150" s="107"/>
    </row>
    <row r="151" spans="1:5" x14ac:dyDescent="0.35">
      <c r="A151" s="43">
        <v>150</v>
      </c>
      <c r="B151" s="42">
        <v>2</v>
      </c>
      <c r="C151" s="42">
        <v>7</v>
      </c>
      <c r="D151" s="45" t="s">
        <v>1295</v>
      </c>
      <c r="E151" s="107"/>
    </row>
    <row r="152" spans="1:5" x14ac:dyDescent="0.35">
      <c r="A152" s="43">
        <v>151</v>
      </c>
      <c r="B152" s="42">
        <v>2</v>
      </c>
      <c r="C152" s="42">
        <v>8</v>
      </c>
      <c r="D152" s="46" t="s">
        <v>1296</v>
      </c>
      <c r="E152" s="107"/>
    </row>
    <row r="153" spans="1:5" x14ac:dyDescent="0.35">
      <c r="A153" s="43">
        <v>152</v>
      </c>
      <c r="B153" s="42">
        <v>2</v>
      </c>
      <c r="C153" s="42">
        <v>9</v>
      </c>
      <c r="D153" s="46" t="s">
        <v>1297</v>
      </c>
      <c r="E153" s="107"/>
    </row>
    <row r="154" spans="1:5" x14ac:dyDescent="0.35">
      <c r="A154" s="43">
        <v>153</v>
      </c>
      <c r="B154" s="42">
        <v>2</v>
      </c>
      <c r="C154" s="42">
        <v>9</v>
      </c>
      <c r="D154" s="45" t="s">
        <v>1298</v>
      </c>
      <c r="E154" s="107"/>
    </row>
    <row r="155" spans="1:5" x14ac:dyDescent="0.35">
      <c r="A155" s="43">
        <v>154</v>
      </c>
      <c r="B155" s="42">
        <v>2</v>
      </c>
      <c r="C155" s="42">
        <v>9</v>
      </c>
      <c r="D155" s="45" t="s">
        <v>1299</v>
      </c>
      <c r="E155" s="107"/>
    </row>
    <row r="156" spans="1:5" x14ac:dyDescent="0.35">
      <c r="A156" s="43">
        <v>155</v>
      </c>
      <c r="B156" s="42">
        <v>2</v>
      </c>
      <c r="C156" s="42">
        <v>9</v>
      </c>
      <c r="D156" s="45" t="s">
        <v>1300</v>
      </c>
      <c r="E156" s="107"/>
    </row>
    <row r="157" spans="1:5" x14ac:dyDescent="0.35">
      <c r="A157" s="43">
        <v>156</v>
      </c>
      <c r="B157" s="42">
        <v>2</v>
      </c>
      <c r="C157" s="42">
        <v>9</v>
      </c>
      <c r="D157" s="45" t="s">
        <v>1301</v>
      </c>
      <c r="E157" s="107"/>
    </row>
    <row r="158" spans="1:5" x14ac:dyDescent="0.35">
      <c r="A158" s="43">
        <v>157</v>
      </c>
      <c r="B158" s="42">
        <v>2</v>
      </c>
      <c r="C158" s="42">
        <v>9</v>
      </c>
      <c r="D158" s="45" t="s">
        <v>1302</v>
      </c>
      <c r="E158" s="107"/>
    </row>
    <row r="159" spans="1:5" x14ac:dyDescent="0.35">
      <c r="A159" s="43">
        <v>158</v>
      </c>
      <c r="B159" s="42">
        <v>2</v>
      </c>
      <c r="C159" s="42">
        <v>9</v>
      </c>
      <c r="D159" s="45" t="s">
        <v>1303</v>
      </c>
      <c r="E159" s="107"/>
    </row>
    <row r="160" spans="1:5" x14ac:dyDescent="0.35">
      <c r="A160" s="43">
        <v>159</v>
      </c>
      <c r="B160" s="42">
        <v>2</v>
      </c>
      <c r="C160" s="42">
        <v>9</v>
      </c>
      <c r="D160" s="45" t="s">
        <v>1304</v>
      </c>
      <c r="E160" s="107"/>
    </row>
    <row r="161" spans="1:5" x14ac:dyDescent="0.35">
      <c r="A161" s="43">
        <v>160</v>
      </c>
      <c r="B161" s="42">
        <v>2</v>
      </c>
      <c r="C161" s="42">
        <v>10</v>
      </c>
      <c r="D161" s="45" t="s">
        <v>1305</v>
      </c>
      <c r="E161" s="107"/>
    </row>
    <row r="162" spans="1:5" x14ac:dyDescent="0.35">
      <c r="A162" s="43">
        <v>161</v>
      </c>
      <c r="B162" s="42">
        <v>2</v>
      </c>
      <c r="C162" s="42">
        <v>10</v>
      </c>
      <c r="D162" s="45" t="s">
        <v>1306</v>
      </c>
      <c r="E162" s="107"/>
    </row>
    <row r="163" spans="1:5" x14ac:dyDescent="0.35">
      <c r="A163" s="43">
        <v>162</v>
      </c>
      <c r="B163" s="42">
        <v>2</v>
      </c>
      <c r="C163" s="42">
        <v>10</v>
      </c>
      <c r="D163" s="45" t="s">
        <v>1307</v>
      </c>
      <c r="E163" s="107"/>
    </row>
    <row r="164" spans="1:5" x14ac:dyDescent="0.35">
      <c r="A164" s="43">
        <v>163</v>
      </c>
      <c r="B164" s="42">
        <v>2</v>
      </c>
      <c r="C164" s="42">
        <v>11</v>
      </c>
      <c r="D164" s="46" t="s">
        <v>1308</v>
      </c>
      <c r="E164" s="107"/>
    </row>
    <row r="165" spans="1:5" x14ac:dyDescent="0.35">
      <c r="A165" s="43">
        <v>164</v>
      </c>
      <c r="B165" s="42">
        <v>2</v>
      </c>
      <c r="C165" s="42">
        <v>11</v>
      </c>
      <c r="D165" s="45" t="s">
        <v>1309</v>
      </c>
      <c r="E165" s="107"/>
    </row>
    <row r="166" spans="1:5" x14ac:dyDescent="0.35">
      <c r="A166" s="43">
        <v>165</v>
      </c>
      <c r="B166" s="44">
        <v>2</v>
      </c>
      <c r="C166" s="44">
        <v>11</v>
      </c>
      <c r="D166" s="43" t="s">
        <v>1310</v>
      </c>
      <c r="E166" s="107"/>
    </row>
    <row r="167" spans="1:5" x14ac:dyDescent="0.35">
      <c r="A167" s="43">
        <v>166</v>
      </c>
      <c r="B167" s="42">
        <v>2</v>
      </c>
      <c r="C167" s="42">
        <v>11</v>
      </c>
      <c r="D167" s="45" t="s">
        <v>1311</v>
      </c>
      <c r="E167" s="107"/>
    </row>
    <row r="168" spans="1:5" ht="26" x14ac:dyDescent="0.35">
      <c r="A168" s="43">
        <v>167</v>
      </c>
      <c r="B168" s="42">
        <v>2</v>
      </c>
      <c r="C168" s="42">
        <v>12</v>
      </c>
      <c r="D168" s="45" t="s">
        <v>1312</v>
      </c>
      <c r="E168" s="107"/>
    </row>
    <row r="169" spans="1:5" x14ac:dyDescent="0.35">
      <c r="A169" s="43">
        <v>168</v>
      </c>
      <c r="B169" s="44">
        <v>2</v>
      </c>
      <c r="C169" s="44">
        <v>12</v>
      </c>
      <c r="D169" s="43" t="s">
        <v>1313</v>
      </c>
      <c r="E169" s="107"/>
    </row>
    <row r="170" spans="1:5" x14ac:dyDescent="0.35">
      <c r="A170" s="43">
        <v>169</v>
      </c>
      <c r="B170" s="44">
        <v>2</v>
      </c>
      <c r="C170" s="44" t="s">
        <v>1315</v>
      </c>
      <c r="D170" s="43" t="s">
        <v>1314</v>
      </c>
      <c r="E170" s="107"/>
    </row>
    <row r="171" spans="1:5" x14ac:dyDescent="0.35">
      <c r="A171" s="43">
        <v>170</v>
      </c>
      <c r="B171" s="44">
        <v>2</v>
      </c>
      <c r="C171" s="44" t="s">
        <v>1317</v>
      </c>
      <c r="D171" s="43" t="s">
        <v>1316</v>
      </c>
      <c r="E171" s="107"/>
    </row>
    <row r="172" spans="1:5" x14ac:dyDescent="0.35">
      <c r="A172" s="43">
        <v>171</v>
      </c>
      <c r="B172" s="44">
        <v>2</v>
      </c>
      <c r="C172" s="44" t="s">
        <v>126</v>
      </c>
      <c r="D172" s="43" t="s">
        <v>1318</v>
      </c>
      <c r="E172" s="107"/>
    </row>
    <row r="173" spans="1:5" x14ac:dyDescent="0.35">
      <c r="A173" s="43">
        <v>172</v>
      </c>
      <c r="B173" s="44">
        <v>2</v>
      </c>
      <c r="C173" s="44" t="s">
        <v>1320</v>
      </c>
      <c r="D173" s="43" t="s">
        <v>1319</v>
      </c>
      <c r="E173" s="107"/>
    </row>
    <row r="174" spans="1:5" x14ac:dyDescent="0.35">
      <c r="A174" s="43">
        <v>173</v>
      </c>
      <c r="B174" s="44">
        <v>2</v>
      </c>
      <c r="C174" s="44" t="s">
        <v>1322</v>
      </c>
      <c r="D174" s="43" t="s">
        <v>1321</v>
      </c>
      <c r="E174" s="107"/>
    </row>
    <row r="175" spans="1:5" x14ac:dyDescent="0.35">
      <c r="A175" s="43">
        <v>174</v>
      </c>
      <c r="B175" s="44">
        <v>2</v>
      </c>
      <c r="C175" s="44" t="s">
        <v>1324</v>
      </c>
      <c r="D175" s="43" t="s">
        <v>1323</v>
      </c>
      <c r="E175" s="107"/>
    </row>
    <row r="176" spans="1:5" x14ac:dyDescent="0.35">
      <c r="A176" s="43">
        <v>175</v>
      </c>
      <c r="B176" s="44">
        <v>2</v>
      </c>
      <c r="C176" s="44" t="s">
        <v>1326</v>
      </c>
      <c r="D176" s="43" t="s">
        <v>1325</v>
      </c>
      <c r="E176" s="107"/>
    </row>
    <row r="177" spans="1:5" x14ac:dyDescent="0.35">
      <c r="A177" s="43">
        <v>176</v>
      </c>
      <c r="B177" s="44">
        <v>2</v>
      </c>
      <c r="C177" s="44" t="s">
        <v>1328</v>
      </c>
      <c r="D177" s="43" t="s">
        <v>1327</v>
      </c>
      <c r="E177" s="107"/>
    </row>
    <row r="178" spans="1:5" x14ac:dyDescent="0.35">
      <c r="A178" s="43">
        <v>177</v>
      </c>
      <c r="B178" s="44">
        <v>2</v>
      </c>
      <c r="C178" s="44" t="s">
        <v>1330</v>
      </c>
      <c r="D178" s="43" t="s">
        <v>1329</v>
      </c>
      <c r="E178" s="107"/>
    </row>
    <row r="179" spans="1:5" x14ac:dyDescent="0.35">
      <c r="A179" s="43">
        <v>178</v>
      </c>
      <c r="B179" s="44">
        <v>2</v>
      </c>
      <c r="C179" s="44" t="s">
        <v>1332</v>
      </c>
      <c r="D179" s="43" t="s">
        <v>1331</v>
      </c>
      <c r="E179" s="107"/>
    </row>
    <row r="180" spans="1:5" x14ac:dyDescent="0.35">
      <c r="A180" s="43">
        <v>179</v>
      </c>
      <c r="B180" s="44">
        <v>2</v>
      </c>
      <c r="C180" s="44" t="s">
        <v>1334</v>
      </c>
      <c r="D180" s="43" t="s">
        <v>1333</v>
      </c>
      <c r="E180" s="107"/>
    </row>
    <row r="181" spans="1:5" x14ac:dyDescent="0.35">
      <c r="A181" s="43">
        <v>180</v>
      </c>
      <c r="B181" s="44">
        <v>2</v>
      </c>
      <c r="C181" s="44" t="s">
        <v>1336</v>
      </c>
      <c r="D181" s="43" t="s">
        <v>1335</v>
      </c>
      <c r="E181" s="107"/>
    </row>
    <row r="182" spans="1:5" x14ac:dyDescent="0.35">
      <c r="A182" s="43">
        <v>181</v>
      </c>
      <c r="B182" s="44">
        <v>2</v>
      </c>
      <c r="C182" s="44" t="s">
        <v>1338</v>
      </c>
      <c r="D182" s="43" t="s">
        <v>1337</v>
      </c>
      <c r="E182" s="107"/>
    </row>
    <row r="183" spans="1:5" x14ac:dyDescent="0.35">
      <c r="A183" s="43">
        <v>182</v>
      </c>
      <c r="B183" s="44">
        <v>2</v>
      </c>
      <c r="C183" s="44" t="s">
        <v>1340</v>
      </c>
      <c r="D183" s="43" t="s">
        <v>1339</v>
      </c>
      <c r="E183" s="107"/>
    </row>
    <row r="184" spans="1:5" x14ac:dyDescent="0.35">
      <c r="A184" s="43">
        <v>183</v>
      </c>
      <c r="B184" s="44">
        <v>2</v>
      </c>
      <c r="C184" s="44" t="s">
        <v>1342</v>
      </c>
      <c r="D184" s="43" t="s">
        <v>1341</v>
      </c>
      <c r="E184" s="107"/>
    </row>
    <row r="185" spans="1:5" x14ac:dyDescent="0.35">
      <c r="A185" s="43">
        <v>184</v>
      </c>
      <c r="B185" s="44">
        <v>2</v>
      </c>
      <c r="C185" s="44" t="s">
        <v>1344</v>
      </c>
      <c r="D185" s="43" t="s">
        <v>1343</v>
      </c>
      <c r="E185" s="107"/>
    </row>
    <row r="186" spans="1:5" x14ac:dyDescent="0.35">
      <c r="A186" s="43">
        <v>185</v>
      </c>
      <c r="B186" s="42">
        <v>2</v>
      </c>
      <c r="C186" s="42" t="s">
        <v>1345</v>
      </c>
      <c r="D186" s="43" t="s">
        <v>1343</v>
      </c>
      <c r="E186" s="107"/>
    </row>
    <row r="187" spans="1:5" x14ac:dyDescent="0.35">
      <c r="A187" s="43">
        <v>186</v>
      </c>
      <c r="B187" s="44">
        <v>2</v>
      </c>
      <c r="C187" s="44" t="s">
        <v>1347</v>
      </c>
      <c r="D187" s="43" t="s">
        <v>1346</v>
      </c>
      <c r="E187" s="107"/>
    </row>
    <row r="188" spans="1:5" x14ac:dyDescent="0.35">
      <c r="A188" s="43">
        <v>187</v>
      </c>
      <c r="B188" s="44">
        <v>2</v>
      </c>
      <c r="C188" s="44" t="s">
        <v>1326</v>
      </c>
      <c r="D188" s="43" t="s">
        <v>1348</v>
      </c>
      <c r="E188" s="107"/>
    </row>
    <row r="189" spans="1:5" x14ac:dyDescent="0.35">
      <c r="A189" s="43">
        <v>188</v>
      </c>
      <c r="B189" s="44">
        <v>2</v>
      </c>
      <c r="C189" s="44" t="s">
        <v>128</v>
      </c>
      <c r="D189" s="43" t="s">
        <v>1349</v>
      </c>
      <c r="E189" s="107"/>
    </row>
    <row r="190" spans="1:5" x14ac:dyDescent="0.35">
      <c r="A190" s="43">
        <v>189</v>
      </c>
      <c r="B190" s="44">
        <v>2</v>
      </c>
      <c r="C190" s="44" t="s">
        <v>1351</v>
      </c>
      <c r="D190" s="43" t="s">
        <v>1350</v>
      </c>
      <c r="E190" s="107"/>
    </row>
    <row r="191" spans="1:5" x14ac:dyDescent="0.35">
      <c r="A191" s="43">
        <v>190</v>
      </c>
      <c r="B191" s="44">
        <v>2</v>
      </c>
      <c r="C191" s="44" t="s">
        <v>1353</v>
      </c>
      <c r="D191" s="43" t="s">
        <v>1352</v>
      </c>
      <c r="E191" s="107"/>
    </row>
    <row r="192" spans="1:5" x14ac:dyDescent="0.35">
      <c r="A192" s="43">
        <v>191</v>
      </c>
      <c r="B192" s="44">
        <v>2</v>
      </c>
      <c r="C192" s="44" t="s">
        <v>1355</v>
      </c>
      <c r="D192" s="43" t="s">
        <v>1354</v>
      </c>
      <c r="E192" s="107"/>
    </row>
    <row r="193" spans="1:5" x14ac:dyDescent="0.35">
      <c r="A193" s="43">
        <v>192</v>
      </c>
      <c r="B193" s="44">
        <v>2</v>
      </c>
      <c r="C193" s="44" t="s">
        <v>1357</v>
      </c>
      <c r="D193" s="43" t="s">
        <v>1356</v>
      </c>
      <c r="E193" s="107"/>
    </row>
    <row r="194" spans="1:5" x14ac:dyDescent="0.35">
      <c r="A194" s="43">
        <v>193</v>
      </c>
      <c r="B194" s="44">
        <v>2</v>
      </c>
      <c r="C194" s="44" t="s">
        <v>1359</v>
      </c>
      <c r="D194" s="43" t="s">
        <v>1358</v>
      </c>
      <c r="E194" s="107"/>
    </row>
    <row r="195" spans="1:5" x14ac:dyDescent="0.35">
      <c r="A195" s="43">
        <v>194</v>
      </c>
      <c r="B195" s="44">
        <v>2</v>
      </c>
      <c r="C195" s="44" t="s">
        <v>126</v>
      </c>
      <c r="D195" s="43" t="s">
        <v>1360</v>
      </c>
      <c r="E195" s="107"/>
    </row>
    <row r="196" spans="1:5" x14ac:dyDescent="0.35">
      <c r="A196" s="43">
        <v>195</v>
      </c>
      <c r="B196" s="44">
        <v>2</v>
      </c>
      <c r="C196" s="44" t="s">
        <v>1328</v>
      </c>
      <c r="D196" s="43" t="s">
        <v>1361</v>
      </c>
      <c r="E196" s="107"/>
    </row>
    <row r="197" spans="1:5" x14ac:dyDescent="0.35">
      <c r="A197" s="43">
        <v>196</v>
      </c>
      <c r="B197" s="44">
        <v>2</v>
      </c>
      <c r="C197" s="44" t="s">
        <v>1363</v>
      </c>
      <c r="D197" s="43" t="s">
        <v>1362</v>
      </c>
      <c r="E197" s="107"/>
    </row>
    <row r="198" spans="1:5" x14ac:dyDescent="0.35">
      <c r="A198" s="43">
        <v>197</v>
      </c>
      <c r="B198" s="44">
        <v>2</v>
      </c>
      <c r="C198" s="44" t="s">
        <v>126</v>
      </c>
      <c r="D198" s="43" t="s">
        <v>1364</v>
      </c>
      <c r="E198" s="107"/>
    </row>
    <row r="199" spans="1:5" x14ac:dyDescent="0.35">
      <c r="A199" s="43">
        <v>198</v>
      </c>
      <c r="B199" s="44">
        <v>2</v>
      </c>
      <c r="C199" s="44" t="s">
        <v>1317</v>
      </c>
      <c r="D199" s="43" t="s">
        <v>1365</v>
      </c>
      <c r="E199" s="107"/>
    </row>
    <row r="200" spans="1:5" x14ac:dyDescent="0.35">
      <c r="A200" s="43">
        <v>199</v>
      </c>
      <c r="B200" s="44">
        <v>2</v>
      </c>
      <c r="C200" s="44" t="s">
        <v>128</v>
      </c>
      <c r="D200" s="43" t="s">
        <v>1366</v>
      </c>
      <c r="E200" s="107"/>
    </row>
    <row r="201" spans="1:5" x14ac:dyDescent="0.35">
      <c r="A201" s="43">
        <v>200</v>
      </c>
      <c r="B201" s="42">
        <v>3</v>
      </c>
      <c r="C201" s="42">
        <v>1</v>
      </c>
      <c r="D201" s="45" t="s">
        <v>1367</v>
      </c>
      <c r="E201" s="107"/>
    </row>
    <row r="202" spans="1:5" x14ac:dyDescent="0.35">
      <c r="A202" s="43">
        <v>201</v>
      </c>
      <c r="B202" s="42">
        <v>3</v>
      </c>
      <c r="C202" s="42">
        <v>1</v>
      </c>
      <c r="D202" s="43" t="s">
        <v>1368</v>
      </c>
      <c r="E202" s="107"/>
    </row>
    <row r="203" spans="1:5" x14ac:dyDescent="0.35">
      <c r="A203" s="43">
        <v>202</v>
      </c>
      <c r="B203" s="42">
        <v>3</v>
      </c>
      <c r="C203" s="42">
        <v>1</v>
      </c>
      <c r="D203" s="45" t="s">
        <v>1369</v>
      </c>
      <c r="E203" s="107"/>
    </row>
    <row r="204" spans="1:5" x14ac:dyDescent="0.35">
      <c r="A204" s="43">
        <v>203</v>
      </c>
      <c r="B204" s="42">
        <v>3</v>
      </c>
      <c r="C204" s="42">
        <v>1</v>
      </c>
      <c r="D204" s="45" t="s">
        <v>1370</v>
      </c>
      <c r="E204" s="107"/>
    </row>
    <row r="205" spans="1:5" x14ac:dyDescent="0.35">
      <c r="A205" s="43">
        <v>204</v>
      </c>
      <c r="B205" s="42">
        <v>3</v>
      </c>
      <c r="C205" s="42">
        <v>1</v>
      </c>
      <c r="D205" s="45" t="s">
        <v>1371</v>
      </c>
      <c r="E205" s="107"/>
    </row>
    <row r="206" spans="1:5" x14ac:dyDescent="0.35">
      <c r="A206" s="43">
        <v>205</v>
      </c>
      <c r="B206" s="42">
        <v>3</v>
      </c>
      <c r="C206" s="42">
        <v>2</v>
      </c>
      <c r="D206" s="45" t="s">
        <v>1372</v>
      </c>
      <c r="E206" s="107"/>
    </row>
    <row r="207" spans="1:5" x14ac:dyDescent="0.35">
      <c r="A207" s="43">
        <v>206</v>
      </c>
      <c r="B207" s="42">
        <v>3</v>
      </c>
      <c r="C207" s="42">
        <v>2</v>
      </c>
      <c r="D207" s="45" t="s">
        <v>1373</v>
      </c>
      <c r="E207" s="107"/>
    </row>
    <row r="208" spans="1:5" x14ac:dyDescent="0.35">
      <c r="A208" s="43">
        <v>207</v>
      </c>
      <c r="B208" s="42">
        <v>3</v>
      </c>
      <c r="C208" s="42">
        <v>2</v>
      </c>
      <c r="D208" s="45" t="s">
        <v>1374</v>
      </c>
      <c r="E208" s="107"/>
    </row>
    <row r="209" spans="1:5" x14ac:dyDescent="0.35">
      <c r="A209" s="43">
        <v>208</v>
      </c>
      <c r="B209" s="42">
        <v>3</v>
      </c>
      <c r="C209" s="42">
        <v>2</v>
      </c>
      <c r="D209" s="45" t="s">
        <v>1375</v>
      </c>
      <c r="E209" s="107"/>
    </row>
    <row r="210" spans="1:5" x14ac:dyDescent="0.35">
      <c r="A210" s="43">
        <v>209</v>
      </c>
      <c r="B210" s="42">
        <v>3</v>
      </c>
      <c r="C210" s="42">
        <v>2</v>
      </c>
      <c r="D210" s="45" t="s">
        <v>1376</v>
      </c>
      <c r="E210" s="107"/>
    </row>
    <row r="211" spans="1:5" x14ac:dyDescent="0.35">
      <c r="A211" s="43">
        <v>210</v>
      </c>
      <c r="B211" s="42">
        <v>3</v>
      </c>
      <c r="C211" s="42">
        <v>2</v>
      </c>
      <c r="D211" s="45" t="s">
        <v>1377</v>
      </c>
      <c r="E211" s="107"/>
    </row>
    <row r="212" spans="1:5" x14ac:dyDescent="0.35">
      <c r="A212" s="43">
        <v>211</v>
      </c>
      <c r="B212" s="42">
        <v>3</v>
      </c>
      <c r="C212" s="42">
        <v>2</v>
      </c>
      <c r="D212" s="45" t="s">
        <v>1378</v>
      </c>
      <c r="E212" s="107"/>
    </row>
    <row r="213" spans="1:5" x14ac:dyDescent="0.35">
      <c r="A213" s="43">
        <v>212</v>
      </c>
      <c r="B213" s="42">
        <v>3</v>
      </c>
      <c r="C213" s="42">
        <v>2</v>
      </c>
      <c r="D213" s="45" t="s">
        <v>1379</v>
      </c>
      <c r="E213" s="107"/>
    </row>
    <row r="214" spans="1:5" x14ac:dyDescent="0.35">
      <c r="A214" s="43">
        <v>213</v>
      </c>
      <c r="B214" s="42">
        <v>3</v>
      </c>
      <c r="C214" s="42">
        <v>2</v>
      </c>
      <c r="D214" s="45" t="s">
        <v>1380</v>
      </c>
      <c r="E214" s="107"/>
    </row>
    <row r="215" spans="1:5" x14ac:dyDescent="0.35">
      <c r="A215" s="43">
        <v>214</v>
      </c>
      <c r="B215" s="42">
        <v>3</v>
      </c>
      <c r="C215" s="42">
        <v>2</v>
      </c>
      <c r="D215" s="45" t="s">
        <v>1381</v>
      </c>
      <c r="E215" s="107"/>
    </row>
    <row r="216" spans="1:5" x14ac:dyDescent="0.35">
      <c r="A216" s="43">
        <v>215</v>
      </c>
      <c r="B216" s="42">
        <v>3</v>
      </c>
      <c r="C216" s="42">
        <v>2</v>
      </c>
      <c r="D216" s="45" t="s">
        <v>1382</v>
      </c>
      <c r="E216" s="107"/>
    </row>
    <row r="217" spans="1:5" x14ac:dyDescent="0.35">
      <c r="A217" s="43">
        <v>216</v>
      </c>
      <c r="B217" s="42">
        <v>3</v>
      </c>
      <c r="C217" s="42">
        <v>2</v>
      </c>
      <c r="D217" s="45" t="s">
        <v>1383</v>
      </c>
      <c r="E217" s="107"/>
    </row>
    <row r="218" spans="1:5" x14ac:dyDescent="0.35">
      <c r="A218" s="43">
        <v>217</v>
      </c>
      <c r="B218" s="42">
        <v>3</v>
      </c>
      <c r="C218" s="42">
        <v>2</v>
      </c>
      <c r="D218" s="45" t="s">
        <v>1384</v>
      </c>
      <c r="E218" s="107"/>
    </row>
    <row r="219" spans="1:5" x14ac:dyDescent="0.35">
      <c r="A219" s="43">
        <v>218</v>
      </c>
      <c r="B219" s="42">
        <v>3</v>
      </c>
      <c r="C219" s="42">
        <v>2</v>
      </c>
      <c r="D219" s="45" t="s">
        <v>1385</v>
      </c>
      <c r="E219" s="107"/>
    </row>
    <row r="220" spans="1:5" x14ac:dyDescent="0.35">
      <c r="A220" s="43">
        <v>219</v>
      </c>
      <c r="B220" s="42">
        <v>3</v>
      </c>
      <c r="C220" s="42">
        <v>3</v>
      </c>
      <c r="D220" s="45" t="s">
        <v>1386</v>
      </c>
      <c r="E220" s="107"/>
    </row>
    <row r="221" spans="1:5" x14ac:dyDescent="0.35">
      <c r="A221" s="43">
        <v>220</v>
      </c>
      <c r="B221" s="42">
        <v>3</v>
      </c>
      <c r="C221" s="42">
        <v>3</v>
      </c>
      <c r="D221" s="45" t="s">
        <v>1387</v>
      </c>
      <c r="E221" s="107"/>
    </row>
    <row r="222" spans="1:5" x14ac:dyDescent="0.35">
      <c r="A222" s="43">
        <v>221</v>
      </c>
      <c r="B222" s="42">
        <v>3</v>
      </c>
      <c r="C222" s="42">
        <v>3</v>
      </c>
      <c r="D222" s="45" t="s">
        <v>1388</v>
      </c>
      <c r="E222" s="107"/>
    </row>
    <row r="223" spans="1:5" x14ac:dyDescent="0.35">
      <c r="A223" s="43">
        <v>222</v>
      </c>
      <c r="B223" s="42">
        <v>3</v>
      </c>
      <c r="C223" s="42">
        <v>3</v>
      </c>
      <c r="D223" s="45" t="s">
        <v>1293</v>
      </c>
      <c r="E223" s="107"/>
    </row>
    <row r="224" spans="1:5" x14ac:dyDescent="0.35">
      <c r="A224" s="43">
        <v>223</v>
      </c>
      <c r="B224" s="42">
        <v>3</v>
      </c>
      <c r="C224" s="42">
        <v>3</v>
      </c>
      <c r="D224" s="45" t="s">
        <v>1389</v>
      </c>
      <c r="E224" s="107"/>
    </row>
    <row r="225" spans="1:5" x14ac:dyDescent="0.35">
      <c r="A225" s="43">
        <v>224</v>
      </c>
      <c r="B225" s="42">
        <v>3</v>
      </c>
      <c r="C225" s="42">
        <v>3</v>
      </c>
      <c r="D225" s="45" t="s">
        <v>1390</v>
      </c>
      <c r="E225" s="107"/>
    </row>
    <row r="226" spans="1:5" x14ac:dyDescent="0.35">
      <c r="A226" s="43">
        <v>225</v>
      </c>
      <c r="B226" s="42">
        <v>3</v>
      </c>
      <c r="C226" s="42">
        <v>3</v>
      </c>
      <c r="D226" s="45" t="s">
        <v>1391</v>
      </c>
      <c r="E226" s="107"/>
    </row>
    <row r="227" spans="1:5" x14ac:dyDescent="0.35">
      <c r="A227" s="43">
        <v>226</v>
      </c>
      <c r="B227" s="42">
        <v>3</v>
      </c>
      <c r="C227" s="42">
        <v>3</v>
      </c>
      <c r="D227" s="45" t="s">
        <v>1392</v>
      </c>
      <c r="E227" s="107"/>
    </row>
    <row r="228" spans="1:5" x14ac:dyDescent="0.35">
      <c r="A228" s="43">
        <v>227</v>
      </c>
      <c r="B228" s="42">
        <v>3</v>
      </c>
      <c r="C228" s="42">
        <v>3</v>
      </c>
      <c r="D228" s="45" t="s">
        <v>1393</v>
      </c>
      <c r="E228" s="107"/>
    </row>
    <row r="229" spans="1:5" x14ac:dyDescent="0.35">
      <c r="A229" s="43">
        <v>228</v>
      </c>
      <c r="B229" s="42">
        <v>3</v>
      </c>
      <c r="C229" s="42">
        <v>3</v>
      </c>
      <c r="D229" s="45" t="s">
        <v>1394</v>
      </c>
      <c r="E229" s="107"/>
    </row>
    <row r="230" spans="1:5" x14ac:dyDescent="0.35">
      <c r="A230" s="43">
        <v>229</v>
      </c>
      <c r="B230" s="42">
        <v>3</v>
      </c>
      <c r="C230" s="42">
        <v>3</v>
      </c>
      <c r="D230" s="45" t="s">
        <v>1395</v>
      </c>
      <c r="E230" s="107"/>
    </row>
    <row r="231" spans="1:5" x14ac:dyDescent="0.35">
      <c r="A231" s="43">
        <v>230</v>
      </c>
      <c r="B231" s="42">
        <v>3</v>
      </c>
      <c r="C231" s="42">
        <v>3</v>
      </c>
      <c r="D231" s="45" t="s">
        <v>1396</v>
      </c>
      <c r="E231" s="107"/>
    </row>
    <row r="232" spans="1:5" x14ac:dyDescent="0.35">
      <c r="A232" s="43">
        <v>231</v>
      </c>
      <c r="B232" s="42">
        <v>3</v>
      </c>
      <c r="C232" s="42">
        <v>3</v>
      </c>
      <c r="D232" s="45" t="s">
        <v>1397</v>
      </c>
      <c r="E232" s="107"/>
    </row>
    <row r="233" spans="1:5" x14ac:dyDescent="0.35">
      <c r="A233" s="43">
        <v>232</v>
      </c>
      <c r="B233" s="42">
        <v>3</v>
      </c>
      <c r="C233" s="42">
        <v>3</v>
      </c>
      <c r="D233" s="45" t="s">
        <v>1398</v>
      </c>
      <c r="E233" s="107"/>
    </row>
    <row r="234" spans="1:5" x14ac:dyDescent="0.35">
      <c r="A234" s="43">
        <v>233</v>
      </c>
      <c r="B234" s="42">
        <v>3</v>
      </c>
      <c r="C234" s="42">
        <v>3</v>
      </c>
      <c r="D234" s="45" t="s">
        <v>1399</v>
      </c>
      <c r="E234" s="107"/>
    </row>
    <row r="235" spans="1:5" x14ac:dyDescent="0.35">
      <c r="A235" s="43">
        <v>234</v>
      </c>
      <c r="B235" s="42">
        <v>3</v>
      </c>
      <c r="C235" s="42">
        <v>3</v>
      </c>
      <c r="D235" s="45" t="s">
        <v>1400</v>
      </c>
      <c r="E235" s="107"/>
    </row>
    <row r="236" spans="1:5" x14ac:dyDescent="0.35">
      <c r="A236" s="43">
        <v>235</v>
      </c>
      <c r="B236" s="42">
        <v>3</v>
      </c>
      <c r="C236" s="42">
        <v>3</v>
      </c>
      <c r="D236" s="45" t="s">
        <v>1401</v>
      </c>
      <c r="E236" s="107"/>
    </row>
    <row r="237" spans="1:5" x14ac:dyDescent="0.35">
      <c r="A237" s="43">
        <v>236</v>
      </c>
      <c r="B237" s="42">
        <v>3</v>
      </c>
      <c r="C237" s="42">
        <v>3</v>
      </c>
      <c r="D237" s="45" t="s">
        <v>1402</v>
      </c>
      <c r="E237" s="107"/>
    </row>
    <row r="238" spans="1:5" x14ac:dyDescent="0.35">
      <c r="A238" s="43">
        <v>237</v>
      </c>
      <c r="B238" s="42">
        <v>3</v>
      </c>
      <c r="C238" s="42">
        <v>3</v>
      </c>
      <c r="D238" s="45" t="s">
        <v>1403</v>
      </c>
      <c r="E238" s="107"/>
    </row>
    <row r="239" spans="1:5" x14ac:dyDescent="0.35">
      <c r="A239" s="43">
        <v>238</v>
      </c>
      <c r="B239" s="42">
        <v>3</v>
      </c>
      <c r="C239" s="42">
        <v>3</v>
      </c>
      <c r="D239" s="45" t="s">
        <v>1404</v>
      </c>
      <c r="E239" s="107"/>
    </row>
    <row r="240" spans="1:5" x14ac:dyDescent="0.35">
      <c r="A240" s="43">
        <v>239</v>
      </c>
      <c r="B240" s="42">
        <v>3</v>
      </c>
      <c r="C240" s="42">
        <v>3</v>
      </c>
      <c r="D240" s="45" t="s">
        <v>1405</v>
      </c>
      <c r="E240" s="107"/>
    </row>
    <row r="241" spans="1:5" x14ac:dyDescent="0.35">
      <c r="A241" s="43">
        <v>240</v>
      </c>
      <c r="B241" s="42">
        <v>3</v>
      </c>
      <c r="C241" s="42">
        <v>3</v>
      </c>
      <c r="D241" s="45" t="s">
        <v>1406</v>
      </c>
      <c r="E241" s="107"/>
    </row>
    <row r="242" spans="1:5" x14ac:dyDescent="0.35">
      <c r="A242" s="43">
        <v>241</v>
      </c>
      <c r="B242" s="42">
        <v>3</v>
      </c>
      <c r="C242" s="42">
        <v>4</v>
      </c>
      <c r="D242" s="45" t="s">
        <v>1407</v>
      </c>
      <c r="E242" s="107"/>
    </row>
    <row r="243" spans="1:5" x14ac:dyDescent="0.35">
      <c r="A243" s="43">
        <v>242</v>
      </c>
      <c r="B243" s="42">
        <v>3</v>
      </c>
      <c r="C243" s="42">
        <v>4</v>
      </c>
      <c r="D243" s="45" t="s">
        <v>1408</v>
      </c>
      <c r="E243" s="107"/>
    </row>
    <row r="244" spans="1:5" x14ac:dyDescent="0.35">
      <c r="A244" s="43">
        <v>243</v>
      </c>
      <c r="B244" s="42">
        <v>3</v>
      </c>
      <c r="C244" s="42">
        <v>4</v>
      </c>
      <c r="D244" s="45" t="s">
        <v>1409</v>
      </c>
      <c r="E244" s="107"/>
    </row>
    <row r="245" spans="1:5" x14ac:dyDescent="0.35">
      <c r="A245" s="43">
        <v>244</v>
      </c>
      <c r="B245" s="42">
        <v>3</v>
      </c>
      <c r="C245" s="42">
        <v>4</v>
      </c>
      <c r="D245" s="45" t="s">
        <v>1410</v>
      </c>
      <c r="E245" s="107"/>
    </row>
    <row r="246" spans="1:5" x14ac:dyDescent="0.35">
      <c r="A246" s="43">
        <v>245</v>
      </c>
      <c r="B246" s="42">
        <v>3</v>
      </c>
      <c r="C246" s="42">
        <v>4</v>
      </c>
      <c r="D246" s="45" t="s">
        <v>1411</v>
      </c>
      <c r="E246" s="107"/>
    </row>
    <row r="247" spans="1:5" x14ac:dyDescent="0.35">
      <c r="A247" s="43">
        <v>246</v>
      </c>
      <c r="B247" s="42">
        <v>3</v>
      </c>
      <c r="C247" s="42">
        <v>4</v>
      </c>
      <c r="D247" s="45" t="s">
        <v>1412</v>
      </c>
      <c r="E247" s="107"/>
    </row>
    <row r="248" spans="1:5" x14ac:dyDescent="0.35">
      <c r="A248" s="43">
        <v>247</v>
      </c>
      <c r="B248" s="42">
        <v>3</v>
      </c>
      <c r="C248" s="42">
        <v>4</v>
      </c>
      <c r="D248" s="45" t="s">
        <v>1413</v>
      </c>
      <c r="E248" s="107"/>
    </row>
    <row r="249" spans="1:5" x14ac:dyDescent="0.35">
      <c r="A249" s="43">
        <v>248</v>
      </c>
      <c r="B249" s="42">
        <v>3</v>
      </c>
      <c r="C249" s="42">
        <v>4</v>
      </c>
      <c r="D249" s="45" t="s">
        <v>1414</v>
      </c>
      <c r="E249" s="107"/>
    </row>
    <row r="250" spans="1:5" x14ac:dyDescent="0.35">
      <c r="A250" s="43">
        <v>249</v>
      </c>
      <c r="B250" s="42">
        <v>3</v>
      </c>
      <c r="C250" s="42">
        <v>4</v>
      </c>
      <c r="D250" s="45" t="s">
        <v>1415</v>
      </c>
      <c r="E250" s="107"/>
    </row>
    <row r="251" spans="1:5" x14ac:dyDescent="0.35">
      <c r="A251" s="43">
        <v>250</v>
      </c>
      <c r="B251" s="42">
        <v>3</v>
      </c>
      <c r="C251" s="42">
        <v>4</v>
      </c>
      <c r="D251" s="45" t="s">
        <v>1416</v>
      </c>
      <c r="E251" s="107"/>
    </row>
    <row r="252" spans="1:5" x14ac:dyDescent="0.35">
      <c r="A252" s="43">
        <v>251</v>
      </c>
      <c r="B252" s="42">
        <v>3</v>
      </c>
      <c r="C252" s="42">
        <v>4</v>
      </c>
      <c r="D252" s="45" t="s">
        <v>1417</v>
      </c>
      <c r="E252" s="107"/>
    </row>
    <row r="253" spans="1:5" x14ac:dyDescent="0.35">
      <c r="A253" s="43">
        <v>252</v>
      </c>
      <c r="B253" s="42">
        <v>3</v>
      </c>
      <c r="C253" s="42">
        <v>4</v>
      </c>
      <c r="D253" s="45" t="s">
        <v>1418</v>
      </c>
      <c r="E253" s="107"/>
    </row>
    <row r="254" spans="1:5" x14ac:dyDescent="0.35">
      <c r="A254" s="43">
        <v>253</v>
      </c>
      <c r="B254" s="42">
        <v>3</v>
      </c>
      <c r="C254" s="42">
        <v>4</v>
      </c>
      <c r="D254" s="45" t="s">
        <v>1419</v>
      </c>
      <c r="E254" s="107"/>
    </row>
    <row r="255" spans="1:5" x14ac:dyDescent="0.35">
      <c r="A255" s="43">
        <v>254</v>
      </c>
      <c r="B255" s="42">
        <v>3</v>
      </c>
      <c r="C255" s="42">
        <v>4</v>
      </c>
      <c r="D255" s="45" t="s">
        <v>1420</v>
      </c>
      <c r="E255" s="107"/>
    </row>
    <row r="256" spans="1:5" x14ac:dyDescent="0.35">
      <c r="A256" s="43">
        <v>255</v>
      </c>
      <c r="B256" s="42">
        <v>3</v>
      </c>
      <c r="C256" s="42">
        <v>4</v>
      </c>
      <c r="D256" s="45" t="s">
        <v>1421</v>
      </c>
      <c r="E256" s="107"/>
    </row>
    <row r="257" spans="1:5" x14ac:dyDescent="0.35">
      <c r="A257" s="43">
        <v>256</v>
      </c>
      <c r="B257" s="42">
        <v>3</v>
      </c>
      <c r="C257" s="42">
        <v>4</v>
      </c>
      <c r="D257" s="45" t="s">
        <v>1422</v>
      </c>
      <c r="E257" s="107"/>
    </row>
    <row r="258" spans="1:5" x14ac:dyDescent="0.35">
      <c r="A258" s="43">
        <v>257</v>
      </c>
      <c r="B258" s="42">
        <v>3</v>
      </c>
      <c r="C258" s="42">
        <v>5</v>
      </c>
      <c r="D258" s="45" t="s">
        <v>1423</v>
      </c>
      <c r="E258" s="107"/>
    </row>
    <row r="259" spans="1:5" x14ac:dyDescent="0.35">
      <c r="A259" s="43">
        <v>258</v>
      </c>
      <c r="B259" s="42">
        <v>3</v>
      </c>
      <c r="C259" s="42">
        <v>5</v>
      </c>
      <c r="D259" s="45" t="s">
        <v>1424</v>
      </c>
      <c r="E259" s="107"/>
    </row>
    <row r="260" spans="1:5" x14ac:dyDescent="0.35">
      <c r="A260" s="43">
        <v>259</v>
      </c>
      <c r="B260" s="42">
        <v>3</v>
      </c>
      <c r="C260" s="42">
        <v>5</v>
      </c>
      <c r="D260" s="45" t="s">
        <v>1425</v>
      </c>
      <c r="E260" s="107"/>
    </row>
    <row r="261" spans="1:5" x14ac:dyDescent="0.35">
      <c r="A261" s="43">
        <v>260</v>
      </c>
      <c r="B261" s="42">
        <v>3</v>
      </c>
      <c r="C261" s="42">
        <v>5</v>
      </c>
      <c r="D261" s="45" t="s">
        <v>1426</v>
      </c>
      <c r="E261" s="107"/>
    </row>
    <row r="262" spans="1:5" x14ac:dyDescent="0.35">
      <c r="A262" s="43">
        <v>261</v>
      </c>
      <c r="B262" s="42">
        <v>3</v>
      </c>
      <c r="C262" s="42">
        <v>5</v>
      </c>
      <c r="D262" s="45" t="s">
        <v>1427</v>
      </c>
      <c r="E262" s="107"/>
    </row>
    <row r="263" spans="1:5" x14ac:dyDescent="0.35">
      <c r="A263" s="43">
        <v>262</v>
      </c>
      <c r="B263" s="42">
        <v>3</v>
      </c>
      <c r="C263" s="42">
        <v>5</v>
      </c>
      <c r="D263" s="45" t="s">
        <v>1428</v>
      </c>
      <c r="E263" s="107"/>
    </row>
    <row r="264" spans="1:5" x14ac:dyDescent="0.35">
      <c r="A264" s="43">
        <v>263</v>
      </c>
      <c r="B264" s="42">
        <v>3</v>
      </c>
      <c r="C264" s="42">
        <v>5</v>
      </c>
      <c r="D264" s="45" t="s">
        <v>1429</v>
      </c>
      <c r="E264" s="107"/>
    </row>
    <row r="265" spans="1:5" x14ac:dyDescent="0.35">
      <c r="A265" s="43">
        <v>264</v>
      </c>
      <c r="B265" s="42">
        <v>3</v>
      </c>
      <c r="C265" s="42">
        <v>5</v>
      </c>
      <c r="D265" s="45" t="s">
        <v>1430</v>
      </c>
      <c r="E265" s="107"/>
    </row>
    <row r="266" spans="1:5" x14ac:dyDescent="0.35">
      <c r="A266" s="43">
        <v>265</v>
      </c>
      <c r="B266" s="42">
        <v>3</v>
      </c>
      <c r="C266" s="42">
        <v>5</v>
      </c>
      <c r="D266" s="45" t="s">
        <v>1431</v>
      </c>
      <c r="E266" s="107"/>
    </row>
    <row r="267" spans="1:5" x14ac:dyDescent="0.35">
      <c r="A267" s="43">
        <v>266</v>
      </c>
      <c r="B267" s="42">
        <v>3</v>
      </c>
      <c r="C267" s="42">
        <v>5</v>
      </c>
      <c r="D267" s="45" t="s">
        <v>1432</v>
      </c>
      <c r="E267" s="107"/>
    </row>
    <row r="268" spans="1:5" x14ac:dyDescent="0.35">
      <c r="A268" s="43">
        <v>267</v>
      </c>
      <c r="B268" s="42">
        <v>3</v>
      </c>
      <c r="C268" s="42">
        <v>5</v>
      </c>
      <c r="D268" s="45" t="s">
        <v>1433</v>
      </c>
      <c r="E268" s="107"/>
    </row>
    <row r="269" spans="1:5" x14ac:dyDescent="0.35">
      <c r="A269" s="43">
        <v>268</v>
      </c>
      <c r="B269" s="42">
        <v>3</v>
      </c>
      <c r="C269" s="42">
        <v>5</v>
      </c>
      <c r="D269" s="45" t="s">
        <v>1434</v>
      </c>
      <c r="E269" s="107"/>
    </row>
    <row r="270" spans="1:5" x14ac:dyDescent="0.35">
      <c r="A270" s="43">
        <v>269</v>
      </c>
      <c r="B270" s="42">
        <v>3</v>
      </c>
      <c r="C270" s="42">
        <v>5</v>
      </c>
      <c r="D270" s="45" t="s">
        <v>1435</v>
      </c>
      <c r="E270" s="107"/>
    </row>
    <row r="271" spans="1:5" x14ac:dyDescent="0.35">
      <c r="A271" s="43">
        <v>270</v>
      </c>
      <c r="B271" s="42">
        <v>3</v>
      </c>
      <c r="C271" s="42">
        <v>5</v>
      </c>
      <c r="D271" s="45" t="s">
        <v>1436</v>
      </c>
      <c r="E271" s="107"/>
    </row>
    <row r="272" spans="1:5" x14ac:dyDescent="0.35">
      <c r="A272" s="43">
        <v>271</v>
      </c>
      <c r="B272" s="42">
        <v>3</v>
      </c>
      <c r="C272" s="42">
        <v>5</v>
      </c>
      <c r="D272" s="45" t="s">
        <v>1437</v>
      </c>
      <c r="E272" s="107"/>
    </row>
    <row r="273" spans="1:5" x14ac:dyDescent="0.35">
      <c r="A273" s="43">
        <v>272</v>
      </c>
      <c r="B273" s="42">
        <v>3</v>
      </c>
      <c r="C273" s="42">
        <v>5</v>
      </c>
      <c r="D273" s="45" t="s">
        <v>1438</v>
      </c>
      <c r="E273" s="107"/>
    </row>
    <row r="274" spans="1:5" x14ac:dyDescent="0.35">
      <c r="A274" s="43">
        <v>273</v>
      </c>
      <c r="B274" s="42">
        <v>3</v>
      </c>
      <c r="C274" s="42">
        <v>5</v>
      </c>
      <c r="D274" s="45" t="s">
        <v>1439</v>
      </c>
      <c r="E274" s="107"/>
    </row>
    <row r="275" spans="1:5" x14ac:dyDescent="0.35">
      <c r="A275" s="43">
        <v>274</v>
      </c>
      <c r="B275" s="42">
        <v>3</v>
      </c>
      <c r="C275" s="42">
        <v>5</v>
      </c>
      <c r="D275" s="45" t="s">
        <v>1440</v>
      </c>
      <c r="E275" s="107"/>
    </row>
    <row r="276" spans="1:5" x14ac:dyDescent="0.35">
      <c r="A276" s="43">
        <v>275</v>
      </c>
      <c r="B276" s="42">
        <v>3</v>
      </c>
      <c r="C276" s="42">
        <v>5</v>
      </c>
      <c r="D276" s="45" t="s">
        <v>1441</v>
      </c>
      <c r="E276" s="107"/>
    </row>
    <row r="277" spans="1:5" x14ac:dyDescent="0.35">
      <c r="A277" s="43">
        <v>276</v>
      </c>
      <c r="B277" s="42">
        <v>3</v>
      </c>
      <c r="C277" s="42">
        <v>5</v>
      </c>
      <c r="D277" s="45" t="s">
        <v>1442</v>
      </c>
      <c r="E277" s="107"/>
    </row>
    <row r="278" spans="1:5" x14ac:dyDescent="0.35">
      <c r="A278" s="43">
        <v>277</v>
      </c>
      <c r="B278" s="42">
        <v>3</v>
      </c>
      <c r="C278" s="42">
        <v>6</v>
      </c>
      <c r="D278" s="45" t="s">
        <v>1443</v>
      </c>
      <c r="E278" s="107"/>
    </row>
    <row r="279" spans="1:5" x14ac:dyDescent="0.35">
      <c r="A279" s="43">
        <v>278</v>
      </c>
      <c r="B279" s="42">
        <v>3</v>
      </c>
      <c r="C279" s="42">
        <v>6</v>
      </c>
      <c r="D279" s="45" t="s">
        <v>1444</v>
      </c>
      <c r="E279" s="107"/>
    </row>
    <row r="280" spans="1:5" x14ac:dyDescent="0.35">
      <c r="A280" s="43">
        <v>279</v>
      </c>
      <c r="B280" s="42">
        <v>3</v>
      </c>
      <c r="C280" s="42">
        <v>6</v>
      </c>
      <c r="D280" s="45" t="s">
        <v>1445</v>
      </c>
      <c r="E280" s="107"/>
    </row>
    <row r="281" spans="1:5" x14ac:dyDescent="0.35">
      <c r="A281" s="43">
        <v>280</v>
      </c>
      <c r="B281" s="42">
        <v>3</v>
      </c>
      <c r="C281" s="42">
        <v>6</v>
      </c>
      <c r="D281" s="45" t="s">
        <v>1446</v>
      </c>
      <c r="E281" s="107"/>
    </row>
    <row r="282" spans="1:5" x14ac:dyDescent="0.35">
      <c r="A282" s="43">
        <v>281</v>
      </c>
      <c r="B282" s="42">
        <v>3</v>
      </c>
      <c r="C282" s="42">
        <v>6</v>
      </c>
      <c r="D282" s="45" t="s">
        <v>1392</v>
      </c>
      <c r="E282" s="107"/>
    </row>
    <row r="283" spans="1:5" x14ac:dyDescent="0.35">
      <c r="A283" s="43">
        <v>282</v>
      </c>
      <c r="B283" s="42">
        <v>3</v>
      </c>
      <c r="C283" s="42">
        <v>6</v>
      </c>
      <c r="D283" s="45" t="s">
        <v>1447</v>
      </c>
      <c r="E283" s="107"/>
    </row>
    <row r="284" spans="1:5" x14ac:dyDescent="0.35">
      <c r="A284" s="43">
        <v>283</v>
      </c>
      <c r="B284" s="42">
        <v>3</v>
      </c>
      <c r="C284" s="42">
        <v>6</v>
      </c>
      <c r="D284" s="45" t="s">
        <v>1448</v>
      </c>
      <c r="E284" s="107"/>
    </row>
    <row r="285" spans="1:5" x14ac:dyDescent="0.35">
      <c r="A285" s="43">
        <v>284</v>
      </c>
      <c r="B285" s="42">
        <v>3</v>
      </c>
      <c r="C285" s="42">
        <v>6</v>
      </c>
      <c r="D285" s="45" t="s">
        <v>1449</v>
      </c>
      <c r="E285" s="107"/>
    </row>
    <row r="286" spans="1:5" x14ac:dyDescent="0.35">
      <c r="A286" s="43">
        <v>285</v>
      </c>
      <c r="B286" s="42">
        <v>3</v>
      </c>
      <c r="C286" s="42">
        <v>6</v>
      </c>
      <c r="D286" s="45" t="s">
        <v>1450</v>
      </c>
      <c r="E286" s="107"/>
    </row>
    <row r="287" spans="1:5" x14ac:dyDescent="0.35">
      <c r="A287" s="43">
        <v>286</v>
      </c>
      <c r="B287" s="42">
        <v>3</v>
      </c>
      <c r="C287" s="42">
        <v>6</v>
      </c>
      <c r="D287" s="45" t="s">
        <v>1451</v>
      </c>
      <c r="E287" s="107"/>
    </row>
    <row r="288" spans="1:5" x14ac:dyDescent="0.35">
      <c r="A288" s="43">
        <v>287</v>
      </c>
      <c r="B288" s="42">
        <v>3</v>
      </c>
      <c r="C288" s="42">
        <v>6</v>
      </c>
      <c r="D288" s="45" t="s">
        <v>1452</v>
      </c>
      <c r="E288" s="107"/>
    </row>
    <row r="289" spans="1:5" x14ac:dyDescent="0.35">
      <c r="A289" s="43">
        <v>288</v>
      </c>
      <c r="B289" s="42">
        <v>3</v>
      </c>
      <c r="C289" s="42">
        <v>6</v>
      </c>
      <c r="D289" s="45" t="s">
        <v>1453</v>
      </c>
      <c r="E289" s="107"/>
    </row>
    <row r="290" spans="1:5" x14ac:dyDescent="0.35">
      <c r="A290" s="43">
        <v>289</v>
      </c>
      <c r="B290" s="42">
        <v>3</v>
      </c>
      <c r="C290" s="42">
        <v>6</v>
      </c>
      <c r="D290" s="45" t="s">
        <v>1454</v>
      </c>
      <c r="E290" s="107"/>
    </row>
    <row r="291" spans="1:5" x14ac:dyDescent="0.35">
      <c r="A291" s="43">
        <v>290</v>
      </c>
      <c r="B291" s="42">
        <v>3</v>
      </c>
      <c r="C291" s="42">
        <v>6</v>
      </c>
      <c r="D291" s="45" t="s">
        <v>1455</v>
      </c>
      <c r="E291" s="107"/>
    </row>
    <row r="292" spans="1:5" x14ac:dyDescent="0.35">
      <c r="A292" s="43">
        <v>291</v>
      </c>
      <c r="B292" s="42">
        <v>3</v>
      </c>
      <c r="C292" s="42">
        <v>6</v>
      </c>
      <c r="D292" s="45" t="s">
        <v>1456</v>
      </c>
      <c r="E292" s="107"/>
    </row>
    <row r="293" spans="1:5" x14ac:dyDescent="0.35">
      <c r="A293" s="43">
        <v>292</v>
      </c>
      <c r="B293" s="42">
        <v>3</v>
      </c>
      <c r="C293" s="42">
        <v>6</v>
      </c>
      <c r="D293" s="45" t="s">
        <v>1457</v>
      </c>
      <c r="E293" s="107"/>
    </row>
    <row r="294" spans="1:5" x14ac:dyDescent="0.35">
      <c r="A294" s="43">
        <v>293</v>
      </c>
      <c r="B294" s="42">
        <v>3</v>
      </c>
      <c r="C294" s="42">
        <v>6</v>
      </c>
      <c r="D294" s="45" t="s">
        <v>1458</v>
      </c>
      <c r="E294" s="107"/>
    </row>
    <row r="295" spans="1:5" x14ac:dyDescent="0.35">
      <c r="A295" s="43">
        <v>294</v>
      </c>
      <c r="B295" s="42">
        <v>3</v>
      </c>
      <c r="C295" s="42">
        <v>6</v>
      </c>
      <c r="D295" s="45" t="s">
        <v>1459</v>
      </c>
      <c r="E295" s="107"/>
    </row>
    <row r="296" spans="1:5" x14ac:dyDescent="0.35">
      <c r="A296" s="43">
        <v>295</v>
      </c>
      <c r="B296" s="42">
        <v>3</v>
      </c>
      <c r="C296" s="42">
        <v>6</v>
      </c>
      <c r="D296" s="45" t="s">
        <v>1460</v>
      </c>
      <c r="E296" s="107"/>
    </row>
    <row r="297" spans="1:5" x14ac:dyDescent="0.35">
      <c r="A297" s="43">
        <v>296</v>
      </c>
      <c r="B297" s="44">
        <v>3</v>
      </c>
      <c r="C297" s="44">
        <v>7</v>
      </c>
      <c r="D297" s="46" t="s">
        <v>1461</v>
      </c>
      <c r="E297" s="107"/>
    </row>
    <row r="298" spans="1:5" x14ac:dyDescent="0.35">
      <c r="A298" s="43">
        <v>297</v>
      </c>
      <c r="B298" s="44">
        <v>3</v>
      </c>
      <c r="C298" s="44">
        <v>7</v>
      </c>
      <c r="D298" s="46" t="s">
        <v>1462</v>
      </c>
      <c r="E298" s="107"/>
    </row>
    <row r="299" spans="1:5" x14ac:dyDescent="0.35">
      <c r="A299" s="43">
        <v>298</v>
      </c>
      <c r="B299" s="44">
        <v>3</v>
      </c>
      <c r="C299" s="44">
        <v>7</v>
      </c>
      <c r="D299" s="46" t="s">
        <v>1463</v>
      </c>
      <c r="E299" s="107"/>
    </row>
    <row r="300" spans="1:5" x14ac:dyDescent="0.35">
      <c r="A300" s="43">
        <v>299</v>
      </c>
      <c r="B300" s="44">
        <v>3</v>
      </c>
      <c r="C300" s="44">
        <v>7</v>
      </c>
      <c r="D300" s="46" t="s">
        <v>1464</v>
      </c>
      <c r="E300" s="107"/>
    </row>
    <row r="301" spans="1:5" x14ac:dyDescent="0.35">
      <c r="A301" s="43">
        <v>300</v>
      </c>
      <c r="B301" s="44">
        <v>3</v>
      </c>
      <c r="C301" s="44">
        <v>7</v>
      </c>
      <c r="D301" s="46" t="s">
        <v>1398</v>
      </c>
      <c r="E301" s="107"/>
    </row>
    <row r="302" spans="1:5" x14ac:dyDescent="0.35">
      <c r="A302" s="43">
        <v>301</v>
      </c>
      <c r="B302" s="44">
        <v>3</v>
      </c>
      <c r="C302" s="44">
        <v>7</v>
      </c>
      <c r="D302" s="46" t="s">
        <v>1465</v>
      </c>
      <c r="E302" s="107"/>
    </row>
    <row r="303" spans="1:5" x14ac:dyDescent="0.35">
      <c r="A303" s="43">
        <v>302</v>
      </c>
      <c r="B303" s="44">
        <v>3</v>
      </c>
      <c r="C303" s="44">
        <v>7</v>
      </c>
      <c r="D303" s="46" t="s">
        <v>1466</v>
      </c>
      <c r="E303" s="107"/>
    </row>
    <row r="304" spans="1:5" x14ac:dyDescent="0.35">
      <c r="A304" s="43">
        <v>303</v>
      </c>
      <c r="B304" s="44">
        <v>3</v>
      </c>
      <c r="C304" s="44">
        <v>7</v>
      </c>
      <c r="D304" s="46" t="s">
        <v>1467</v>
      </c>
      <c r="E304" s="107"/>
    </row>
    <row r="305" spans="1:5" x14ac:dyDescent="0.35">
      <c r="A305" s="43">
        <v>304</v>
      </c>
      <c r="B305" s="44">
        <v>3</v>
      </c>
      <c r="C305" s="44">
        <v>7</v>
      </c>
      <c r="D305" s="46" t="s">
        <v>1468</v>
      </c>
      <c r="E305" s="107"/>
    </row>
    <row r="306" spans="1:5" x14ac:dyDescent="0.35">
      <c r="A306" s="43">
        <v>305</v>
      </c>
      <c r="B306" s="44">
        <v>3</v>
      </c>
      <c r="C306" s="44">
        <v>7</v>
      </c>
      <c r="D306" s="46" t="s">
        <v>1469</v>
      </c>
      <c r="E306" s="107"/>
    </row>
    <row r="307" spans="1:5" x14ac:dyDescent="0.35">
      <c r="A307" s="43">
        <v>306</v>
      </c>
      <c r="B307" s="44">
        <v>3</v>
      </c>
      <c r="C307" s="44">
        <v>7</v>
      </c>
      <c r="D307" s="46" t="s">
        <v>1470</v>
      </c>
      <c r="E307" s="107"/>
    </row>
    <row r="308" spans="1:5" x14ac:dyDescent="0.35">
      <c r="A308" s="43">
        <v>307</v>
      </c>
      <c r="B308" s="44">
        <v>3</v>
      </c>
      <c r="C308" s="44">
        <v>7</v>
      </c>
      <c r="D308" s="46" t="s">
        <v>1471</v>
      </c>
      <c r="E308" s="107"/>
    </row>
    <row r="309" spans="1:5" x14ac:dyDescent="0.35">
      <c r="A309" s="43">
        <v>308</v>
      </c>
      <c r="B309" s="44">
        <v>3</v>
      </c>
      <c r="C309" s="44">
        <v>7</v>
      </c>
      <c r="D309" s="46" t="s">
        <v>1401</v>
      </c>
      <c r="E309" s="107"/>
    </row>
    <row r="310" spans="1:5" x14ac:dyDescent="0.35">
      <c r="A310" s="43">
        <v>309</v>
      </c>
      <c r="B310" s="44">
        <v>3</v>
      </c>
      <c r="C310" s="44">
        <v>7</v>
      </c>
      <c r="D310" s="46" t="s">
        <v>1472</v>
      </c>
      <c r="E310" s="107"/>
    </row>
    <row r="311" spans="1:5" x14ac:dyDescent="0.35">
      <c r="A311" s="43">
        <v>310</v>
      </c>
      <c r="B311" s="44">
        <v>3</v>
      </c>
      <c r="C311" s="44">
        <v>7</v>
      </c>
      <c r="D311" s="46" t="s">
        <v>1473</v>
      </c>
      <c r="E311" s="107"/>
    </row>
    <row r="312" spans="1:5" x14ac:dyDescent="0.35">
      <c r="A312" s="43">
        <v>311</v>
      </c>
      <c r="B312" s="44">
        <v>3</v>
      </c>
      <c r="C312" s="44">
        <v>7</v>
      </c>
      <c r="D312" s="46" t="s">
        <v>1474</v>
      </c>
      <c r="E312" s="107"/>
    </row>
    <row r="313" spans="1:5" x14ac:dyDescent="0.35">
      <c r="A313" s="43">
        <v>312</v>
      </c>
      <c r="B313" s="44">
        <v>3</v>
      </c>
      <c r="C313" s="44">
        <v>7</v>
      </c>
      <c r="D313" s="46" t="s">
        <v>1475</v>
      </c>
      <c r="E313" s="107"/>
    </row>
    <row r="314" spans="1:5" x14ac:dyDescent="0.35">
      <c r="A314" s="43">
        <v>313</v>
      </c>
      <c r="B314" s="44">
        <v>3</v>
      </c>
      <c r="C314" s="44">
        <v>7</v>
      </c>
      <c r="D314" s="46" t="s">
        <v>1476</v>
      </c>
      <c r="E314" s="107"/>
    </row>
    <row r="315" spans="1:5" x14ac:dyDescent="0.35">
      <c r="A315" s="43">
        <v>314</v>
      </c>
      <c r="B315" s="44">
        <v>3</v>
      </c>
      <c r="C315" s="44">
        <v>7</v>
      </c>
      <c r="D315" s="46" t="s">
        <v>1477</v>
      </c>
      <c r="E315" s="107"/>
    </row>
    <row r="316" spans="1:5" x14ac:dyDescent="0.35">
      <c r="A316" s="43">
        <v>315</v>
      </c>
      <c r="B316" s="44">
        <v>3</v>
      </c>
      <c r="C316" s="44">
        <v>7</v>
      </c>
      <c r="D316" s="46" t="s">
        <v>1478</v>
      </c>
      <c r="E316" s="107"/>
    </row>
    <row r="317" spans="1:5" x14ac:dyDescent="0.35">
      <c r="A317" s="43">
        <v>316</v>
      </c>
      <c r="B317" s="44">
        <v>3</v>
      </c>
      <c r="C317" s="44">
        <v>7</v>
      </c>
      <c r="D317" s="46" t="s">
        <v>1479</v>
      </c>
      <c r="E317" s="107"/>
    </row>
    <row r="318" spans="1:5" x14ac:dyDescent="0.35">
      <c r="A318" s="43">
        <v>317</v>
      </c>
      <c r="B318" s="44">
        <v>3</v>
      </c>
      <c r="C318" s="44">
        <v>7</v>
      </c>
      <c r="D318" s="46" t="s">
        <v>1480</v>
      </c>
      <c r="E318" s="107"/>
    </row>
    <row r="319" spans="1:5" x14ac:dyDescent="0.35">
      <c r="A319" s="43">
        <v>318</v>
      </c>
      <c r="B319" s="44">
        <v>3</v>
      </c>
      <c r="C319" s="44">
        <v>7</v>
      </c>
      <c r="D319" s="46" t="s">
        <v>1481</v>
      </c>
      <c r="E319" s="107"/>
    </row>
    <row r="320" spans="1:5" x14ac:dyDescent="0.35">
      <c r="A320" s="43">
        <v>319</v>
      </c>
      <c r="B320" s="44">
        <v>3</v>
      </c>
      <c r="C320" s="44">
        <v>7</v>
      </c>
      <c r="D320" s="46" t="s">
        <v>1482</v>
      </c>
      <c r="E320" s="107"/>
    </row>
    <row r="321" spans="1:5" x14ac:dyDescent="0.35">
      <c r="A321" s="43">
        <v>320</v>
      </c>
      <c r="B321" s="44">
        <v>3</v>
      </c>
      <c r="C321" s="44">
        <v>7</v>
      </c>
      <c r="D321" s="43" t="s">
        <v>1483</v>
      </c>
      <c r="E321" s="107"/>
    </row>
    <row r="322" spans="1:5" x14ac:dyDescent="0.35">
      <c r="A322" s="43">
        <v>321</v>
      </c>
      <c r="B322" s="44">
        <v>3</v>
      </c>
      <c r="C322" s="44">
        <v>7</v>
      </c>
      <c r="D322" s="43" t="s">
        <v>1484</v>
      </c>
      <c r="E322" s="107"/>
    </row>
    <row r="323" spans="1:5" x14ac:dyDescent="0.35">
      <c r="A323" s="43">
        <v>322</v>
      </c>
      <c r="B323" s="44">
        <v>3</v>
      </c>
      <c r="C323" s="44">
        <v>7</v>
      </c>
      <c r="D323" s="43" t="s">
        <v>1485</v>
      </c>
      <c r="E323" s="107"/>
    </row>
    <row r="324" spans="1:5" x14ac:dyDescent="0.35">
      <c r="A324" s="43">
        <v>323</v>
      </c>
      <c r="B324" s="44">
        <v>3</v>
      </c>
      <c r="C324" s="44">
        <v>7</v>
      </c>
      <c r="D324" s="43" t="s">
        <v>1486</v>
      </c>
      <c r="E324" s="107"/>
    </row>
    <row r="325" spans="1:5" x14ac:dyDescent="0.35">
      <c r="A325" s="43">
        <v>324</v>
      </c>
      <c r="B325" s="44">
        <v>3</v>
      </c>
      <c r="C325" s="44">
        <v>7</v>
      </c>
      <c r="D325" s="43" t="s">
        <v>1487</v>
      </c>
      <c r="E325" s="107"/>
    </row>
    <row r="326" spans="1:5" x14ac:dyDescent="0.35">
      <c r="A326" s="43">
        <v>325</v>
      </c>
      <c r="B326" s="44">
        <v>3</v>
      </c>
      <c r="C326" s="44">
        <v>7</v>
      </c>
      <c r="D326" s="43" t="s">
        <v>1488</v>
      </c>
      <c r="E326" s="107"/>
    </row>
    <row r="327" spans="1:5" x14ac:dyDescent="0.35">
      <c r="A327" s="43">
        <v>326</v>
      </c>
      <c r="B327" s="44">
        <v>3</v>
      </c>
      <c r="C327" s="44">
        <v>7</v>
      </c>
      <c r="D327" s="43" t="s">
        <v>1489</v>
      </c>
      <c r="E327" s="107"/>
    </row>
    <row r="328" spans="1:5" x14ac:dyDescent="0.35">
      <c r="A328" s="43">
        <v>327</v>
      </c>
      <c r="B328" s="44">
        <v>3</v>
      </c>
      <c r="C328" s="44">
        <v>7</v>
      </c>
      <c r="D328" s="43" t="s">
        <v>1490</v>
      </c>
      <c r="E328" s="107"/>
    </row>
    <row r="329" spans="1:5" x14ac:dyDescent="0.35">
      <c r="A329" s="43">
        <v>328</v>
      </c>
      <c r="B329" s="44">
        <v>3</v>
      </c>
      <c r="C329" s="44">
        <v>7</v>
      </c>
      <c r="D329" s="43" t="s">
        <v>1491</v>
      </c>
      <c r="E329" s="107"/>
    </row>
    <row r="330" spans="1:5" x14ac:dyDescent="0.35">
      <c r="A330" s="43">
        <v>329</v>
      </c>
      <c r="B330" s="44">
        <v>3</v>
      </c>
      <c r="C330" s="44">
        <v>8</v>
      </c>
      <c r="D330" s="43" t="s">
        <v>1492</v>
      </c>
      <c r="E330" s="107"/>
    </row>
    <row r="331" spans="1:5" x14ac:dyDescent="0.35">
      <c r="A331" s="43">
        <v>330</v>
      </c>
      <c r="B331" s="44">
        <v>3</v>
      </c>
      <c r="C331" s="44">
        <v>8</v>
      </c>
      <c r="D331" s="43" t="s">
        <v>1493</v>
      </c>
      <c r="E331" s="107"/>
    </row>
    <row r="332" spans="1:5" x14ac:dyDescent="0.35">
      <c r="A332" s="43">
        <v>331</v>
      </c>
      <c r="B332" s="44">
        <v>3</v>
      </c>
      <c r="C332" s="44">
        <v>8</v>
      </c>
      <c r="D332" s="43" t="s">
        <v>1494</v>
      </c>
      <c r="E332" s="107"/>
    </row>
    <row r="333" spans="1:5" x14ac:dyDescent="0.35">
      <c r="A333" s="43">
        <v>332</v>
      </c>
      <c r="B333" s="44">
        <v>3</v>
      </c>
      <c r="C333" s="44">
        <v>8</v>
      </c>
      <c r="D333" s="43" t="s">
        <v>1495</v>
      </c>
      <c r="E333" s="107"/>
    </row>
    <row r="334" spans="1:5" x14ac:dyDescent="0.35">
      <c r="A334" s="43">
        <v>333</v>
      </c>
      <c r="B334" s="44">
        <v>3</v>
      </c>
      <c r="C334" s="44">
        <v>8</v>
      </c>
      <c r="D334" s="43" t="s">
        <v>1496</v>
      </c>
      <c r="E334" s="107"/>
    </row>
    <row r="335" spans="1:5" x14ac:dyDescent="0.35">
      <c r="A335" s="43">
        <v>334</v>
      </c>
      <c r="B335" s="44">
        <v>3</v>
      </c>
      <c r="C335" s="44">
        <v>8</v>
      </c>
      <c r="D335" s="43" t="s">
        <v>1497</v>
      </c>
      <c r="E335" s="107"/>
    </row>
    <row r="336" spans="1:5" x14ac:dyDescent="0.35">
      <c r="A336" s="43">
        <v>335</v>
      </c>
      <c r="B336" s="44">
        <v>3</v>
      </c>
      <c r="C336" s="44">
        <v>8</v>
      </c>
      <c r="D336" s="43" t="s">
        <v>1467</v>
      </c>
      <c r="E336" s="107"/>
    </row>
    <row r="337" spans="1:5" x14ac:dyDescent="0.35">
      <c r="A337" s="43">
        <v>336</v>
      </c>
      <c r="B337" s="44">
        <v>3</v>
      </c>
      <c r="C337" s="44">
        <v>8</v>
      </c>
      <c r="D337" s="43" t="s">
        <v>1384</v>
      </c>
      <c r="E337" s="107"/>
    </row>
    <row r="338" spans="1:5" x14ac:dyDescent="0.35">
      <c r="A338" s="43">
        <v>337</v>
      </c>
      <c r="B338" s="44">
        <v>3</v>
      </c>
      <c r="C338" s="44">
        <v>8</v>
      </c>
      <c r="D338" s="43" t="s">
        <v>1498</v>
      </c>
      <c r="E338" s="107"/>
    </row>
    <row r="339" spans="1:5" x14ac:dyDescent="0.35">
      <c r="A339" s="43">
        <v>338</v>
      </c>
      <c r="B339" s="44">
        <v>3</v>
      </c>
      <c r="C339" s="44">
        <v>8</v>
      </c>
      <c r="D339" s="43" t="s">
        <v>1499</v>
      </c>
      <c r="E339" s="107"/>
    </row>
    <row r="340" spans="1:5" x14ac:dyDescent="0.35">
      <c r="A340" s="43">
        <v>339</v>
      </c>
      <c r="B340" s="44">
        <v>3</v>
      </c>
      <c r="C340" s="44">
        <v>8</v>
      </c>
      <c r="D340" s="43" t="s">
        <v>1500</v>
      </c>
      <c r="E340" s="107"/>
    </row>
    <row r="341" spans="1:5" x14ac:dyDescent="0.35">
      <c r="A341" s="43">
        <v>340</v>
      </c>
      <c r="B341" s="44">
        <v>3</v>
      </c>
      <c r="C341" s="44">
        <v>8</v>
      </c>
      <c r="D341" s="43" t="s">
        <v>1501</v>
      </c>
      <c r="E341" s="107"/>
    </row>
    <row r="342" spans="1:5" x14ac:dyDescent="0.35">
      <c r="A342" s="43">
        <v>341</v>
      </c>
      <c r="B342" s="44">
        <v>3</v>
      </c>
      <c r="C342" s="44">
        <v>8</v>
      </c>
      <c r="D342" s="43" t="s">
        <v>1502</v>
      </c>
      <c r="E342" s="107"/>
    </row>
    <row r="343" spans="1:5" x14ac:dyDescent="0.35">
      <c r="A343" s="43">
        <v>342</v>
      </c>
      <c r="B343" s="44">
        <v>3</v>
      </c>
      <c r="C343" s="44">
        <v>8</v>
      </c>
      <c r="D343" s="43" t="s">
        <v>1503</v>
      </c>
      <c r="E343" s="107"/>
    </row>
    <row r="344" spans="1:5" x14ac:dyDescent="0.35">
      <c r="A344" s="43">
        <v>343</v>
      </c>
      <c r="B344" s="44">
        <v>3</v>
      </c>
      <c r="C344" s="44">
        <v>8</v>
      </c>
      <c r="D344" s="43" t="s">
        <v>1504</v>
      </c>
      <c r="E344" s="107"/>
    </row>
    <row r="345" spans="1:5" x14ac:dyDescent="0.35">
      <c r="A345" s="43">
        <v>344</v>
      </c>
      <c r="B345" s="44">
        <v>3</v>
      </c>
      <c r="C345" s="44">
        <v>8</v>
      </c>
      <c r="D345" s="43" t="s">
        <v>1398</v>
      </c>
      <c r="E345" s="107"/>
    </row>
    <row r="346" spans="1:5" x14ac:dyDescent="0.35">
      <c r="A346" s="43">
        <v>345</v>
      </c>
      <c r="B346" s="44">
        <v>3</v>
      </c>
      <c r="C346" s="44">
        <v>8</v>
      </c>
      <c r="D346" s="43" t="s">
        <v>1505</v>
      </c>
      <c r="E346" s="107"/>
    </row>
    <row r="347" spans="1:5" x14ac:dyDescent="0.35">
      <c r="A347" s="43">
        <v>346</v>
      </c>
      <c r="B347" s="44">
        <v>3</v>
      </c>
      <c r="C347" s="44">
        <v>8</v>
      </c>
      <c r="D347" s="43" t="s">
        <v>1472</v>
      </c>
      <c r="E347" s="107"/>
    </row>
    <row r="348" spans="1:5" x14ac:dyDescent="0.35">
      <c r="A348" s="43">
        <v>347</v>
      </c>
      <c r="B348" s="44">
        <v>3</v>
      </c>
      <c r="C348" s="44">
        <v>8</v>
      </c>
      <c r="D348" s="43" t="s">
        <v>1506</v>
      </c>
      <c r="E348" s="107"/>
    </row>
    <row r="349" spans="1:5" x14ac:dyDescent="0.35">
      <c r="A349" s="43">
        <v>348</v>
      </c>
      <c r="B349" s="44">
        <v>3</v>
      </c>
      <c r="C349" s="44">
        <v>8</v>
      </c>
      <c r="D349" s="43" t="s">
        <v>1507</v>
      </c>
      <c r="E349" s="107"/>
    </row>
    <row r="350" spans="1:5" x14ac:dyDescent="0.35">
      <c r="A350" s="43">
        <v>349</v>
      </c>
      <c r="B350" s="44">
        <v>3</v>
      </c>
      <c r="C350" s="44">
        <v>8</v>
      </c>
      <c r="D350" s="43" t="s">
        <v>1508</v>
      </c>
      <c r="E350" s="107"/>
    </row>
    <row r="351" spans="1:5" x14ac:dyDescent="0.35">
      <c r="A351" s="43">
        <v>350</v>
      </c>
      <c r="B351" s="44">
        <v>3</v>
      </c>
      <c r="C351" s="44">
        <v>8</v>
      </c>
      <c r="D351" s="43" t="s">
        <v>1509</v>
      </c>
      <c r="E351" s="107"/>
    </row>
    <row r="352" spans="1:5" x14ac:dyDescent="0.35">
      <c r="A352" s="43">
        <v>351</v>
      </c>
      <c r="B352" s="44">
        <v>3</v>
      </c>
      <c r="C352" s="44">
        <v>8</v>
      </c>
      <c r="D352" s="43" t="s">
        <v>1510</v>
      </c>
      <c r="E352" s="107"/>
    </row>
    <row r="353" spans="1:5" x14ac:dyDescent="0.35">
      <c r="A353" s="43">
        <v>352</v>
      </c>
      <c r="B353" s="44">
        <v>3</v>
      </c>
      <c r="C353" s="44">
        <v>8</v>
      </c>
      <c r="D353" s="43" t="s">
        <v>1511</v>
      </c>
      <c r="E353" s="107"/>
    </row>
    <row r="354" spans="1:5" x14ac:dyDescent="0.35">
      <c r="A354" s="43">
        <v>353</v>
      </c>
      <c r="B354" s="44">
        <v>3</v>
      </c>
      <c r="C354" s="44">
        <v>8</v>
      </c>
      <c r="D354" s="43" t="s">
        <v>1512</v>
      </c>
      <c r="E354" s="107"/>
    </row>
    <row r="355" spans="1:5" x14ac:dyDescent="0.35">
      <c r="A355" s="43">
        <v>354</v>
      </c>
      <c r="B355" s="44">
        <v>3</v>
      </c>
      <c r="C355" s="44">
        <v>8</v>
      </c>
      <c r="D355" s="43" t="s">
        <v>1513</v>
      </c>
      <c r="E355" s="107"/>
    </row>
    <row r="356" spans="1:5" x14ac:dyDescent="0.35">
      <c r="A356" s="43">
        <v>355</v>
      </c>
      <c r="B356" s="44">
        <v>3</v>
      </c>
      <c r="C356" s="44">
        <v>8</v>
      </c>
      <c r="D356" s="43" t="s">
        <v>1514</v>
      </c>
      <c r="E356" s="107"/>
    </row>
    <row r="357" spans="1:5" x14ac:dyDescent="0.35">
      <c r="A357" s="43">
        <v>356</v>
      </c>
      <c r="B357" s="44">
        <v>3</v>
      </c>
      <c r="C357" s="44">
        <v>8</v>
      </c>
      <c r="D357" s="43" t="s">
        <v>1515</v>
      </c>
      <c r="E357" s="107"/>
    </row>
    <row r="358" spans="1:5" x14ac:dyDescent="0.35">
      <c r="A358" s="43">
        <v>357</v>
      </c>
      <c r="B358" s="44">
        <v>3</v>
      </c>
      <c r="C358" s="44">
        <v>9</v>
      </c>
      <c r="D358" s="43" t="s">
        <v>1516</v>
      </c>
      <c r="E358" s="107"/>
    </row>
    <row r="359" spans="1:5" x14ac:dyDescent="0.35">
      <c r="A359" s="43">
        <v>358</v>
      </c>
      <c r="B359" s="44">
        <v>3</v>
      </c>
      <c r="C359" s="44">
        <v>9</v>
      </c>
      <c r="D359" s="43" t="s">
        <v>1517</v>
      </c>
      <c r="E359" s="107"/>
    </row>
    <row r="360" spans="1:5" x14ac:dyDescent="0.35">
      <c r="A360" s="43">
        <v>359</v>
      </c>
      <c r="B360" s="44">
        <v>3</v>
      </c>
      <c r="C360" s="44">
        <v>9</v>
      </c>
      <c r="D360" s="43" t="s">
        <v>1518</v>
      </c>
      <c r="E360" s="107"/>
    </row>
    <row r="361" spans="1:5" x14ac:dyDescent="0.35">
      <c r="A361" s="43">
        <v>360</v>
      </c>
      <c r="B361" s="44">
        <v>3</v>
      </c>
      <c r="C361" s="44">
        <v>9</v>
      </c>
      <c r="D361" s="43" t="s">
        <v>1519</v>
      </c>
      <c r="E361" s="107"/>
    </row>
    <row r="362" spans="1:5" x14ac:dyDescent="0.35">
      <c r="A362" s="43">
        <v>361</v>
      </c>
      <c r="B362" s="44">
        <v>3</v>
      </c>
      <c r="C362" s="44">
        <v>9</v>
      </c>
      <c r="D362" s="43" t="s">
        <v>1520</v>
      </c>
      <c r="E362" s="107"/>
    </row>
    <row r="363" spans="1:5" x14ac:dyDescent="0.35">
      <c r="A363" s="43">
        <v>362</v>
      </c>
      <c r="B363" s="44">
        <v>3</v>
      </c>
      <c r="C363" s="44">
        <v>9</v>
      </c>
      <c r="D363" s="43" t="s">
        <v>1521</v>
      </c>
      <c r="E363" s="107"/>
    </row>
    <row r="364" spans="1:5" x14ac:dyDescent="0.35">
      <c r="A364" s="43">
        <v>363</v>
      </c>
      <c r="B364" s="44">
        <v>3</v>
      </c>
      <c r="C364" s="44">
        <v>9</v>
      </c>
      <c r="D364" s="43" t="s">
        <v>1522</v>
      </c>
      <c r="E364" s="107"/>
    </row>
    <row r="365" spans="1:5" x14ac:dyDescent="0.35">
      <c r="A365" s="43">
        <v>364</v>
      </c>
      <c r="B365" s="44">
        <v>3</v>
      </c>
      <c r="C365" s="44">
        <v>9</v>
      </c>
      <c r="D365" s="43" t="s">
        <v>1523</v>
      </c>
      <c r="E365" s="107"/>
    </row>
    <row r="366" spans="1:5" x14ac:dyDescent="0.35">
      <c r="A366" s="43">
        <v>365</v>
      </c>
      <c r="B366" s="44">
        <v>3</v>
      </c>
      <c r="C366" s="44">
        <v>9</v>
      </c>
      <c r="D366" s="43" t="s">
        <v>1524</v>
      </c>
      <c r="E366" s="107"/>
    </row>
    <row r="367" spans="1:5" x14ac:dyDescent="0.35">
      <c r="A367" s="43">
        <v>366</v>
      </c>
      <c r="B367" s="44">
        <v>3</v>
      </c>
      <c r="C367" s="44">
        <v>9</v>
      </c>
      <c r="D367" s="43" t="s">
        <v>1525</v>
      </c>
      <c r="E367" s="107"/>
    </row>
    <row r="368" spans="1:5" x14ac:dyDescent="0.35">
      <c r="A368" s="43">
        <v>367</v>
      </c>
      <c r="B368" s="44">
        <v>3</v>
      </c>
      <c r="C368" s="44">
        <v>9</v>
      </c>
      <c r="D368" s="43" t="s">
        <v>1526</v>
      </c>
      <c r="E368" s="107"/>
    </row>
    <row r="369" spans="1:5" x14ac:dyDescent="0.35">
      <c r="A369" s="43">
        <v>368</v>
      </c>
      <c r="B369" s="44">
        <v>3</v>
      </c>
      <c r="C369" s="44">
        <v>9</v>
      </c>
      <c r="D369" s="43" t="s">
        <v>1446</v>
      </c>
      <c r="E369" s="107"/>
    </row>
    <row r="370" spans="1:5" x14ac:dyDescent="0.35">
      <c r="A370" s="43">
        <v>369</v>
      </c>
      <c r="B370" s="44">
        <v>3</v>
      </c>
      <c r="C370" s="44">
        <v>9</v>
      </c>
      <c r="D370" s="43" t="s">
        <v>1527</v>
      </c>
      <c r="E370" s="107"/>
    </row>
    <row r="371" spans="1:5" x14ac:dyDescent="0.35">
      <c r="A371" s="43">
        <v>370</v>
      </c>
      <c r="B371" s="44">
        <v>3</v>
      </c>
      <c r="C371" s="44">
        <v>9</v>
      </c>
      <c r="D371" s="43" t="s">
        <v>1528</v>
      </c>
      <c r="E371" s="107"/>
    </row>
    <row r="372" spans="1:5" x14ac:dyDescent="0.35">
      <c r="A372" s="43">
        <v>371</v>
      </c>
      <c r="B372" s="44">
        <v>3</v>
      </c>
      <c r="C372" s="44">
        <v>9</v>
      </c>
      <c r="D372" s="43" t="s">
        <v>1529</v>
      </c>
      <c r="E372" s="107"/>
    </row>
    <row r="373" spans="1:5" x14ac:dyDescent="0.35">
      <c r="A373" s="43">
        <v>372</v>
      </c>
      <c r="B373" s="44">
        <v>3</v>
      </c>
      <c r="C373" s="44">
        <v>9</v>
      </c>
      <c r="D373" s="43" t="s">
        <v>1530</v>
      </c>
      <c r="E373" s="107"/>
    </row>
    <row r="374" spans="1:5" x14ac:dyDescent="0.35">
      <c r="A374" s="43">
        <v>373</v>
      </c>
      <c r="B374" s="44">
        <v>3</v>
      </c>
      <c r="C374" s="44">
        <v>9</v>
      </c>
      <c r="D374" s="43" t="s">
        <v>1531</v>
      </c>
      <c r="E374" s="107"/>
    </row>
    <row r="375" spans="1:5" x14ac:dyDescent="0.35">
      <c r="A375" s="43">
        <v>374</v>
      </c>
      <c r="B375" s="44">
        <v>3</v>
      </c>
      <c r="C375" s="44">
        <v>9</v>
      </c>
      <c r="D375" s="43" t="s">
        <v>1532</v>
      </c>
      <c r="E375" s="107"/>
    </row>
    <row r="376" spans="1:5" x14ac:dyDescent="0.35">
      <c r="A376" s="43">
        <v>375</v>
      </c>
      <c r="B376" s="44">
        <v>3</v>
      </c>
      <c r="C376" s="44">
        <v>9</v>
      </c>
      <c r="D376" s="43" t="s">
        <v>1515</v>
      </c>
      <c r="E376" s="107"/>
    </row>
    <row r="377" spans="1:5" x14ac:dyDescent="0.35">
      <c r="A377" s="43">
        <v>376</v>
      </c>
      <c r="B377" s="44">
        <v>3</v>
      </c>
      <c r="C377" s="44">
        <v>9</v>
      </c>
      <c r="D377" s="43" t="s">
        <v>1533</v>
      </c>
      <c r="E377" s="107"/>
    </row>
    <row r="378" spans="1:5" x14ac:dyDescent="0.35">
      <c r="A378" s="43">
        <v>377</v>
      </c>
      <c r="B378" s="44">
        <v>3</v>
      </c>
      <c r="C378" s="44">
        <v>9</v>
      </c>
      <c r="D378" s="43" t="s">
        <v>1534</v>
      </c>
      <c r="E378" s="107"/>
    </row>
    <row r="379" spans="1:5" x14ac:dyDescent="0.35">
      <c r="A379" s="43">
        <v>378</v>
      </c>
      <c r="B379" s="44">
        <v>3</v>
      </c>
      <c r="C379" s="44">
        <v>9</v>
      </c>
      <c r="D379" s="43" t="s">
        <v>1535</v>
      </c>
      <c r="E379" s="107"/>
    </row>
    <row r="380" spans="1:5" x14ac:dyDescent="0.35">
      <c r="A380" s="43">
        <v>379</v>
      </c>
      <c r="B380" s="44">
        <v>3</v>
      </c>
      <c r="C380" s="44">
        <v>9</v>
      </c>
      <c r="D380" s="43" t="s">
        <v>1536</v>
      </c>
      <c r="E380" s="107"/>
    </row>
    <row r="381" spans="1:5" x14ac:dyDescent="0.35">
      <c r="A381" s="43">
        <v>380</v>
      </c>
      <c r="B381" s="44">
        <v>3</v>
      </c>
      <c r="C381" s="44">
        <v>9</v>
      </c>
      <c r="D381" s="43" t="s">
        <v>1537</v>
      </c>
      <c r="E381" s="107"/>
    </row>
    <row r="382" spans="1:5" x14ac:dyDescent="0.35">
      <c r="A382" s="43">
        <v>381</v>
      </c>
      <c r="B382" s="44">
        <v>3</v>
      </c>
      <c r="C382" s="44">
        <v>9</v>
      </c>
      <c r="D382" s="43" t="s">
        <v>1538</v>
      </c>
      <c r="E382" s="107"/>
    </row>
    <row r="383" spans="1:5" x14ac:dyDescent="0.35">
      <c r="A383" s="43">
        <v>382</v>
      </c>
      <c r="B383" s="44">
        <v>3</v>
      </c>
      <c r="C383" s="44">
        <v>9</v>
      </c>
      <c r="D383" s="43" t="s">
        <v>1539</v>
      </c>
      <c r="E383" s="107"/>
    </row>
    <row r="384" spans="1:5" x14ac:dyDescent="0.35">
      <c r="A384" s="43">
        <v>383</v>
      </c>
      <c r="B384" s="44">
        <v>3</v>
      </c>
      <c r="C384" s="44">
        <v>9</v>
      </c>
      <c r="D384" s="43" t="s">
        <v>1540</v>
      </c>
      <c r="E384" s="107"/>
    </row>
    <row r="385" spans="1:5" x14ac:dyDescent="0.35">
      <c r="A385" s="43">
        <v>384</v>
      </c>
      <c r="B385" s="44">
        <v>3</v>
      </c>
      <c r="C385" s="44">
        <v>9</v>
      </c>
      <c r="D385" s="43" t="s">
        <v>1541</v>
      </c>
      <c r="E385" s="107"/>
    </row>
    <row r="386" spans="1:5" x14ac:dyDescent="0.35">
      <c r="A386" s="43">
        <v>385</v>
      </c>
      <c r="B386" s="44">
        <v>3</v>
      </c>
      <c r="C386" s="44">
        <v>9</v>
      </c>
      <c r="D386" s="43" t="s">
        <v>1542</v>
      </c>
      <c r="E386" s="107"/>
    </row>
    <row r="387" spans="1:5" x14ac:dyDescent="0.35">
      <c r="A387" s="43">
        <v>386</v>
      </c>
      <c r="B387" s="44">
        <v>3</v>
      </c>
      <c r="C387" s="44">
        <v>9</v>
      </c>
      <c r="D387" s="43" t="s">
        <v>1543</v>
      </c>
      <c r="E387" s="107"/>
    </row>
    <row r="388" spans="1:5" x14ac:dyDescent="0.35">
      <c r="A388" s="43">
        <v>387</v>
      </c>
      <c r="B388" s="44">
        <v>3</v>
      </c>
      <c r="C388" s="44">
        <v>9</v>
      </c>
      <c r="D388" s="43" t="s">
        <v>1544</v>
      </c>
      <c r="E388" s="107"/>
    </row>
    <row r="389" spans="1:5" x14ac:dyDescent="0.35">
      <c r="A389" s="43">
        <v>388</v>
      </c>
      <c r="B389" s="44">
        <v>3</v>
      </c>
      <c r="C389" s="44">
        <v>9</v>
      </c>
      <c r="D389" s="43" t="s">
        <v>1545</v>
      </c>
      <c r="E389" s="107"/>
    </row>
    <row r="390" spans="1:5" x14ac:dyDescent="0.35">
      <c r="A390" s="43">
        <v>389</v>
      </c>
      <c r="B390" s="44">
        <v>3</v>
      </c>
      <c r="C390" s="44">
        <v>9</v>
      </c>
      <c r="D390" s="43" t="s">
        <v>1546</v>
      </c>
      <c r="E390" s="107"/>
    </row>
    <row r="391" spans="1:5" x14ac:dyDescent="0.35">
      <c r="A391" s="43">
        <v>390</v>
      </c>
      <c r="B391" s="44">
        <v>3</v>
      </c>
      <c r="C391" s="44">
        <v>9</v>
      </c>
      <c r="D391" s="43" t="s">
        <v>1547</v>
      </c>
      <c r="E391" s="107"/>
    </row>
    <row r="392" spans="1:5" x14ac:dyDescent="0.35">
      <c r="A392" s="43">
        <v>391</v>
      </c>
      <c r="B392" s="44">
        <v>3</v>
      </c>
      <c r="C392" s="44">
        <v>9</v>
      </c>
      <c r="D392" s="43" t="s">
        <v>1548</v>
      </c>
      <c r="E392" s="107"/>
    </row>
    <row r="393" spans="1:5" x14ac:dyDescent="0.35">
      <c r="A393" s="43">
        <v>392</v>
      </c>
      <c r="B393" s="44">
        <v>3</v>
      </c>
      <c r="C393" s="44">
        <v>9</v>
      </c>
      <c r="D393" s="43" t="s">
        <v>1549</v>
      </c>
      <c r="E393" s="107"/>
    </row>
    <row r="394" spans="1:5" x14ac:dyDescent="0.35">
      <c r="A394" s="43">
        <v>393</v>
      </c>
      <c r="B394" s="44">
        <v>3</v>
      </c>
      <c r="C394" s="44">
        <v>9</v>
      </c>
      <c r="D394" s="43" t="s">
        <v>1550</v>
      </c>
      <c r="E394" s="107"/>
    </row>
    <row r="395" spans="1:5" x14ac:dyDescent="0.35">
      <c r="A395" s="43">
        <v>394</v>
      </c>
      <c r="B395" s="44">
        <v>3</v>
      </c>
      <c r="C395" s="44">
        <v>9</v>
      </c>
      <c r="D395" s="43" t="s">
        <v>1551</v>
      </c>
      <c r="E395" s="107"/>
    </row>
    <row r="396" spans="1:5" x14ac:dyDescent="0.35">
      <c r="A396" s="43">
        <v>395</v>
      </c>
      <c r="B396" s="44">
        <v>3</v>
      </c>
      <c r="C396" s="44">
        <v>10</v>
      </c>
      <c r="D396" s="43" t="s">
        <v>1552</v>
      </c>
      <c r="E396" s="107"/>
    </row>
    <row r="397" spans="1:5" x14ac:dyDescent="0.35">
      <c r="A397" s="43">
        <v>396</v>
      </c>
      <c r="B397" s="44">
        <v>3</v>
      </c>
      <c r="C397" s="44">
        <v>10</v>
      </c>
      <c r="D397" s="43" t="s">
        <v>1553</v>
      </c>
      <c r="E397" s="107"/>
    </row>
    <row r="398" spans="1:5" x14ac:dyDescent="0.35">
      <c r="A398" s="43">
        <v>397</v>
      </c>
      <c r="B398" s="44">
        <v>3</v>
      </c>
      <c r="C398" s="44">
        <v>10</v>
      </c>
      <c r="D398" s="43" t="s">
        <v>1554</v>
      </c>
      <c r="E398" s="107"/>
    </row>
    <row r="399" spans="1:5" x14ac:dyDescent="0.35">
      <c r="A399" s="43">
        <v>398</v>
      </c>
      <c r="B399" s="44">
        <v>3</v>
      </c>
      <c r="C399" s="44">
        <v>10</v>
      </c>
      <c r="D399" s="43" t="s">
        <v>1555</v>
      </c>
      <c r="E399" s="107"/>
    </row>
    <row r="400" spans="1:5" x14ac:dyDescent="0.35">
      <c r="A400" s="43">
        <v>399</v>
      </c>
      <c r="B400" s="44">
        <v>3</v>
      </c>
      <c r="C400" s="44">
        <v>10</v>
      </c>
      <c r="D400" s="43" t="s">
        <v>1556</v>
      </c>
      <c r="E400" s="107"/>
    </row>
    <row r="401" spans="1:5" x14ac:dyDescent="0.35">
      <c r="A401" s="43">
        <v>400</v>
      </c>
      <c r="B401" s="44">
        <v>3</v>
      </c>
      <c r="C401" s="44">
        <v>10</v>
      </c>
      <c r="D401" s="43" t="s">
        <v>1481</v>
      </c>
      <c r="E401" s="107"/>
    </row>
    <row r="402" spans="1:5" x14ac:dyDescent="0.35">
      <c r="A402" s="43">
        <v>401</v>
      </c>
      <c r="B402" s="44">
        <v>3</v>
      </c>
      <c r="C402" s="44">
        <v>10</v>
      </c>
      <c r="D402" s="43" t="s">
        <v>1557</v>
      </c>
      <c r="E402" s="107"/>
    </row>
    <row r="403" spans="1:5" x14ac:dyDescent="0.35">
      <c r="A403" s="43">
        <v>402</v>
      </c>
      <c r="B403" s="44">
        <v>3</v>
      </c>
      <c r="C403" s="44">
        <v>10</v>
      </c>
      <c r="D403" s="43" t="s">
        <v>1558</v>
      </c>
      <c r="E403" s="107"/>
    </row>
    <row r="404" spans="1:5" x14ac:dyDescent="0.35">
      <c r="A404" s="43">
        <v>403</v>
      </c>
      <c r="B404" s="44">
        <v>3</v>
      </c>
      <c r="C404" s="44">
        <v>10</v>
      </c>
      <c r="D404" s="43" t="s">
        <v>1559</v>
      </c>
      <c r="E404" s="107"/>
    </row>
    <row r="405" spans="1:5" x14ac:dyDescent="0.35">
      <c r="A405" s="43">
        <v>404</v>
      </c>
      <c r="B405" s="44">
        <v>3</v>
      </c>
      <c r="C405" s="44">
        <v>10</v>
      </c>
      <c r="D405" s="43" t="s">
        <v>1560</v>
      </c>
      <c r="E405" s="107"/>
    </row>
    <row r="406" spans="1:5" x14ac:dyDescent="0.35">
      <c r="A406" s="43">
        <v>405</v>
      </c>
      <c r="B406" s="44">
        <v>3</v>
      </c>
      <c r="C406" s="44">
        <v>10</v>
      </c>
      <c r="D406" s="43" t="s">
        <v>1561</v>
      </c>
      <c r="E406" s="107"/>
    </row>
    <row r="407" spans="1:5" x14ac:dyDescent="0.35">
      <c r="A407" s="43">
        <v>406</v>
      </c>
      <c r="B407" s="44">
        <v>3</v>
      </c>
      <c r="C407" s="44">
        <v>10</v>
      </c>
      <c r="D407" s="43" t="s">
        <v>1401</v>
      </c>
      <c r="E407" s="107"/>
    </row>
    <row r="408" spans="1:5" x14ac:dyDescent="0.35">
      <c r="A408" s="43">
        <v>407</v>
      </c>
      <c r="B408" s="44">
        <v>3</v>
      </c>
      <c r="C408" s="44">
        <v>10</v>
      </c>
      <c r="D408" s="43" t="s">
        <v>1497</v>
      </c>
      <c r="E408" s="107"/>
    </row>
    <row r="409" spans="1:5" x14ac:dyDescent="0.35">
      <c r="A409" s="43">
        <v>408</v>
      </c>
      <c r="B409" s="44">
        <v>3</v>
      </c>
      <c r="C409" s="44">
        <v>10</v>
      </c>
      <c r="D409" s="43" t="s">
        <v>1562</v>
      </c>
      <c r="E409" s="107"/>
    </row>
    <row r="410" spans="1:5" x14ac:dyDescent="0.35">
      <c r="A410" s="43">
        <v>409</v>
      </c>
      <c r="B410" s="44">
        <v>3</v>
      </c>
      <c r="C410" s="44">
        <v>10</v>
      </c>
      <c r="D410" s="43" t="s">
        <v>1446</v>
      </c>
      <c r="E410" s="107"/>
    </row>
    <row r="411" spans="1:5" x14ac:dyDescent="0.35">
      <c r="A411" s="43">
        <v>410</v>
      </c>
      <c r="B411" s="44">
        <v>3</v>
      </c>
      <c r="C411" s="44">
        <v>10</v>
      </c>
      <c r="D411" s="43" t="s">
        <v>1563</v>
      </c>
      <c r="E411" s="107"/>
    </row>
    <row r="412" spans="1:5" x14ac:dyDescent="0.35">
      <c r="A412" s="43">
        <v>411</v>
      </c>
      <c r="B412" s="44">
        <v>3</v>
      </c>
      <c r="C412" s="44">
        <v>10</v>
      </c>
      <c r="D412" s="43" t="s">
        <v>1564</v>
      </c>
      <c r="E412" s="107"/>
    </row>
    <row r="413" spans="1:5" x14ac:dyDescent="0.35">
      <c r="A413" s="43">
        <v>412</v>
      </c>
      <c r="B413" s="44">
        <v>3</v>
      </c>
      <c r="C413" s="44">
        <v>10</v>
      </c>
      <c r="D413" s="43" t="s">
        <v>1565</v>
      </c>
      <c r="E413" s="107"/>
    </row>
    <row r="414" spans="1:5" x14ac:dyDescent="0.35">
      <c r="A414" s="43">
        <v>413</v>
      </c>
      <c r="B414" s="44">
        <v>3</v>
      </c>
      <c r="C414" s="44">
        <v>10</v>
      </c>
      <c r="D414" s="43" t="s">
        <v>1566</v>
      </c>
      <c r="E414" s="107"/>
    </row>
    <row r="415" spans="1:5" x14ac:dyDescent="0.35">
      <c r="A415" s="43">
        <v>414</v>
      </c>
      <c r="B415" s="44">
        <v>3</v>
      </c>
      <c r="C415" s="44">
        <v>10</v>
      </c>
      <c r="D415" s="43" t="s">
        <v>1567</v>
      </c>
      <c r="E415" s="107"/>
    </row>
    <row r="416" spans="1:5" x14ac:dyDescent="0.35">
      <c r="A416" s="43">
        <v>415</v>
      </c>
      <c r="B416" s="44">
        <v>3</v>
      </c>
      <c r="C416" s="44">
        <v>10</v>
      </c>
      <c r="D416" s="43" t="s">
        <v>1568</v>
      </c>
      <c r="E416" s="107"/>
    </row>
    <row r="417" spans="1:5" x14ac:dyDescent="0.35">
      <c r="A417" s="43">
        <v>416</v>
      </c>
      <c r="B417" s="44">
        <v>3</v>
      </c>
      <c r="C417" s="44">
        <v>10</v>
      </c>
      <c r="D417" s="43" t="s">
        <v>1569</v>
      </c>
      <c r="E417" s="107"/>
    </row>
    <row r="418" spans="1:5" x14ac:dyDescent="0.35">
      <c r="A418" s="43">
        <v>417</v>
      </c>
      <c r="B418" s="44">
        <v>3</v>
      </c>
      <c r="C418" s="44">
        <v>10</v>
      </c>
      <c r="D418" s="43" t="s">
        <v>1570</v>
      </c>
      <c r="E418" s="107"/>
    </row>
    <row r="419" spans="1:5" x14ac:dyDescent="0.35">
      <c r="A419" s="43">
        <v>418</v>
      </c>
      <c r="B419" s="44">
        <v>3</v>
      </c>
      <c r="C419" s="44">
        <v>10</v>
      </c>
      <c r="D419" s="43" t="s">
        <v>1571</v>
      </c>
      <c r="E419" s="107"/>
    </row>
    <row r="420" spans="1:5" x14ac:dyDescent="0.35">
      <c r="A420" s="43">
        <v>419</v>
      </c>
      <c r="B420" s="44">
        <v>3</v>
      </c>
      <c r="C420" s="44">
        <v>10</v>
      </c>
      <c r="D420" s="43" t="s">
        <v>1572</v>
      </c>
      <c r="E420" s="107"/>
    </row>
    <row r="421" spans="1:5" x14ac:dyDescent="0.35">
      <c r="A421" s="43">
        <v>420</v>
      </c>
      <c r="B421" s="44">
        <v>3</v>
      </c>
      <c r="C421" s="44">
        <v>10</v>
      </c>
      <c r="D421" s="43" t="s">
        <v>1573</v>
      </c>
      <c r="E421" s="107"/>
    </row>
    <row r="422" spans="1:5" x14ac:dyDescent="0.35">
      <c r="A422" s="43">
        <v>421</v>
      </c>
      <c r="B422" s="44">
        <v>3</v>
      </c>
      <c r="C422" s="44">
        <v>10</v>
      </c>
      <c r="D422" s="43" t="s">
        <v>1574</v>
      </c>
      <c r="E422" s="107"/>
    </row>
    <row r="423" spans="1:5" x14ac:dyDescent="0.35">
      <c r="A423" s="43">
        <v>422</v>
      </c>
      <c r="B423" s="44">
        <v>3</v>
      </c>
      <c r="C423" s="44">
        <v>10</v>
      </c>
      <c r="D423" s="43" t="s">
        <v>1575</v>
      </c>
      <c r="E423" s="107"/>
    </row>
    <row r="424" spans="1:5" x14ac:dyDescent="0.35">
      <c r="A424" s="43">
        <v>423</v>
      </c>
      <c r="B424" s="44">
        <v>3</v>
      </c>
      <c r="C424" s="44">
        <v>10</v>
      </c>
      <c r="D424" s="43" t="s">
        <v>1576</v>
      </c>
      <c r="E424" s="107"/>
    </row>
    <row r="425" spans="1:5" x14ac:dyDescent="0.35">
      <c r="A425" s="43">
        <v>424</v>
      </c>
      <c r="B425" s="44">
        <v>3</v>
      </c>
      <c r="C425" s="44">
        <v>10</v>
      </c>
      <c r="D425" s="43" t="s">
        <v>1577</v>
      </c>
      <c r="E425" s="107"/>
    </row>
    <row r="426" spans="1:5" x14ac:dyDescent="0.35">
      <c r="A426" s="43">
        <v>425</v>
      </c>
      <c r="B426" s="44">
        <v>3</v>
      </c>
      <c r="C426" s="44">
        <v>10</v>
      </c>
      <c r="D426" s="43" t="s">
        <v>1578</v>
      </c>
      <c r="E426" s="107"/>
    </row>
    <row r="427" spans="1:5" x14ac:dyDescent="0.35">
      <c r="A427" s="43">
        <v>426</v>
      </c>
      <c r="B427" s="44">
        <v>3</v>
      </c>
      <c r="C427" s="44">
        <v>10</v>
      </c>
      <c r="D427" s="43" t="s">
        <v>1579</v>
      </c>
      <c r="E427" s="107"/>
    </row>
    <row r="428" spans="1:5" x14ac:dyDescent="0.35">
      <c r="A428" s="43">
        <v>427</v>
      </c>
      <c r="B428" s="44">
        <v>3</v>
      </c>
      <c r="C428" s="44">
        <v>10</v>
      </c>
      <c r="D428" s="43" t="s">
        <v>1525</v>
      </c>
      <c r="E428" s="107"/>
    </row>
    <row r="429" spans="1:5" x14ac:dyDescent="0.35">
      <c r="A429" s="43">
        <v>428</v>
      </c>
      <c r="B429" s="44">
        <v>3</v>
      </c>
      <c r="C429" s="44">
        <v>10</v>
      </c>
      <c r="D429" s="43" t="s">
        <v>1580</v>
      </c>
      <c r="E429" s="107"/>
    </row>
    <row r="430" spans="1:5" x14ac:dyDescent="0.35">
      <c r="A430" s="43">
        <v>429</v>
      </c>
      <c r="B430" s="44">
        <v>3</v>
      </c>
      <c r="C430" s="44">
        <v>10</v>
      </c>
      <c r="D430" s="43" t="s">
        <v>1581</v>
      </c>
      <c r="E430" s="107"/>
    </row>
    <row r="431" spans="1:5" x14ac:dyDescent="0.35">
      <c r="A431" s="43">
        <v>430</v>
      </c>
      <c r="B431" s="44">
        <v>3</v>
      </c>
      <c r="C431" s="44">
        <v>10</v>
      </c>
      <c r="D431" s="43" t="s">
        <v>1582</v>
      </c>
      <c r="E431" s="107"/>
    </row>
    <row r="432" spans="1:5" x14ac:dyDescent="0.35">
      <c r="A432" s="43">
        <v>431</v>
      </c>
      <c r="B432" s="44">
        <v>3</v>
      </c>
      <c r="C432" s="44">
        <v>10</v>
      </c>
      <c r="D432" s="43" t="s">
        <v>1583</v>
      </c>
      <c r="E432" s="107"/>
    </row>
    <row r="433" spans="1:5" x14ac:dyDescent="0.35">
      <c r="A433" s="43">
        <v>432</v>
      </c>
      <c r="B433" s="44">
        <v>3</v>
      </c>
      <c r="C433" s="44">
        <v>10</v>
      </c>
      <c r="D433" s="43" t="s">
        <v>1584</v>
      </c>
      <c r="E433" s="107"/>
    </row>
    <row r="434" spans="1:5" x14ac:dyDescent="0.35">
      <c r="A434" s="43">
        <v>433</v>
      </c>
      <c r="B434" s="44">
        <v>3</v>
      </c>
      <c r="C434" s="44">
        <v>10</v>
      </c>
      <c r="D434" s="43" t="s">
        <v>1477</v>
      </c>
      <c r="E434" s="107"/>
    </row>
    <row r="435" spans="1:5" x14ac:dyDescent="0.35">
      <c r="A435" s="43">
        <v>434</v>
      </c>
      <c r="B435" s="44">
        <v>3</v>
      </c>
      <c r="C435" s="44">
        <v>10</v>
      </c>
      <c r="D435" s="43" t="s">
        <v>1585</v>
      </c>
      <c r="E435" s="107"/>
    </row>
    <row r="436" spans="1:5" x14ac:dyDescent="0.35">
      <c r="A436" s="43">
        <v>435</v>
      </c>
      <c r="B436" s="44">
        <v>3</v>
      </c>
      <c r="C436" s="44">
        <v>10</v>
      </c>
      <c r="D436" s="43" t="s">
        <v>1586</v>
      </c>
      <c r="E436" s="107"/>
    </row>
    <row r="437" spans="1:5" x14ac:dyDescent="0.35">
      <c r="A437" s="43">
        <v>436</v>
      </c>
      <c r="B437" s="44">
        <v>3</v>
      </c>
      <c r="C437" s="44">
        <v>10</v>
      </c>
      <c r="D437" s="43" t="s">
        <v>1587</v>
      </c>
      <c r="E437" s="107"/>
    </row>
    <row r="438" spans="1:5" x14ac:dyDescent="0.35">
      <c r="A438" s="43">
        <v>437</v>
      </c>
      <c r="B438" s="44">
        <v>3</v>
      </c>
      <c r="C438" s="44">
        <v>10</v>
      </c>
      <c r="D438" s="43" t="s">
        <v>1588</v>
      </c>
      <c r="E438" s="107"/>
    </row>
    <row r="439" spans="1:5" x14ac:dyDescent="0.35">
      <c r="A439" s="43">
        <v>438</v>
      </c>
      <c r="B439" s="44">
        <v>3</v>
      </c>
      <c r="C439" s="44">
        <v>11</v>
      </c>
      <c r="D439" s="43" t="s">
        <v>1589</v>
      </c>
      <c r="E439" s="107"/>
    </row>
    <row r="440" spans="1:5" x14ac:dyDescent="0.35">
      <c r="A440" s="43">
        <v>439</v>
      </c>
      <c r="B440" s="44">
        <v>3</v>
      </c>
      <c r="C440" s="44">
        <v>11</v>
      </c>
      <c r="D440" s="43" t="s">
        <v>1590</v>
      </c>
      <c r="E440" s="107"/>
    </row>
    <row r="441" spans="1:5" x14ac:dyDescent="0.35">
      <c r="A441" s="43">
        <v>440</v>
      </c>
      <c r="B441" s="44">
        <v>3</v>
      </c>
      <c r="C441" s="44">
        <v>11</v>
      </c>
      <c r="D441" s="43" t="s">
        <v>1591</v>
      </c>
      <c r="E441" s="107"/>
    </row>
    <row r="442" spans="1:5" x14ac:dyDescent="0.35">
      <c r="A442" s="43">
        <v>441</v>
      </c>
      <c r="B442" s="44">
        <v>3</v>
      </c>
      <c r="C442" s="44">
        <v>11</v>
      </c>
      <c r="D442" s="43" t="s">
        <v>1592</v>
      </c>
      <c r="E442" s="107"/>
    </row>
    <row r="443" spans="1:5" x14ac:dyDescent="0.35">
      <c r="A443" s="43">
        <v>442</v>
      </c>
      <c r="B443" s="44">
        <v>3</v>
      </c>
      <c r="C443" s="44">
        <v>11</v>
      </c>
      <c r="D443" s="43" t="s">
        <v>1593</v>
      </c>
      <c r="E443" s="107"/>
    </row>
    <row r="444" spans="1:5" x14ac:dyDescent="0.35">
      <c r="A444" s="43">
        <v>443</v>
      </c>
      <c r="B444" s="44">
        <v>3</v>
      </c>
      <c r="C444" s="44">
        <v>11</v>
      </c>
      <c r="D444" s="43" t="s">
        <v>1594</v>
      </c>
      <c r="E444" s="107"/>
    </row>
    <row r="445" spans="1:5" x14ac:dyDescent="0.35">
      <c r="A445" s="43">
        <v>444</v>
      </c>
      <c r="B445" s="44">
        <v>3</v>
      </c>
      <c r="C445" s="44">
        <v>11</v>
      </c>
      <c r="D445" s="43" t="s">
        <v>1595</v>
      </c>
      <c r="E445" s="107"/>
    </row>
    <row r="446" spans="1:5" x14ac:dyDescent="0.35">
      <c r="A446" s="43">
        <v>445</v>
      </c>
      <c r="B446" s="44">
        <v>3</v>
      </c>
      <c r="C446" s="44">
        <v>11</v>
      </c>
      <c r="D446" s="43" t="s">
        <v>1596</v>
      </c>
      <c r="E446" s="107"/>
    </row>
    <row r="447" spans="1:5" x14ac:dyDescent="0.35">
      <c r="A447" s="43">
        <v>446</v>
      </c>
      <c r="B447" s="44">
        <v>3</v>
      </c>
      <c r="C447" s="44">
        <v>11</v>
      </c>
      <c r="D447" s="43" t="s">
        <v>1597</v>
      </c>
      <c r="E447" s="107"/>
    </row>
    <row r="448" spans="1:5" x14ac:dyDescent="0.35">
      <c r="A448" s="43">
        <v>447</v>
      </c>
      <c r="B448" s="44">
        <v>3</v>
      </c>
      <c r="C448" s="44">
        <v>11</v>
      </c>
      <c r="D448" s="43" t="s">
        <v>1598</v>
      </c>
      <c r="E448" s="107"/>
    </row>
    <row r="449" spans="1:5" x14ac:dyDescent="0.35">
      <c r="A449" s="43">
        <v>448</v>
      </c>
      <c r="B449" s="44">
        <v>3</v>
      </c>
      <c r="C449" s="44">
        <v>11</v>
      </c>
      <c r="D449" s="43" t="s">
        <v>1599</v>
      </c>
      <c r="E449" s="107"/>
    </row>
    <row r="450" spans="1:5" x14ac:dyDescent="0.35">
      <c r="A450" s="43">
        <v>449</v>
      </c>
      <c r="B450" s="44">
        <v>3</v>
      </c>
      <c r="C450" s="44">
        <v>11</v>
      </c>
      <c r="D450" s="43" t="s">
        <v>1600</v>
      </c>
      <c r="E450" s="107"/>
    </row>
    <row r="451" spans="1:5" x14ac:dyDescent="0.35">
      <c r="A451" s="43">
        <v>450</v>
      </c>
      <c r="B451" s="44">
        <v>3</v>
      </c>
      <c r="C451" s="44">
        <v>11</v>
      </c>
      <c r="D451" s="43" t="s">
        <v>1601</v>
      </c>
      <c r="E451" s="107"/>
    </row>
    <row r="452" spans="1:5" x14ac:dyDescent="0.35">
      <c r="A452" s="43">
        <v>451</v>
      </c>
      <c r="B452" s="44">
        <v>3</v>
      </c>
      <c r="C452" s="44">
        <v>11</v>
      </c>
      <c r="D452" s="43" t="s">
        <v>1602</v>
      </c>
      <c r="E452" s="107"/>
    </row>
    <row r="453" spans="1:5" x14ac:dyDescent="0.35">
      <c r="A453" s="43">
        <v>452</v>
      </c>
      <c r="B453" s="44">
        <v>3</v>
      </c>
      <c r="C453" s="44">
        <v>11</v>
      </c>
      <c r="D453" s="43" t="s">
        <v>1603</v>
      </c>
      <c r="E453" s="107"/>
    </row>
    <row r="454" spans="1:5" x14ac:dyDescent="0.35">
      <c r="A454" s="43">
        <v>453</v>
      </c>
      <c r="B454" s="44">
        <v>3</v>
      </c>
      <c r="C454" s="44">
        <v>11</v>
      </c>
      <c r="D454" s="43" t="s">
        <v>1604</v>
      </c>
      <c r="E454" s="107"/>
    </row>
    <row r="455" spans="1:5" x14ac:dyDescent="0.35">
      <c r="A455" s="43">
        <v>454</v>
      </c>
      <c r="B455" s="44">
        <v>3</v>
      </c>
      <c r="C455" s="44">
        <v>11</v>
      </c>
      <c r="D455" s="43" t="s">
        <v>1605</v>
      </c>
      <c r="E455" s="107"/>
    </row>
    <row r="456" spans="1:5" x14ac:dyDescent="0.35">
      <c r="A456" s="43">
        <v>455</v>
      </c>
      <c r="B456" s="44">
        <v>3</v>
      </c>
      <c r="C456" s="44">
        <v>11</v>
      </c>
      <c r="D456" s="43" t="s">
        <v>1606</v>
      </c>
      <c r="E456" s="107"/>
    </row>
    <row r="457" spans="1:5" x14ac:dyDescent="0.35">
      <c r="A457" s="43">
        <v>456</v>
      </c>
      <c r="B457" s="44">
        <v>3</v>
      </c>
      <c r="C457" s="44">
        <v>11</v>
      </c>
      <c r="D457" s="43" t="s">
        <v>1607</v>
      </c>
      <c r="E457" s="107"/>
    </row>
    <row r="458" spans="1:5" x14ac:dyDescent="0.35">
      <c r="A458" s="43">
        <v>457</v>
      </c>
      <c r="B458" s="44">
        <v>3</v>
      </c>
      <c r="C458" s="44">
        <v>11</v>
      </c>
      <c r="D458" s="43" t="s">
        <v>1608</v>
      </c>
      <c r="E458" s="107"/>
    </row>
    <row r="459" spans="1:5" x14ac:dyDescent="0.35">
      <c r="A459" s="43">
        <v>458</v>
      </c>
      <c r="B459" s="44">
        <v>3</v>
      </c>
      <c r="C459" s="44">
        <v>11</v>
      </c>
      <c r="D459" s="43" t="s">
        <v>1609</v>
      </c>
      <c r="E459" s="107"/>
    </row>
    <row r="460" spans="1:5" x14ac:dyDescent="0.35">
      <c r="A460" s="43">
        <v>459</v>
      </c>
      <c r="B460" s="44">
        <v>3</v>
      </c>
      <c r="C460" s="44">
        <v>11</v>
      </c>
      <c r="D460" s="43" t="s">
        <v>1610</v>
      </c>
      <c r="E460" s="107"/>
    </row>
    <row r="461" spans="1:5" x14ac:dyDescent="0.35">
      <c r="A461" s="43">
        <v>460</v>
      </c>
      <c r="B461" s="44">
        <v>3</v>
      </c>
      <c r="C461" s="44">
        <v>11</v>
      </c>
      <c r="D461" s="43" t="s">
        <v>1494</v>
      </c>
      <c r="E461" s="107"/>
    </row>
    <row r="462" spans="1:5" x14ac:dyDescent="0.35">
      <c r="A462" s="43">
        <v>461</v>
      </c>
      <c r="B462" s="44">
        <v>3</v>
      </c>
      <c r="C462" s="44">
        <v>12</v>
      </c>
      <c r="D462" s="43" t="s">
        <v>1611</v>
      </c>
      <c r="E462" s="107"/>
    </row>
    <row r="463" spans="1:5" x14ac:dyDescent="0.35">
      <c r="A463" s="43">
        <v>462</v>
      </c>
      <c r="B463" s="44">
        <v>3</v>
      </c>
      <c r="C463" s="44">
        <v>12</v>
      </c>
      <c r="D463" s="43" t="s">
        <v>1612</v>
      </c>
      <c r="E463" s="107"/>
    </row>
    <row r="464" spans="1:5" x14ac:dyDescent="0.35">
      <c r="A464" s="43">
        <v>463</v>
      </c>
      <c r="B464" s="44">
        <v>3</v>
      </c>
      <c r="C464" s="44">
        <v>12</v>
      </c>
      <c r="D464" s="43" t="s">
        <v>1613</v>
      </c>
      <c r="E464" s="107"/>
    </row>
    <row r="465" spans="1:5" x14ac:dyDescent="0.35">
      <c r="A465" s="43">
        <v>464</v>
      </c>
      <c r="B465" s="44">
        <v>3</v>
      </c>
      <c r="C465" s="44">
        <v>12</v>
      </c>
      <c r="D465" s="43" t="s">
        <v>1614</v>
      </c>
      <c r="E465" s="107"/>
    </row>
    <row r="466" spans="1:5" x14ac:dyDescent="0.35">
      <c r="A466" s="43">
        <v>465</v>
      </c>
      <c r="B466" s="44">
        <v>3</v>
      </c>
      <c r="C466" s="44">
        <v>12</v>
      </c>
      <c r="D466" s="43" t="s">
        <v>1615</v>
      </c>
      <c r="E466" s="107"/>
    </row>
    <row r="467" spans="1:5" x14ac:dyDescent="0.35">
      <c r="A467" s="43">
        <v>466</v>
      </c>
      <c r="B467" s="44">
        <v>3</v>
      </c>
      <c r="C467" s="44">
        <v>12</v>
      </c>
      <c r="D467" s="43" t="s">
        <v>1616</v>
      </c>
      <c r="E467" s="107"/>
    </row>
    <row r="468" spans="1:5" x14ac:dyDescent="0.35">
      <c r="A468" s="43">
        <v>467</v>
      </c>
      <c r="B468" s="44">
        <v>3</v>
      </c>
      <c r="C468" s="44">
        <v>12</v>
      </c>
      <c r="D468" s="43" t="s">
        <v>1617</v>
      </c>
      <c r="E468" s="107"/>
    </row>
    <row r="469" spans="1:5" x14ac:dyDescent="0.35">
      <c r="A469" s="43">
        <v>468</v>
      </c>
      <c r="B469" s="44">
        <v>3</v>
      </c>
      <c r="C469" s="44">
        <v>12</v>
      </c>
      <c r="D469" s="43" t="s">
        <v>1618</v>
      </c>
      <c r="E469" s="107"/>
    </row>
    <row r="470" spans="1:5" x14ac:dyDescent="0.35">
      <c r="A470" s="43">
        <v>469</v>
      </c>
      <c r="B470" s="44">
        <v>3</v>
      </c>
      <c r="C470" s="44">
        <v>12</v>
      </c>
      <c r="D470" s="43" t="s">
        <v>1619</v>
      </c>
      <c r="E470" s="107"/>
    </row>
    <row r="471" spans="1:5" x14ac:dyDescent="0.35">
      <c r="A471" s="43">
        <v>470</v>
      </c>
      <c r="B471" s="44">
        <v>3</v>
      </c>
      <c r="C471" s="44">
        <v>12</v>
      </c>
      <c r="D471" s="43" t="s">
        <v>1532</v>
      </c>
      <c r="E471" s="107"/>
    </row>
    <row r="472" spans="1:5" x14ac:dyDescent="0.35">
      <c r="A472" s="43">
        <v>471</v>
      </c>
      <c r="B472" s="44">
        <v>3</v>
      </c>
      <c r="C472" s="44">
        <v>12</v>
      </c>
      <c r="D472" s="43" t="s">
        <v>1620</v>
      </c>
      <c r="E472" s="107"/>
    </row>
    <row r="473" spans="1:5" x14ac:dyDescent="0.35">
      <c r="A473" s="43">
        <v>472</v>
      </c>
      <c r="B473" s="44">
        <v>3</v>
      </c>
      <c r="C473" s="44">
        <v>12</v>
      </c>
      <c r="D473" s="43" t="s">
        <v>1621</v>
      </c>
      <c r="E473" s="107"/>
    </row>
    <row r="474" spans="1:5" x14ac:dyDescent="0.35">
      <c r="A474" s="43">
        <v>473</v>
      </c>
      <c r="B474" s="44">
        <v>3</v>
      </c>
      <c r="C474" s="44">
        <v>12</v>
      </c>
      <c r="D474" s="43" t="s">
        <v>1622</v>
      </c>
      <c r="E474" s="107"/>
    </row>
    <row r="475" spans="1:5" x14ac:dyDescent="0.35">
      <c r="A475" s="43">
        <v>474</v>
      </c>
      <c r="B475" s="44">
        <v>3</v>
      </c>
      <c r="C475" s="44">
        <v>12</v>
      </c>
      <c r="D475" s="43" t="s">
        <v>1623</v>
      </c>
      <c r="E475" s="107"/>
    </row>
    <row r="476" spans="1:5" x14ac:dyDescent="0.35">
      <c r="A476" s="43">
        <v>475</v>
      </c>
      <c r="B476" s="44">
        <v>3</v>
      </c>
      <c r="C476" s="44">
        <v>12</v>
      </c>
      <c r="D476" s="43" t="s">
        <v>1624</v>
      </c>
      <c r="E476" s="107"/>
    </row>
    <row r="477" spans="1:5" x14ac:dyDescent="0.35">
      <c r="A477" s="43">
        <v>476</v>
      </c>
      <c r="B477" s="44">
        <v>3</v>
      </c>
      <c r="C477" s="44">
        <v>12</v>
      </c>
      <c r="D477" s="43" t="s">
        <v>1625</v>
      </c>
      <c r="E477" s="107"/>
    </row>
    <row r="478" spans="1:5" x14ac:dyDescent="0.35">
      <c r="A478" s="43">
        <v>477</v>
      </c>
      <c r="B478" s="44">
        <v>3</v>
      </c>
      <c r="C478" s="44">
        <v>12</v>
      </c>
      <c r="D478" s="43" t="s">
        <v>1601</v>
      </c>
      <c r="E478" s="107"/>
    </row>
    <row r="479" spans="1:5" x14ac:dyDescent="0.35">
      <c r="A479" s="43">
        <v>478</v>
      </c>
      <c r="B479" s="44">
        <v>3</v>
      </c>
      <c r="C479" s="44">
        <v>12</v>
      </c>
      <c r="D479" s="43" t="s">
        <v>1626</v>
      </c>
      <c r="E479" s="107"/>
    </row>
    <row r="480" spans="1:5" x14ac:dyDescent="0.35">
      <c r="A480" s="43">
        <v>479</v>
      </c>
      <c r="B480" s="44">
        <v>3</v>
      </c>
      <c r="C480" s="44">
        <v>12</v>
      </c>
      <c r="D480" s="43" t="s">
        <v>1401</v>
      </c>
      <c r="E480" s="107"/>
    </row>
    <row r="481" spans="1:5" x14ac:dyDescent="0.35">
      <c r="A481" s="43">
        <v>480</v>
      </c>
      <c r="B481" s="44">
        <v>3</v>
      </c>
      <c r="C481" s="44">
        <v>12</v>
      </c>
      <c r="D481" s="43" t="s">
        <v>1627</v>
      </c>
      <c r="E481" s="107"/>
    </row>
    <row r="482" spans="1:5" x14ac:dyDescent="0.35">
      <c r="A482" s="43">
        <v>481</v>
      </c>
      <c r="B482" s="44">
        <v>3</v>
      </c>
      <c r="C482" s="44" t="s">
        <v>1629</v>
      </c>
      <c r="D482" s="43" t="s">
        <v>1628</v>
      </c>
      <c r="E482" s="107"/>
    </row>
    <row r="483" spans="1:5" x14ac:dyDescent="0.35">
      <c r="A483" s="43">
        <v>482</v>
      </c>
      <c r="B483" s="44">
        <v>3</v>
      </c>
      <c r="C483" s="44" t="s">
        <v>1631</v>
      </c>
      <c r="D483" s="43" t="s">
        <v>1630</v>
      </c>
      <c r="E483" s="107"/>
    </row>
    <row r="484" spans="1:5" x14ac:dyDescent="0.35">
      <c r="A484" s="43">
        <v>483</v>
      </c>
      <c r="B484" s="44">
        <v>3</v>
      </c>
      <c r="C484" s="44">
        <v>12</v>
      </c>
      <c r="D484" s="43" t="s">
        <v>1632</v>
      </c>
      <c r="E484" s="107"/>
    </row>
    <row r="485" spans="1:5" x14ac:dyDescent="0.35">
      <c r="A485" s="43">
        <v>484</v>
      </c>
      <c r="B485" s="44">
        <v>3</v>
      </c>
      <c r="C485" s="44" t="s">
        <v>1634</v>
      </c>
      <c r="D485" s="43" t="s">
        <v>1633</v>
      </c>
      <c r="E485" s="107"/>
    </row>
    <row r="486" spans="1:5" x14ac:dyDescent="0.35">
      <c r="A486" s="43">
        <v>485</v>
      </c>
      <c r="B486" s="44">
        <v>3</v>
      </c>
      <c r="C486" s="44" t="s">
        <v>1317</v>
      </c>
      <c r="D486" s="43" t="s">
        <v>1635</v>
      </c>
      <c r="E486" s="107"/>
    </row>
    <row r="487" spans="1:5" x14ac:dyDescent="0.35">
      <c r="A487" s="43">
        <v>486</v>
      </c>
      <c r="B487" s="44">
        <v>3</v>
      </c>
      <c r="C487" s="44" t="s">
        <v>1637</v>
      </c>
      <c r="D487" s="43" t="s">
        <v>1636</v>
      </c>
      <c r="E487" s="107"/>
    </row>
    <row r="488" spans="1:5" x14ac:dyDescent="0.35">
      <c r="A488" s="43">
        <v>487</v>
      </c>
      <c r="B488" s="44">
        <v>3</v>
      </c>
      <c r="C488" s="44" t="s">
        <v>1639</v>
      </c>
      <c r="D488" s="43" t="s">
        <v>1638</v>
      </c>
      <c r="E488" s="107"/>
    </row>
    <row r="489" spans="1:5" x14ac:dyDescent="0.35">
      <c r="A489" s="43">
        <v>488</v>
      </c>
      <c r="B489" s="44">
        <v>3</v>
      </c>
      <c r="C489" s="44" t="s">
        <v>1641</v>
      </c>
      <c r="D489" s="43" t="s">
        <v>1640</v>
      </c>
      <c r="E489" s="107"/>
    </row>
    <row r="490" spans="1:5" x14ac:dyDescent="0.35">
      <c r="A490" s="43">
        <v>489</v>
      </c>
      <c r="B490" s="44">
        <v>3</v>
      </c>
      <c r="C490" s="44" t="s">
        <v>1643</v>
      </c>
      <c r="D490" s="43" t="s">
        <v>1642</v>
      </c>
      <c r="E490" s="107"/>
    </row>
    <row r="491" spans="1:5" x14ac:dyDescent="0.35">
      <c r="A491" s="43">
        <v>490</v>
      </c>
      <c r="B491" s="44">
        <v>3</v>
      </c>
      <c r="C491" s="44" t="s">
        <v>1645</v>
      </c>
      <c r="D491" s="43" t="s">
        <v>1644</v>
      </c>
      <c r="E491" s="107"/>
    </row>
    <row r="492" spans="1:5" x14ac:dyDescent="0.35">
      <c r="A492" s="43">
        <v>491</v>
      </c>
      <c r="B492" s="44">
        <v>3</v>
      </c>
      <c r="C492" s="44" t="s">
        <v>1647</v>
      </c>
      <c r="D492" s="43" t="s">
        <v>1646</v>
      </c>
      <c r="E492" s="107"/>
    </row>
    <row r="493" spans="1:5" x14ac:dyDescent="0.35">
      <c r="A493" s="43">
        <v>492</v>
      </c>
      <c r="B493" s="44">
        <v>3</v>
      </c>
      <c r="C493" s="44" t="s">
        <v>129</v>
      </c>
      <c r="D493" s="43" t="s">
        <v>1648</v>
      </c>
      <c r="E493" s="107"/>
    </row>
    <row r="494" spans="1:5" x14ac:dyDescent="0.35">
      <c r="A494" s="43">
        <v>493</v>
      </c>
      <c r="B494" s="44">
        <v>3</v>
      </c>
      <c r="C494" s="44" t="s">
        <v>1650</v>
      </c>
      <c r="D494" s="43" t="s">
        <v>1649</v>
      </c>
      <c r="E494" s="107"/>
    </row>
    <row r="495" spans="1:5" x14ac:dyDescent="0.35">
      <c r="A495" s="43">
        <v>494</v>
      </c>
      <c r="B495" s="44">
        <v>3</v>
      </c>
      <c r="C495" s="44" t="s">
        <v>1650</v>
      </c>
      <c r="D495" s="43" t="s">
        <v>1651</v>
      </c>
      <c r="E495" s="107"/>
    </row>
    <row r="496" spans="1:5" x14ac:dyDescent="0.35">
      <c r="A496" s="43">
        <v>495</v>
      </c>
      <c r="B496" s="44">
        <v>3</v>
      </c>
      <c r="C496" s="44" t="s">
        <v>3846</v>
      </c>
      <c r="D496" s="43" t="s">
        <v>3848</v>
      </c>
      <c r="E496" s="107"/>
    </row>
    <row r="497" spans="1:5" x14ac:dyDescent="0.35">
      <c r="A497" s="43">
        <v>496</v>
      </c>
      <c r="B497" s="44">
        <v>3</v>
      </c>
      <c r="C497" s="44" t="s">
        <v>3847</v>
      </c>
      <c r="D497" s="43" t="s">
        <v>3849</v>
      </c>
      <c r="E497" s="107"/>
    </row>
    <row r="498" spans="1:5" x14ac:dyDescent="0.35">
      <c r="A498" s="43">
        <v>497</v>
      </c>
      <c r="B498" s="44">
        <v>3</v>
      </c>
      <c r="C498" s="44" t="s">
        <v>1653</v>
      </c>
      <c r="D498" s="43" t="s">
        <v>1652</v>
      </c>
      <c r="E498" s="107"/>
    </row>
    <row r="499" spans="1:5" x14ac:dyDescent="0.35">
      <c r="A499" s="43">
        <v>498</v>
      </c>
      <c r="B499" s="44">
        <v>3</v>
      </c>
      <c r="C499" s="44" t="s">
        <v>1650</v>
      </c>
      <c r="D499" s="43" t="s">
        <v>1654</v>
      </c>
      <c r="E499" s="107"/>
    </row>
    <row r="500" spans="1:5" x14ac:dyDescent="0.35">
      <c r="A500" s="43">
        <v>499</v>
      </c>
      <c r="B500" s="44">
        <v>3</v>
      </c>
      <c r="C500" s="44" t="s">
        <v>1656</v>
      </c>
      <c r="D500" s="43" t="s">
        <v>1655</v>
      </c>
      <c r="E500" s="107"/>
    </row>
    <row r="501" spans="1:5" x14ac:dyDescent="0.35">
      <c r="A501" s="43">
        <v>500</v>
      </c>
      <c r="B501" s="44">
        <v>3</v>
      </c>
      <c r="C501" s="44" t="s">
        <v>1656</v>
      </c>
      <c r="D501" s="43" t="s">
        <v>1657</v>
      </c>
      <c r="E501" s="107"/>
    </row>
    <row r="502" spans="1:5" x14ac:dyDescent="0.35">
      <c r="A502" s="43">
        <v>501</v>
      </c>
      <c r="B502" s="44">
        <v>3</v>
      </c>
      <c r="C502" s="44" t="s">
        <v>1659</v>
      </c>
      <c r="D502" s="43" t="s">
        <v>1658</v>
      </c>
      <c r="E502" s="107"/>
    </row>
    <row r="503" spans="1:5" x14ac:dyDescent="0.35">
      <c r="A503" s="43">
        <v>502</v>
      </c>
      <c r="B503" s="44">
        <v>3</v>
      </c>
      <c r="C503" s="44" t="s">
        <v>1661</v>
      </c>
      <c r="D503" s="43" t="s">
        <v>1660</v>
      </c>
      <c r="E503" s="107"/>
    </row>
    <row r="504" spans="1:5" x14ac:dyDescent="0.35">
      <c r="A504" s="43">
        <v>503</v>
      </c>
      <c r="B504" s="44">
        <v>3</v>
      </c>
      <c r="C504" s="44" t="s">
        <v>1663</v>
      </c>
      <c r="D504" s="43" t="s">
        <v>1662</v>
      </c>
      <c r="E504" s="107"/>
    </row>
    <row r="505" spans="1:5" x14ac:dyDescent="0.35">
      <c r="A505" s="43">
        <v>504</v>
      </c>
      <c r="B505" s="44">
        <v>3</v>
      </c>
      <c r="C505" s="44" t="s">
        <v>1665</v>
      </c>
      <c r="D505" s="43" t="s">
        <v>1664</v>
      </c>
      <c r="E505" s="107"/>
    </row>
    <row r="506" spans="1:5" x14ac:dyDescent="0.35">
      <c r="A506" s="43">
        <v>505</v>
      </c>
      <c r="B506" s="44">
        <v>3</v>
      </c>
      <c r="C506" s="44" t="s">
        <v>1667</v>
      </c>
      <c r="D506" s="43" t="s">
        <v>1666</v>
      </c>
      <c r="E506" s="107"/>
    </row>
    <row r="507" spans="1:5" x14ac:dyDescent="0.35">
      <c r="A507" s="43">
        <v>506</v>
      </c>
      <c r="B507" s="44">
        <v>3</v>
      </c>
      <c r="C507" s="44" t="s">
        <v>1669</v>
      </c>
      <c r="D507" s="43" t="s">
        <v>1668</v>
      </c>
      <c r="E507" s="107"/>
    </row>
    <row r="508" spans="1:5" x14ac:dyDescent="0.35">
      <c r="A508" s="43">
        <v>507</v>
      </c>
      <c r="B508" s="44">
        <v>3</v>
      </c>
      <c r="C508" s="44" t="s">
        <v>1671</v>
      </c>
      <c r="D508" s="43" t="s">
        <v>1670</v>
      </c>
      <c r="E508" s="107"/>
    </row>
    <row r="509" spans="1:5" x14ac:dyDescent="0.35">
      <c r="A509" s="43">
        <v>508</v>
      </c>
      <c r="B509" s="44">
        <v>3</v>
      </c>
      <c r="C509" s="44" t="s">
        <v>1673</v>
      </c>
      <c r="D509" s="43" t="s">
        <v>1672</v>
      </c>
      <c r="E509" s="107"/>
    </row>
    <row r="510" spans="1:5" x14ac:dyDescent="0.35">
      <c r="A510" s="43">
        <v>509</v>
      </c>
      <c r="B510" s="44">
        <v>3</v>
      </c>
      <c r="C510" s="44" t="s">
        <v>1675</v>
      </c>
      <c r="D510" s="43" t="s">
        <v>1674</v>
      </c>
      <c r="E510" s="107"/>
    </row>
    <row r="511" spans="1:5" x14ac:dyDescent="0.35">
      <c r="A511" s="43">
        <v>510</v>
      </c>
      <c r="B511" s="44">
        <v>3</v>
      </c>
      <c r="C511" s="44" t="s">
        <v>130</v>
      </c>
      <c r="D511" s="43" t="s">
        <v>1676</v>
      </c>
      <c r="E511" s="107"/>
    </row>
    <row r="512" spans="1:5" x14ac:dyDescent="0.35">
      <c r="A512" s="43">
        <v>511</v>
      </c>
      <c r="B512" s="44">
        <v>3</v>
      </c>
      <c r="C512" s="44" t="s">
        <v>1678</v>
      </c>
      <c r="D512" s="43" t="s">
        <v>1677</v>
      </c>
      <c r="E512" s="107"/>
    </row>
    <row r="513" spans="1:5" x14ac:dyDescent="0.35">
      <c r="A513" s="43">
        <v>512</v>
      </c>
      <c r="B513" s="44">
        <v>3</v>
      </c>
      <c r="C513" s="44" t="s">
        <v>1680</v>
      </c>
      <c r="D513" s="43" t="s">
        <v>1679</v>
      </c>
      <c r="E513" s="107"/>
    </row>
    <row r="514" spans="1:5" x14ac:dyDescent="0.35">
      <c r="A514" s="43">
        <v>513</v>
      </c>
      <c r="B514" s="44">
        <v>3</v>
      </c>
      <c r="C514" s="44" t="s">
        <v>1682</v>
      </c>
      <c r="D514" s="43" t="s">
        <v>1681</v>
      </c>
      <c r="E514" s="107"/>
    </row>
    <row r="515" spans="1:5" x14ac:dyDescent="0.35">
      <c r="A515" s="43">
        <v>514</v>
      </c>
      <c r="B515" s="44">
        <v>3</v>
      </c>
      <c r="C515" s="44" t="s">
        <v>1684</v>
      </c>
      <c r="D515" s="43" t="s">
        <v>1683</v>
      </c>
      <c r="E515" s="107"/>
    </row>
    <row r="516" spans="1:5" x14ac:dyDescent="0.35">
      <c r="A516" s="43">
        <v>515</v>
      </c>
      <c r="B516" s="44">
        <v>3</v>
      </c>
      <c r="C516" s="44" t="s">
        <v>1686</v>
      </c>
      <c r="D516" s="43" t="s">
        <v>1685</v>
      </c>
      <c r="E516" s="107"/>
    </row>
    <row r="517" spans="1:5" x14ac:dyDescent="0.35">
      <c r="A517" s="43">
        <v>516</v>
      </c>
      <c r="B517" s="44">
        <v>3</v>
      </c>
      <c r="C517" s="44" t="s">
        <v>1688</v>
      </c>
      <c r="D517" s="43" t="s">
        <v>1687</v>
      </c>
      <c r="E517" s="107"/>
    </row>
    <row r="518" spans="1:5" x14ac:dyDescent="0.35">
      <c r="A518" s="43">
        <v>517</v>
      </c>
      <c r="B518" s="44">
        <v>3</v>
      </c>
      <c r="C518" s="44" t="s">
        <v>1690</v>
      </c>
      <c r="D518" s="43" t="s">
        <v>1689</v>
      </c>
      <c r="E518" s="107"/>
    </row>
    <row r="519" spans="1:5" x14ac:dyDescent="0.35">
      <c r="A519" s="43">
        <v>518</v>
      </c>
      <c r="B519" s="44">
        <v>3</v>
      </c>
      <c r="C519" s="44" t="s">
        <v>1692</v>
      </c>
      <c r="D519" s="43" t="s">
        <v>1691</v>
      </c>
      <c r="E519" s="107"/>
    </row>
    <row r="520" spans="1:5" x14ac:dyDescent="0.35">
      <c r="A520" s="43">
        <v>519</v>
      </c>
      <c r="B520" s="44">
        <v>3</v>
      </c>
      <c r="C520" s="44" t="s">
        <v>1650</v>
      </c>
      <c r="D520" s="43" t="s">
        <v>1693</v>
      </c>
      <c r="E520" s="107"/>
    </row>
    <row r="521" spans="1:5" x14ac:dyDescent="0.35">
      <c r="A521" s="43">
        <v>520</v>
      </c>
      <c r="B521" s="44">
        <v>3</v>
      </c>
      <c r="C521" s="44" t="s">
        <v>1695</v>
      </c>
      <c r="D521" s="43" t="s">
        <v>1694</v>
      </c>
      <c r="E521" s="107"/>
    </row>
    <row r="522" spans="1:5" x14ac:dyDescent="0.35">
      <c r="A522" s="43">
        <v>521</v>
      </c>
      <c r="B522" s="44">
        <v>3</v>
      </c>
      <c r="C522" s="44" t="s">
        <v>1697</v>
      </c>
      <c r="D522" s="43" t="s">
        <v>1696</v>
      </c>
      <c r="E522" s="107"/>
    </row>
    <row r="523" spans="1:5" x14ac:dyDescent="0.35">
      <c r="A523" s="43">
        <v>522</v>
      </c>
      <c r="B523" s="44">
        <v>3</v>
      </c>
      <c r="C523" s="44" t="s">
        <v>1699</v>
      </c>
      <c r="D523" s="43" t="s">
        <v>1698</v>
      </c>
      <c r="E523" s="107"/>
    </row>
    <row r="524" spans="1:5" x14ac:dyDescent="0.35">
      <c r="A524" s="43">
        <v>523</v>
      </c>
      <c r="B524" s="44">
        <v>3</v>
      </c>
      <c r="C524" s="44" t="s">
        <v>1353</v>
      </c>
      <c r="D524" s="43" t="s">
        <v>1700</v>
      </c>
      <c r="E524" s="107"/>
    </row>
    <row r="525" spans="1:5" x14ac:dyDescent="0.35">
      <c r="A525" s="43">
        <v>524</v>
      </c>
      <c r="B525" s="44">
        <v>3</v>
      </c>
      <c r="C525" s="44" t="s">
        <v>130</v>
      </c>
      <c r="D525" s="43" t="s">
        <v>1701</v>
      </c>
      <c r="E525" s="107"/>
    </row>
    <row r="526" spans="1:5" x14ac:dyDescent="0.35">
      <c r="A526" s="43">
        <v>525</v>
      </c>
      <c r="B526" s="44">
        <v>3</v>
      </c>
      <c r="C526" s="44" t="s">
        <v>1703</v>
      </c>
      <c r="D526" s="43" t="s">
        <v>1702</v>
      </c>
      <c r="E526" s="107"/>
    </row>
    <row r="527" spans="1:5" x14ac:dyDescent="0.35">
      <c r="A527" s="43">
        <v>526</v>
      </c>
      <c r="B527" s="44">
        <v>3</v>
      </c>
      <c r="C527" s="44" t="s">
        <v>1705</v>
      </c>
      <c r="D527" s="43" t="s">
        <v>1704</v>
      </c>
      <c r="E527" s="107"/>
    </row>
    <row r="528" spans="1:5" x14ac:dyDescent="0.35">
      <c r="A528" s="43">
        <v>527</v>
      </c>
      <c r="B528" s="44">
        <v>3</v>
      </c>
      <c r="C528" s="44" t="s">
        <v>1707</v>
      </c>
      <c r="D528" s="43" t="s">
        <v>1706</v>
      </c>
      <c r="E528" s="107"/>
    </row>
    <row r="529" spans="1:5" x14ac:dyDescent="0.35">
      <c r="A529" s="43">
        <v>528</v>
      </c>
      <c r="B529" s="44">
        <v>3</v>
      </c>
      <c r="C529" s="44" t="s">
        <v>1709</v>
      </c>
      <c r="D529" s="43" t="s">
        <v>1708</v>
      </c>
      <c r="E529" s="107"/>
    </row>
    <row r="530" spans="1:5" x14ac:dyDescent="0.35">
      <c r="A530" s="43">
        <v>529</v>
      </c>
      <c r="B530" s="44">
        <v>3</v>
      </c>
      <c r="C530" s="44" t="s">
        <v>1711</v>
      </c>
      <c r="D530" s="43" t="s">
        <v>1710</v>
      </c>
      <c r="E530" s="107"/>
    </row>
    <row r="531" spans="1:5" x14ac:dyDescent="0.35">
      <c r="A531" s="43">
        <v>530</v>
      </c>
      <c r="B531" s="44">
        <v>3</v>
      </c>
      <c r="C531" s="44" t="s">
        <v>1713</v>
      </c>
      <c r="D531" s="43" t="s">
        <v>1712</v>
      </c>
      <c r="E531" s="107"/>
    </row>
    <row r="532" spans="1:5" x14ac:dyDescent="0.35">
      <c r="A532" s="43">
        <v>531</v>
      </c>
      <c r="B532" s="44">
        <v>3</v>
      </c>
      <c r="C532" s="44" t="s">
        <v>1715</v>
      </c>
      <c r="D532" s="43" t="s">
        <v>1714</v>
      </c>
      <c r="E532" s="107"/>
    </row>
    <row r="533" spans="1:5" x14ac:dyDescent="0.35">
      <c r="A533" s="43">
        <v>532</v>
      </c>
      <c r="B533" s="44">
        <v>3</v>
      </c>
      <c r="C533" s="44" t="s">
        <v>1717</v>
      </c>
      <c r="D533" s="43" t="s">
        <v>1716</v>
      </c>
      <c r="E533" s="107"/>
    </row>
    <row r="534" spans="1:5" x14ac:dyDescent="0.35">
      <c r="A534" s="43">
        <v>533</v>
      </c>
      <c r="B534" s="42">
        <v>3</v>
      </c>
      <c r="C534" s="44" t="s">
        <v>1719</v>
      </c>
      <c r="D534" s="43" t="s">
        <v>1718</v>
      </c>
      <c r="E534" s="107"/>
    </row>
    <row r="535" spans="1:5" x14ac:dyDescent="0.35">
      <c r="A535" s="43">
        <v>534</v>
      </c>
      <c r="B535" s="42">
        <v>3</v>
      </c>
      <c r="C535" s="44" t="s">
        <v>1721</v>
      </c>
      <c r="D535" s="43" t="s">
        <v>1720</v>
      </c>
      <c r="E535" s="107"/>
    </row>
    <row r="536" spans="1:5" x14ac:dyDescent="0.35">
      <c r="A536" s="43">
        <v>535</v>
      </c>
      <c r="B536" s="42">
        <v>3</v>
      </c>
      <c r="C536" s="42" t="s">
        <v>1650</v>
      </c>
      <c r="D536" s="45" t="s">
        <v>1722</v>
      </c>
      <c r="E536" s="107"/>
    </row>
    <row r="537" spans="1:5" x14ac:dyDescent="0.35">
      <c r="A537" s="43">
        <v>536</v>
      </c>
      <c r="B537" s="42">
        <v>3</v>
      </c>
      <c r="C537" s="42" t="s">
        <v>1656</v>
      </c>
      <c r="D537" s="45" t="s">
        <v>1723</v>
      </c>
      <c r="E537" s="107"/>
    </row>
    <row r="538" spans="1:5" x14ac:dyDescent="0.35">
      <c r="A538" s="43">
        <v>537</v>
      </c>
      <c r="B538" s="42">
        <v>3</v>
      </c>
      <c r="C538" s="42" t="s">
        <v>1725</v>
      </c>
      <c r="D538" s="45" t="s">
        <v>1724</v>
      </c>
      <c r="E538" s="107"/>
    </row>
    <row r="539" spans="1:5" x14ac:dyDescent="0.35">
      <c r="A539" s="43">
        <v>538</v>
      </c>
      <c r="B539" s="42">
        <v>4</v>
      </c>
      <c r="C539" s="42">
        <v>1</v>
      </c>
      <c r="D539" s="45" t="s">
        <v>1410</v>
      </c>
      <c r="E539" s="107"/>
    </row>
    <row r="540" spans="1:5" x14ac:dyDescent="0.35">
      <c r="A540" s="43">
        <v>539</v>
      </c>
      <c r="B540" s="42">
        <v>4</v>
      </c>
      <c r="C540" s="42">
        <v>1</v>
      </c>
      <c r="D540" s="45" t="s">
        <v>1726</v>
      </c>
      <c r="E540" s="107"/>
    </row>
    <row r="541" spans="1:5" x14ac:dyDescent="0.35">
      <c r="A541" s="43">
        <v>540</v>
      </c>
      <c r="B541" s="42">
        <v>4</v>
      </c>
      <c r="C541" s="42">
        <v>1</v>
      </c>
      <c r="D541" s="45" t="s">
        <v>1727</v>
      </c>
      <c r="E541" s="107"/>
    </row>
    <row r="542" spans="1:5" x14ac:dyDescent="0.35">
      <c r="A542" s="43">
        <v>541</v>
      </c>
      <c r="B542" s="42">
        <v>4</v>
      </c>
      <c r="C542" s="42">
        <v>1</v>
      </c>
      <c r="D542" s="45" t="s">
        <v>1728</v>
      </c>
      <c r="E542" s="107"/>
    </row>
    <row r="543" spans="1:5" x14ac:dyDescent="0.35">
      <c r="A543" s="43">
        <v>542</v>
      </c>
      <c r="B543" s="42">
        <v>4</v>
      </c>
      <c r="C543" s="42">
        <v>1</v>
      </c>
      <c r="D543" s="43" t="s">
        <v>1729</v>
      </c>
      <c r="E543" s="107"/>
    </row>
    <row r="544" spans="1:5" x14ac:dyDescent="0.35">
      <c r="A544" s="43">
        <v>543</v>
      </c>
      <c r="B544" s="42">
        <v>4</v>
      </c>
      <c r="C544" s="42">
        <v>1</v>
      </c>
      <c r="D544" s="43" t="s">
        <v>1730</v>
      </c>
      <c r="E544" s="107"/>
    </row>
    <row r="545" spans="1:5" x14ac:dyDescent="0.35">
      <c r="A545" s="43">
        <v>544</v>
      </c>
      <c r="B545" s="42">
        <v>4</v>
      </c>
      <c r="C545" s="42">
        <v>1</v>
      </c>
      <c r="D545" s="43" t="s">
        <v>1731</v>
      </c>
      <c r="E545" s="107"/>
    </row>
    <row r="546" spans="1:5" x14ac:dyDescent="0.35">
      <c r="A546" s="43">
        <v>545</v>
      </c>
      <c r="B546" s="42">
        <v>4</v>
      </c>
      <c r="C546" s="42">
        <v>1</v>
      </c>
      <c r="D546" s="43" t="s">
        <v>1732</v>
      </c>
      <c r="E546" s="107"/>
    </row>
    <row r="547" spans="1:5" x14ac:dyDescent="0.35">
      <c r="A547" s="43">
        <v>546</v>
      </c>
      <c r="B547" s="42">
        <v>4</v>
      </c>
      <c r="C547" s="42">
        <v>1</v>
      </c>
      <c r="D547" s="43" t="s">
        <v>1733</v>
      </c>
      <c r="E547" s="107"/>
    </row>
    <row r="548" spans="1:5" x14ac:dyDescent="0.35">
      <c r="A548" s="43">
        <v>547</v>
      </c>
      <c r="B548" s="42">
        <v>4</v>
      </c>
      <c r="C548" s="42">
        <v>1</v>
      </c>
      <c r="D548" s="43" t="s">
        <v>1734</v>
      </c>
      <c r="E548" s="107"/>
    </row>
    <row r="549" spans="1:5" x14ac:dyDescent="0.35">
      <c r="A549" s="43">
        <v>548</v>
      </c>
      <c r="B549" s="42">
        <v>4</v>
      </c>
      <c r="C549" s="42">
        <v>1</v>
      </c>
      <c r="D549" s="43" t="s">
        <v>1735</v>
      </c>
      <c r="E549" s="107"/>
    </row>
    <row r="550" spans="1:5" x14ac:dyDescent="0.35">
      <c r="A550" s="43">
        <v>549</v>
      </c>
      <c r="B550" s="42">
        <v>4</v>
      </c>
      <c r="C550" s="42">
        <v>1</v>
      </c>
      <c r="D550" s="43" t="s">
        <v>1736</v>
      </c>
      <c r="E550" s="107"/>
    </row>
    <row r="551" spans="1:5" x14ac:dyDescent="0.35">
      <c r="A551" s="43">
        <v>550</v>
      </c>
      <c r="B551" s="42">
        <v>4</v>
      </c>
      <c r="C551" s="42">
        <v>1</v>
      </c>
      <c r="D551" s="43" t="s">
        <v>1737</v>
      </c>
      <c r="E551" s="107"/>
    </row>
    <row r="552" spans="1:5" x14ac:dyDescent="0.35">
      <c r="A552" s="43">
        <v>551</v>
      </c>
      <c r="B552" s="42">
        <v>4</v>
      </c>
      <c r="C552" s="42">
        <v>1</v>
      </c>
      <c r="D552" s="43" t="s">
        <v>1738</v>
      </c>
      <c r="E552" s="107"/>
    </row>
    <row r="553" spans="1:5" x14ac:dyDescent="0.35">
      <c r="A553" s="43">
        <v>552</v>
      </c>
      <c r="B553" s="42">
        <v>4</v>
      </c>
      <c r="C553" s="42">
        <v>1</v>
      </c>
      <c r="D553" s="43" t="s">
        <v>1739</v>
      </c>
      <c r="E553" s="107"/>
    </row>
    <row r="554" spans="1:5" x14ac:dyDescent="0.35">
      <c r="A554" s="43">
        <v>553</v>
      </c>
      <c r="B554" s="42">
        <v>4</v>
      </c>
      <c r="C554" s="42">
        <v>1</v>
      </c>
      <c r="D554" s="43" t="s">
        <v>1740</v>
      </c>
      <c r="E554" s="107"/>
    </row>
    <row r="555" spans="1:5" x14ac:dyDescent="0.35">
      <c r="A555" s="43">
        <v>554</v>
      </c>
      <c r="B555" s="42">
        <v>4</v>
      </c>
      <c r="C555" s="42">
        <v>1</v>
      </c>
      <c r="D555" s="43" t="s">
        <v>1741</v>
      </c>
      <c r="E555" s="107"/>
    </row>
    <row r="556" spans="1:5" x14ac:dyDescent="0.35">
      <c r="A556" s="43">
        <v>555</v>
      </c>
      <c r="B556" s="42">
        <v>4</v>
      </c>
      <c r="C556" s="42">
        <v>1</v>
      </c>
      <c r="D556" s="43" t="s">
        <v>1742</v>
      </c>
      <c r="E556" s="107"/>
    </row>
    <row r="557" spans="1:5" x14ac:dyDescent="0.35">
      <c r="A557" s="43">
        <v>556</v>
      </c>
      <c r="B557" s="42">
        <v>4</v>
      </c>
      <c r="C557" s="42">
        <v>1</v>
      </c>
      <c r="D557" s="43" t="s">
        <v>1743</v>
      </c>
      <c r="E557" s="107"/>
    </row>
    <row r="558" spans="1:5" x14ac:dyDescent="0.35">
      <c r="A558" s="43">
        <v>557</v>
      </c>
      <c r="B558" s="44">
        <v>4</v>
      </c>
      <c r="C558" s="44">
        <v>2</v>
      </c>
      <c r="D558" s="43" t="s">
        <v>1744</v>
      </c>
      <c r="E558" s="107"/>
    </row>
    <row r="559" spans="1:5" ht="26" x14ac:dyDescent="0.35">
      <c r="A559" s="43">
        <v>558</v>
      </c>
      <c r="B559" s="44">
        <v>4</v>
      </c>
      <c r="C559" s="44">
        <v>2</v>
      </c>
      <c r="D559" s="43" t="s">
        <v>1745</v>
      </c>
      <c r="E559" s="107"/>
    </row>
    <row r="560" spans="1:5" x14ac:dyDescent="0.35">
      <c r="A560" s="43">
        <v>559</v>
      </c>
      <c r="B560" s="44">
        <v>4</v>
      </c>
      <c r="C560" s="44">
        <v>2</v>
      </c>
      <c r="D560" s="43" t="s">
        <v>1746</v>
      </c>
      <c r="E560" s="107"/>
    </row>
    <row r="561" spans="1:5" x14ac:dyDescent="0.35">
      <c r="A561" s="43">
        <v>560</v>
      </c>
      <c r="B561" s="44">
        <v>4</v>
      </c>
      <c r="C561" s="44">
        <v>2</v>
      </c>
      <c r="D561" s="43" t="s">
        <v>1747</v>
      </c>
      <c r="E561" s="107"/>
    </row>
    <row r="562" spans="1:5" x14ac:dyDescent="0.35">
      <c r="A562" s="43">
        <v>561</v>
      </c>
      <c r="B562" s="44">
        <v>4</v>
      </c>
      <c r="C562" s="44">
        <v>2</v>
      </c>
      <c r="D562" s="43" t="s">
        <v>1748</v>
      </c>
      <c r="E562" s="107"/>
    </row>
    <row r="563" spans="1:5" x14ac:dyDescent="0.35">
      <c r="A563" s="43">
        <v>562</v>
      </c>
      <c r="B563" s="44">
        <v>4</v>
      </c>
      <c r="C563" s="44">
        <v>2</v>
      </c>
      <c r="D563" s="43" t="s">
        <v>1749</v>
      </c>
      <c r="E563" s="107"/>
    </row>
    <row r="564" spans="1:5" x14ac:dyDescent="0.35">
      <c r="A564" s="43">
        <v>563</v>
      </c>
      <c r="B564" s="44">
        <v>4</v>
      </c>
      <c r="C564" s="44">
        <v>2</v>
      </c>
      <c r="D564" s="43" t="s">
        <v>1750</v>
      </c>
      <c r="E564" s="107"/>
    </row>
    <row r="565" spans="1:5" x14ac:dyDescent="0.35">
      <c r="A565" s="43">
        <v>564</v>
      </c>
      <c r="B565" s="44">
        <v>4</v>
      </c>
      <c r="C565" s="44">
        <v>2</v>
      </c>
      <c r="D565" s="43" t="s">
        <v>1751</v>
      </c>
      <c r="E565" s="107"/>
    </row>
    <row r="566" spans="1:5" x14ac:dyDescent="0.35">
      <c r="A566" s="43">
        <v>565</v>
      </c>
      <c r="B566" s="44">
        <v>4</v>
      </c>
      <c r="C566" s="44">
        <v>2</v>
      </c>
      <c r="D566" s="43" t="s">
        <v>1752</v>
      </c>
      <c r="E566" s="107"/>
    </row>
    <row r="567" spans="1:5" x14ac:dyDescent="0.35">
      <c r="A567" s="43">
        <v>566</v>
      </c>
      <c r="B567" s="44">
        <v>4</v>
      </c>
      <c r="C567" s="44">
        <v>2</v>
      </c>
      <c r="D567" s="43" t="s">
        <v>1753</v>
      </c>
      <c r="E567" s="107"/>
    </row>
    <row r="568" spans="1:5" x14ac:dyDescent="0.35">
      <c r="A568" s="43">
        <v>567</v>
      </c>
      <c r="B568" s="44">
        <v>4</v>
      </c>
      <c r="C568" s="44">
        <v>2</v>
      </c>
      <c r="D568" s="43" t="s">
        <v>1754</v>
      </c>
      <c r="E568" s="107"/>
    </row>
    <row r="569" spans="1:5" x14ac:dyDescent="0.35">
      <c r="A569" s="43">
        <v>568</v>
      </c>
      <c r="B569" s="44">
        <v>4</v>
      </c>
      <c r="C569" s="44">
        <v>3</v>
      </c>
      <c r="D569" s="43" t="s">
        <v>1755</v>
      </c>
      <c r="E569" s="107"/>
    </row>
    <row r="570" spans="1:5" x14ac:dyDescent="0.35">
      <c r="A570" s="43">
        <v>569</v>
      </c>
      <c r="B570" s="44">
        <v>4</v>
      </c>
      <c r="C570" s="44">
        <v>3</v>
      </c>
      <c r="D570" s="43" t="s">
        <v>1756</v>
      </c>
      <c r="E570" s="107"/>
    </row>
    <row r="571" spans="1:5" x14ac:dyDescent="0.35">
      <c r="A571" s="43">
        <v>570</v>
      </c>
      <c r="B571" s="44">
        <v>4</v>
      </c>
      <c r="C571" s="44">
        <v>3</v>
      </c>
      <c r="D571" s="43" t="s">
        <v>1757</v>
      </c>
      <c r="E571" s="107"/>
    </row>
    <row r="572" spans="1:5" x14ac:dyDescent="0.35">
      <c r="A572" s="43">
        <v>571</v>
      </c>
      <c r="B572" s="44">
        <v>4</v>
      </c>
      <c r="C572" s="44">
        <v>3</v>
      </c>
      <c r="D572" s="43" t="s">
        <v>1758</v>
      </c>
      <c r="E572" s="107"/>
    </row>
    <row r="573" spans="1:5" x14ac:dyDescent="0.35">
      <c r="A573" s="43">
        <v>572</v>
      </c>
      <c r="B573" s="44">
        <v>4</v>
      </c>
      <c r="C573" s="44">
        <v>3</v>
      </c>
      <c r="D573" s="43" t="s">
        <v>1759</v>
      </c>
      <c r="E573" s="107"/>
    </row>
    <row r="574" spans="1:5" x14ac:dyDescent="0.35">
      <c r="A574" s="43">
        <v>573</v>
      </c>
      <c r="B574" s="44">
        <v>4</v>
      </c>
      <c r="C574" s="44">
        <v>3</v>
      </c>
      <c r="D574" s="43" t="s">
        <v>1760</v>
      </c>
      <c r="E574" s="107"/>
    </row>
    <row r="575" spans="1:5" x14ac:dyDescent="0.35">
      <c r="A575" s="43">
        <v>574</v>
      </c>
      <c r="B575" s="44">
        <v>4</v>
      </c>
      <c r="C575" s="44">
        <v>3</v>
      </c>
      <c r="D575" s="43" t="s">
        <v>1761</v>
      </c>
      <c r="E575" s="107"/>
    </row>
    <row r="576" spans="1:5" x14ac:dyDescent="0.35">
      <c r="A576" s="43">
        <v>575</v>
      </c>
      <c r="B576" s="44">
        <v>4</v>
      </c>
      <c r="C576" s="44">
        <v>3</v>
      </c>
      <c r="D576" s="43" t="s">
        <v>1762</v>
      </c>
      <c r="E576" s="107"/>
    </row>
    <row r="577" spans="1:5" x14ac:dyDescent="0.35">
      <c r="A577" s="43">
        <v>576</v>
      </c>
      <c r="B577" s="44">
        <v>4</v>
      </c>
      <c r="C577" s="44">
        <v>3</v>
      </c>
      <c r="D577" s="43" t="s">
        <v>1763</v>
      </c>
      <c r="E577" s="107"/>
    </row>
    <row r="578" spans="1:5" x14ac:dyDescent="0.35">
      <c r="A578" s="43">
        <v>577</v>
      </c>
      <c r="B578" s="44">
        <v>4</v>
      </c>
      <c r="C578" s="44">
        <v>3</v>
      </c>
      <c r="D578" s="43" t="s">
        <v>1764</v>
      </c>
      <c r="E578" s="107"/>
    </row>
    <row r="579" spans="1:5" x14ac:dyDescent="0.35">
      <c r="A579" s="43">
        <v>578</v>
      </c>
      <c r="B579" s="44">
        <v>4</v>
      </c>
      <c r="C579" s="44">
        <v>4</v>
      </c>
      <c r="D579" s="43" t="s">
        <v>1765</v>
      </c>
      <c r="E579" s="107"/>
    </row>
    <row r="580" spans="1:5" x14ac:dyDescent="0.35">
      <c r="A580" s="43">
        <v>579</v>
      </c>
      <c r="B580" s="44">
        <v>4</v>
      </c>
      <c r="C580" s="44">
        <v>4</v>
      </c>
      <c r="D580" s="43" t="s">
        <v>1766</v>
      </c>
      <c r="E580" s="107"/>
    </row>
    <row r="581" spans="1:5" x14ac:dyDescent="0.35">
      <c r="A581" s="43">
        <v>580</v>
      </c>
      <c r="B581" s="44">
        <v>4</v>
      </c>
      <c r="C581" s="44">
        <v>4</v>
      </c>
      <c r="D581" s="43" t="s">
        <v>1767</v>
      </c>
      <c r="E581" s="107"/>
    </row>
    <row r="582" spans="1:5" x14ac:dyDescent="0.35">
      <c r="A582" s="43">
        <v>581</v>
      </c>
      <c r="B582" s="44">
        <v>4</v>
      </c>
      <c r="C582" s="44">
        <v>4</v>
      </c>
      <c r="D582" s="43" t="s">
        <v>1768</v>
      </c>
      <c r="E582" s="107"/>
    </row>
    <row r="583" spans="1:5" x14ac:dyDescent="0.35">
      <c r="A583" s="43">
        <v>582</v>
      </c>
      <c r="B583" s="44">
        <v>4</v>
      </c>
      <c r="C583" s="44">
        <v>4</v>
      </c>
      <c r="D583" s="43" t="s">
        <v>1769</v>
      </c>
      <c r="E583" s="107"/>
    </row>
    <row r="584" spans="1:5" x14ac:dyDescent="0.35">
      <c r="A584" s="43">
        <v>583</v>
      </c>
      <c r="B584" s="44">
        <v>4</v>
      </c>
      <c r="C584" s="44">
        <v>4</v>
      </c>
      <c r="D584" s="43" t="s">
        <v>1770</v>
      </c>
      <c r="E584" s="107"/>
    </row>
    <row r="585" spans="1:5" x14ac:dyDescent="0.35">
      <c r="A585" s="43">
        <v>584</v>
      </c>
      <c r="B585" s="44">
        <v>4</v>
      </c>
      <c r="C585" s="44">
        <v>4</v>
      </c>
      <c r="D585" s="43" t="s">
        <v>3844</v>
      </c>
      <c r="E585" s="107"/>
    </row>
    <row r="586" spans="1:5" ht="26" x14ac:dyDescent="0.35">
      <c r="A586" s="43">
        <v>585</v>
      </c>
      <c r="B586" s="44">
        <v>4</v>
      </c>
      <c r="C586" s="44">
        <v>5</v>
      </c>
      <c r="D586" s="43" t="s">
        <v>1771</v>
      </c>
      <c r="E586" s="107"/>
    </row>
    <row r="587" spans="1:5" x14ac:dyDescent="0.35">
      <c r="A587" s="43">
        <v>586</v>
      </c>
      <c r="B587" s="44">
        <v>4</v>
      </c>
      <c r="C587" s="44">
        <v>5</v>
      </c>
      <c r="D587" s="43" t="s">
        <v>1772</v>
      </c>
      <c r="E587" s="107"/>
    </row>
    <row r="588" spans="1:5" x14ac:dyDescent="0.35">
      <c r="A588" s="43">
        <v>587</v>
      </c>
      <c r="B588" s="44">
        <v>4</v>
      </c>
      <c r="C588" s="44">
        <v>5</v>
      </c>
      <c r="D588" s="43" t="s">
        <v>1773</v>
      </c>
      <c r="E588" s="107"/>
    </row>
    <row r="589" spans="1:5" x14ac:dyDescent="0.35">
      <c r="A589" s="43">
        <v>588</v>
      </c>
      <c r="B589" s="44">
        <v>4</v>
      </c>
      <c r="C589" s="44">
        <v>5</v>
      </c>
      <c r="D589" s="43" t="s">
        <v>1774</v>
      </c>
      <c r="E589" s="107"/>
    </row>
    <row r="590" spans="1:5" x14ac:dyDescent="0.35">
      <c r="A590" s="43">
        <v>589</v>
      </c>
      <c r="B590" s="44">
        <v>4</v>
      </c>
      <c r="C590" s="44">
        <v>5</v>
      </c>
      <c r="D590" s="43" t="s">
        <v>1775</v>
      </c>
      <c r="E590" s="107"/>
    </row>
    <row r="591" spans="1:5" x14ac:dyDescent="0.35">
      <c r="A591" s="43">
        <v>590</v>
      </c>
      <c r="B591" s="44">
        <v>4</v>
      </c>
      <c r="C591" s="44">
        <v>5</v>
      </c>
      <c r="D591" s="43" t="s">
        <v>1776</v>
      </c>
      <c r="E591" s="107"/>
    </row>
    <row r="592" spans="1:5" x14ac:dyDescent="0.35">
      <c r="A592" s="43">
        <v>591</v>
      </c>
      <c r="B592" s="44">
        <v>4</v>
      </c>
      <c r="C592" s="44">
        <v>6</v>
      </c>
      <c r="D592" s="43" t="s">
        <v>1777</v>
      </c>
      <c r="E592" s="107"/>
    </row>
    <row r="593" spans="1:5" x14ac:dyDescent="0.35">
      <c r="A593" s="43">
        <v>592</v>
      </c>
      <c r="B593" s="44">
        <v>4</v>
      </c>
      <c r="C593" s="44">
        <v>6</v>
      </c>
      <c r="D593" s="43" t="s">
        <v>1778</v>
      </c>
      <c r="E593" s="107"/>
    </row>
    <row r="594" spans="1:5" x14ac:dyDescent="0.35">
      <c r="A594" s="43">
        <v>593</v>
      </c>
      <c r="B594" s="44">
        <v>4</v>
      </c>
      <c r="C594" s="44">
        <v>6</v>
      </c>
      <c r="D594" s="43" t="s">
        <v>1779</v>
      </c>
      <c r="E594" s="107"/>
    </row>
    <row r="595" spans="1:5" x14ac:dyDescent="0.35">
      <c r="A595" s="43">
        <v>594</v>
      </c>
      <c r="B595" s="44">
        <v>4</v>
      </c>
      <c r="C595" s="44">
        <v>6</v>
      </c>
      <c r="D595" s="43" t="s">
        <v>1780</v>
      </c>
      <c r="E595" s="107"/>
    </row>
    <row r="596" spans="1:5" x14ac:dyDescent="0.35">
      <c r="A596" s="43">
        <v>595</v>
      </c>
      <c r="B596" s="44">
        <v>4</v>
      </c>
      <c r="C596" s="44">
        <v>6</v>
      </c>
      <c r="D596" s="43" t="s">
        <v>1781</v>
      </c>
      <c r="E596" s="107"/>
    </row>
    <row r="597" spans="1:5" x14ac:dyDescent="0.35">
      <c r="A597" s="43">
        <v>596</v>
      </c>
      <c r="B597" s="44">
        <v>4</v>
      </c>
      <c r="C597" s="44">
        <v>6</v>
      </c>
      <c r="D597" s="43" t="s">
        <v>1782</v>
      </c>
      <c r="E597" s="107"/>
    </row>
    <row r="598" spans="1:5" x14ac:dyDescent="0.35">
      <c r="A598" s="43">
        <v>597</v>
      </c>
      <c r="B598" s="44">
        <v>4</v>
      </c>
      <c r="C598" s="44">
        <v>6</v>
      </c>
      <c r="D598" s="43" t="s">
        <v>1783</v>
      </c>
      <c r="E598" s="107"/>
    </row>
    <row r="599" spans="1:5" x14ac:dyDescent="0.35">
      <c r="A599" s="43">
        <v>598</v>
      </c>
      <c r="B599" s="44">
        <v>4</v>
      </c>
      <c r="C599" s="44">
        <v>6</v>
      </c>
      <c r="D599" s="43" t="s">
        <v>1784</v>
      </c>
      <c r="E599" s="107"/>
    </row>
    <row r="600" spans="1:5" x14ac:dyDescent="0.35">
      <c r="A600" s="43">
        <v>599</v>
      </c>
      <c r="B600" s="44">
        <v>4</v>
      </c>
      <c r="C600" s="44">
        <v>6</v>
      </c>
      <c r="D600" s="43" t="s">
        <v>1785</v>
      </c>
      <c r="E600" s="107"/>
    </row>
    <row r="601" spans="1:5" x14ac:dyDescent="0.35">
      <c r="A601" s="43">
        <v>600</v>
      </c>
      <c r="B601" s="44">
        <v>4</v>
      </c>
      <c r="C601" s="44">
        <v>6</v>
      </c>
      <c r="D601" s="43" t="s">
        <v>1786</v>
      </c>
      <c r="E601" s="107"/>
    </row>
    <row r="602" spans="1:5" x14ac:dyDescent="0.35">
      <c r="A602" s="43">
        <v>601</v>
      </c>
      <c r="B602" s="44">
        <v>4</v>
      </c>
      <c r="C602" s="44">
        <v>6</v>
      </c>
      <c r="D602" s="43" t="s">
        <v>2280</v>
      </c>
      <c r="E602" s="107"/>
    </row>
    <row r="603" spans="1:5" x14ac:dyDescent="0.35">
      <c r="A603" s="43">
        <v>602</v>
      </c>
      <c r="B603" s="44">
        <v>4</v>
      </c>
      <c r="C603" s="44">
        <v>7</v>
      </c>
      <c r="D603" s="43" t="s">
        <v>1787</v>
      </c>
      <c r="E603" s="107"/>
    </row>
    <row r="604" spans="1:5" x14ac:dyDescent="0.35">
      <c r="A604" s="43">
        <v>603</v>
      </c>
      <c r="B604" s="44">
        <v>4</v>
      </c>
      <c r="C604" s="44">
        <v>7</v>
      </c>
      <c r="D604" s="43" t="s">
        <v>1788</v>
      </c>
      <c r="E604" s="107"/>
    </row>
    <row r="605" spans="1:5" x14ac:dyDescent="0.35">
      <c r="A605" s="43">
        <v>604</v>
      </c>
      <c r="B605" s="44">
        <v>4</v>
      </c>
      <c r="C605" s="44">
        <v>7</v>
      </c>
      <c r="D605" s="43" t="s">
        <v>1789</v>
      </c>
      <c r="E605" s="107"/>
    </row>
    <row r="606" spans="1:5" x14ac:dyDescent="0.35">
      <c r="A606" s="43">
        <v>605</v>
      </c>
      <c r="B606" s="44">
        <v>4</v>
      </c>
      <c r="C606" s="44">
        <v>7</v>
      </c>
      <c r="D606" s="43" t="s">
        <v>1790</v>
      </c>
      <c r="E606" s="107"/>
    </row>
    <row r="607" spans="1:5" x14ac:dyDescent="0.35">
      <c r="A607" s="43">
        <v>606</v>
      </c>
      <c r="B607" s="44">
        <v>4</v>
      </c>
      <c r="C607" s="44">
        <v>7</v>
      </c>
      <c r="D607" s="43" t="s">
        <v>1791</v>
      </c>
      <c r="E607" s="107"/>
    </row>
    <row r="608" spans="1:5" x14ac:dyDescent="0.35">
      <c r="A608" s="43">
        <v>607</v>
      </c>
      <c r="B608" s="44">
        <v>4</v>
      </c>
      <c r="C608" s="44">
        <v>7</v>
      </c>
      <c r="D608" s="43" t="s">
        <v>1792</v>
      </c>
      <c r="E608" s="107"/>
    </row>
    <row r="609" spans="1:5" x14ac:dyDescent="0.35">
      <c r="A609" s="43">
        <v>608</v>
      </c>
      <c r="B609" s="44">
        <v>4</v>
      </c>
      <c r="C609" s="44">
        <v>7</v>
      </c>
      <c r="D609" s="43" t="s">
        <v>1793</v>
      </c>
      <c r="E609" s="107"/>
    </row>
    <row r="610" spans="1:5" x14ac:dyDescent="0.35">
      <c r="A610" s="43">
        <v>609</v>
      </c>
      <c r="B610" s="44">
        <v>4</v>
      </c>
      <c r="C610" s="44">
        <v>7</v>
      </c>
      <c r="D610" s="43" t="s">
        <v>1794</v>
      </c>
      <c r="E610" s="107"/>
    </row>
    <row r="611" spans="1:5" x14ac:dyDescent="0.35">
      <c r="A611" s="43">
        <v>610</v>
      </c>
      <c r="B611" s="44">
        <v>4</v>
      </c>
      <c r="C611" s="44">
        <v>7</v>
      </c>
      <c r="D611" s="43" t="s">
        <v>1795</v>
      </c>
      <c r="E611" s="107"/>
    </row>
    <row r="612" spans="1:5" ht="26" x14ac:dyDescent="0.35">
      <c r="A612" s="43">
        <v>611</v>
      </c>
      <c r="B612" s="44">
        <v>4</v>
      </c>
      <c r="C612" s="44">
        <v>8</v>
      </c>
      <c r="D612" s="43" t="s">
        <v>1796</v>
      </c>
      <c r="E612" s="107"/>
    </row>
    <row r="613" spans="1:5" x14ac:dyDescent="0.35">
      <c r="A613" s="43">
        <v>612</v>
      </c>
      <c r="B613" s="44">
        <v>4</v>
      </c>
      <c r="C613" s="44">
        <v>8</v>
      </c>
      <c r="D613" s="43" t="s">
        <v>1797</v>
      </c>
      <c r="E613" s="107"/>
    </row>
    <row r="614" spans="1:5" x14ac:dyDescent="0.35">
      <c r="A614" s="43">
        <v>613</v>
      </c>
      <c r="B614" s="44">
        <v>4</v>
      </c>
      <c r="C614" s="44">
        <v>8</v>
      </c>
      <c r="D614" s="43" t="s">
        <v>1798</v>
      </c>
      <c r="E614" s="107"/>
    </row>
    <row r="615" spans="1:5" x14ac:dyDescent="0.35">
      <c r="A615" s="43">
        <v>614</v>
      </c>
      <c r="B615" s="44">
        <v>4</v>
      </c>
      <c r="C615" s="44">
        <v>8</v>
      </c>
      <c r="D615" s="43" t="s">
        <v>1799</v>
      </c>
      <c r="E615" s="107"/>
    </row>
    <row r="616" spans="1:5" x14ac:dyDescent="0.35">
      <c r="A616" s="43">
        <v>615</v>
      </c>
      <c r="B616" s="44">
        <v>4</v>
      </c>
      <c r="C616" s="44">
        <v>8</v>
      </c>
      <c r="D616" s="43" t="s">
        <v>1800</v>
      </c>
      <c r="E616" s="107"/>
    </row>
    <row r="617" spans="1:5" x14ac:dyDescent="0.35">
      <c r="A617" s="43">
        <v>616</v>
      </c>
      <c r="B617" s="44">
        <v>4</v>
      </c>
      <c r="C617" s="44">
        <v>8</v>
      </c>
      <c r="D617" s="43" t="s">
        <v>1801</v>
      </c>
      <c r="E617" s="107"/>
    </row>
    <row r="618" spans="1:5" x14ac:dyDescent="0.35">
      <c r="A618" s="43">
        <v>617</v>
      </c>
      <c r="B618" s="44">
        <v>4</v>
      </c>
      <c r="C618" s="44">
        <v>8</v>
      </c>
      <c r="D618" s="43" t="s">
        <v>1802</v>
      </c>
      <c r="E618" s="107"/>
    </row>
    <row r="619" spans="1:5" x14ac:dyDescent="0.35">
      <c r="A619" s="43">
        <v>618</v>
      </c>
      <c r="B619" s="44">
        <v>4</v>
      </c>
      <c r="C619" s="44">
        <v>8</v>
      </c>
      <c r="D619" s="43" t="s">
        <v>1803</v>
      </c>
      <c r="E619" s="107"/>
    </row>
    <row r="620" spans="1:5" x14ac:dyDescent="0.35">
      <c r="A620" s="43">
        <v>619</v>
      </c>
      <c r="B620" s="44">
        <v>4</v>
      </c>
      <c r="C620" s="44">
        <v>9</v>
      </c>
      <c r="D620" s="43" t="s">
        <v>1536</v>
      </c>
      <c r="E620" s="107"/>
    </row>
    <row r="621" spans="1:5" x14ac:dyDescent="0.35">
      <c r="A621" s="43">
        <v>620</v>
      </c>
      <c r="B621" s="44">
        <v>4</v>
      </c>
      <c r="C621" s="44">
        <v>9</v>
      </c>
      <c r="D621" s="43" t="s">
        <v>1804</v>
      </c>
      <c r="E621" s="107"/>
    </row>
    <row r="622" spans="1:5" x14ac:dyDescent="0.35">
      <c r="A622" s="43">
        <v>621</v>
      </c>
      <c r="B622" s="44">
        <v>4</v>
      </c>
      <c r="C622" s="44">
        <v>9</v>
      </c>
      <c r="D622" s="43" t="s">
        <v>1805</v>
      </c>
      <c r="E622" s="107"/>
    </row>
    <row r="623" spans="1:5" x14ac:dyDescent="0.35">
      <c r="A623" s="43">
        <v>622</v>
      </c>
      <c r="B623" s="44">
        <v>4</v>
      </c>
      <c r="C623" s="44">
        <v>9</v>
      </c>
      <c r="D623" s="43" t="s">
        <v>1806</v>
      </c>
      <c r="E623" s="107"/>
    </row>
    <row r="624" spans="1:5" x14ac:dyDescent="0.35">
      <c r="A624" s="43">
        <v>623</v>
      </c>
      <c r="B624" s="44">
        <v>4</v>
      </c>
      <c r="C624" s="44">
        <v>9</v>
      </c>
      <c r="D624" s="43" t="s">
        <v>1807</v>
      </c>
      <c r="E624" s="107"/>
    </row>
    <row r="625" spans="1:5" x14ac:dyDescent="0.35">
      <c r="A625" s="43">
        <v>624</v>
      </c>
      <c r="B625" s="44">
        <v>4</v>
      </c>
      <c r="C625" s="44">
        <v>9</v>
      </c>
      <c r="D625" s="43" t="s">
        <v>1808</v>
      </c>
      <c r="E625" s="107"/>
    </row>
    <row r="626" spans="1:5" x14ac:dyDescent="0.35">
      <c r="A626" s="43">
        <v>625</v>
      </c>
      <c r="B626" s="44">
        <v>4</v>
      </c>
      <c r="C626" s="44">
        <v>9</v>
      </c>
      <c r="D626" s="43" t="s">
        <v>1809</v>
      </c>
      <c r="E626" s="107"/>
    </row>
    <row r="627" spans="1:5" x14ac:dyDescent="0.35">
      <c r="A627" s="43">
        <v>626</v>
      </c>
      <c r="B627" s="44">
        <v>4</v>
      </c>
      <c r="C627" s="44">
        <v>9</v>
      </c>
      <c r="D627" s="43" t="s">
        <v>1810</v>
      </c>
      <c r="E627" s="107"/>
    </row>
    <row r="628" spans="1:5" x14ac:dyDescent="0.35">
      <c r="A628" s="43">
        <v>627</v>
      </c>
      <c r="B628" s="44">
        <v>4</v>
      </c>
      <c r="C628" s="44">
        <v>9</v>
      </c>
      <c r="D628" s="43" t="s">
        <v>1811</v>
      </c>
      <c r="E628" s="107"/>
    </row>
    <row r="629" spans="1:5" x14ac:dyDescent="0.35">
      <c r="A629" s="43">
        <v>628</v>
      </c>
      <c r="B629" s="44">
        <v>4</v>
      </c>
      <c r="C629" s="44">
        <v>9</v>
      </c>
      <c r="D629" s="43" t="s">
        <v>1812</v>
      </c>
      <c r="E629" s="107"/>
    </row>
    <row r="630" spans="1:5" x14ac:dyDescent="0.35">
      <c r="A630" s="43">
        <v>629</v>
      </c>
      <c r="B630" s="44">
        <v>4</v>
      </c>
      <c r="C630" s="44">
        <v>9</v>
      </c>
      <c r="D630" s="43" t="s">
        <v>1813</v>
      </c>
      <c r="E630" s="107"/>
    </row>
    <row r="631" spans="1:5" x14ac:dyDescent="0.35">
      <c r="A631" s="43">
        <v>630</v>
      </c>
      <c r="B631" s="44">
        <v>4</v>
      </c>
      <c r="C631" s="44">
        <v>9</v>
      </c>
      <c r="D631" s="43" t="s">
        <v>1814</v>
      </c>
      <c r="E631" s="107"/>
    </row>
    <row r="632" spans="1:5" x14ac:dyDescent="0.35">
      <c r="A632" s="43">
        <v>631</v>
      </c>
      <c r="B632" s="44">
        <v>4</v>
      </c>
      <c r="C632" s="44">
        <v>9</v>
      </c>
      <c r="D632" s="43" t="s">
        <v>1815</v>
      </c>
      <c r="E632" s="107"/>
    </row>
    <row r="633" spans="1:5" x14ac:dyDescent="0.35">
      <c r="A633" s="43">
        <v>632</v>
      </c>
      <c r="B633" s="44">
        <v>4</v>
      </c>
      <c r="C633" s="44">
        <v>9</v>
      </c>
      <c r="D633" s="43" t="s">
        <v>1816</v>
      </c>
      <c r="E633" s="107"/>
    </row>
    <row r="634" spans="1:5" x14ac:dyDescent="0.35">
      <c r="A634" s="43">
        <v>633</v>
      </c>
      <c r="B634" s="44">
        <v>4</v>
      </c>
      <c r="C634" s="44">
        <v>10</v>
      </c>
      <c r="D634" s="43" t="s">
        <v>1817</v>
      </c>
      <c r="E634" s="107"/>
    </row>
    <row r="635" spans="1:5" x14ac:dyDescent="0.35">
      <c r="A635" s="43">
        <v>634</v>
      </c>
      <c r="B635" s="44">
        <v>4</v>
      </c>
      <c r="C635" s="44">
        <v>10</v>
      </c>
      <c r="D635" s="43" t="s">
        <v>1818</v>
      </c>
      <c r="E635" s="107"/>
    </row>
    <row r="636" spans="1:5" x14ac:dyDescent="0.35">
      <c r="A636" s="43">
        <v>635</v>
      </c>
      <c r="B636" s="44">
        <v>4</v>
      </c>
      <c r="C636" s="44">
        <v>10</v>
      </c>
      <c r="D636" s="43" t="s">
        <v>1819</v>
      </c>
      <c r="E636" s="107"/>
    </row>
    <row r="637" spans="1:5" x14ac:dyDescent="0.35">
      <c r="A637" s="43">
        <v>636</v>
      </c>
      <c r="B637" s="44">
        <v>4</v>
      </c>
      <c r="C637" s="44">
        <v>10</v>
      </c>
      <c r="D637" s="43" t="s">
        <v>1820</v>
      </c>
      <c r="E637" s="107"/>
    </row>
    <row r="638" spans="1:5" x14ac:dyDescent="0.35">
      <c r="A638" s="43">
        <v>637</v>
      </c>
      <c r="B638" s="44">
        <v>4</v>
      </c>
      <c r="C638" s="44">
        <v>10</v>
      </c>
      <c r="D638" s="43" t="s">
        <v>1821</v>
      </c>
      <c r="E638" s="107"/>
    </row>
    <row r="639" spans="1:5" x14ac:dyDescent="0.35">
      <c r="A639" s="43">
        <v>638</v>
      </c>
      <c r="B639" s="44">
        <v>4</v>
      </c>
      <c r="C639" s="44">
        <v>10</v>
      </c>
      <c r="D639" s="43" t="s">
        <v>1822</v>
      </c>
      <c r="E639" s="107"/>
    </row>
    <row r="640" spans="1:5" x14ac:dyDescent="0.35">
      <c r="A640" s="43">
        <v>639</v>
      </c>
      <c r="B640" s="44">
        <v>4</v>
      </c>
      <c r="C640" s="44">
        <v>10</v>
      </c>
      <c r="D640" s="43" t="s">
        <v>1823</v>
      </c>
      <c r="E640" s="107"/>
    </row>
    <row r="641" spans="1:5" x14ac:dyDescent="0.35">
      <c r="A641" s="43">
        <v>640</v>
      </c>
      <c r="B641" s="44">
        <v>4</v>
      </c>
      <c r="C641" s="44">
        <v>10</v>
      </c>
      <c r="D641" s="43" t="s">
        <v>1824</v>
      </c>
      <c r="E641" s="107"/>
    </row>
    <row r="642" spans="1:5" x14ac:dyDescent="0.35">
      <c r="A642" s="43">
        <v>641</v>
      </c>
      <c r="B642" s="44">
        <v>4</v>
      </c>
      <c r="C642" s="44">
        <v>10</v>
      </c>
      <c r="D642" s="43" t="s">
        <v>1825</v>
      </c>
      <c r="E642" s="107"/>
    </row>
    <row r="643" spans="1:5" x14ac:dyDescent="0.35">
      <c r="A643" s="43">
        <v>642</v>
      </c>
      <c r="B643" s="44">
        <v>4</v>
      </c>
      <c r="C643" s="44">
        <v>10</v>
      </c>
      <c r="D643" s="43" t="s">
        <v>1826</v>
      </c>
      <c r="E643" s="107"/>
    </row>
    <row r="644" spans="1:5" x14ac:dyDescent="0.35">
      <c r="A644" s="43">
        <v>643</v>
      </c>
      <c r="B644" s="44">
        <v>4</v>
      </c>
      <c r="C644" s="44">
        <v>10</v>
      </c>
      <c r="D644" s="43" t="s">
        <v>1827</v>
      </c>
      <c r="E644" s="107"/>
    </row>
    <row r="645" spans="1:5" x14ac:dyDescent="0.35">
      <c r="A645" s="43">
        <v>644</v>
      </c>
      <c r="B645" s="44">
        <v>4</v>
      </c>
      <c r="C645" s="44">
        <v>10</v>
      </c>
      <c r="D645" s="43" t="s">
        <v>1828</v>
      </c>
      <c r="E645" s="107"/>
    </row>
    <row r="646" spans="1:5" x14ac:dyDescent="0.35">
      <c r="A646" s="43">
        <v>645</v>
      </c>
      <c r="B646" s="44">
        <v>4</v>
      </c>
      <c r="C646" s="44">
        <v>10</v>
      </c>
      <c r="D646" s="43" t="s">
        <v>1829</v>
      </c>
      <c r="E646" s="107"/>
    </row>
    <row r="647" spans="1:5" x14ac:dyDescent="0.35">
      <c r="A647" s="43">
        <v>646</v>
      </c>
      <c r="B647" s="44">
        <v>4</v>
      </c>
      <c r="C647" s="44">
        <v>10</v>
      </c>
      <c r="D647" s="43" t="s">
        <v>1398</v>
      </c>
      <c r="E647" s="107"/>
    </row>
    <row r="648" spans="1:5" x14ac:dyDescent="0.35">
      <c r="A648" s="43">
        <v>647</v>
      </c>
      <c r="B648" s="44">
        <v>4</v>
      </c>
      <c r="C648" s="44">
        <v>10</v>
      </c>
      <c r="D648" s="43" t="s">
        <v>1830</v>
      </c>
      <c r="E648" s="107"/>
    </row>
    <row r="649" spans="1:5" x14ac:dyDescent="0.35">
      <c r="A649" s="43">
        <v>648</v>
      </c>
      <c r="B649" s="44">
        <v>4</v>
      </c>
      <c r="C649" s="44">
        <v>10</v>
      </c>
      <c r="D649" s="43" t="s">
        <v>1831</v>
      </c>
      <c r="E649" s="107"/>
    </row>
    <row r="650" spans="1:5" x14ac:dyDescent="0.35">
      <c r="A650" s="43">
        <v>649</v>
      </c>
      <c r="B650" s="44">
        <v>4</v>
      </c>
      <c r="C650" s="44">
        <v>11</v>
      </c>
      <c r="D650" s="43" t="s">
        <v>1832</v>
      </c>
      <c r="E650" s="107"/>
    </row>
    <row r="651" spans="1:5" x14ac:dyDescent="0.35">
      <c r="A651" s="43">
        <v>650</v>
      </c>
      <c r="B651" s="44">
        <v>4</v>
      </c>
      <c r="C651" s="44">
        <v>11</v>
      </c>
      <c r="D651" s="43" t="s">
        <v>1833</v>
      </c>
      <c r="E651" s="107"/>
    </row>
    <row r="652" spans="1:5" x14ac:dyDescent="0.35">
      <c r="A652" s="43">
        <v>651</v>
      </c>
      <c r="B652" s="44">
        <v>4</v>
      </c>
      <c r="C652" s="44">
        <v>11</v>
      </c>
      <c r="D652" s="43" t="s">
        <v>1834</v>
      </c>
      <c r="E652" s="107"/>
    </row>
    <row r="653" spans="1:5" x14ac:dyDescent="0.35">
      <c r="A653" s="43">
        <v>652</v>
      </c>
      <c r="B653" s="44">
        <v>4</v>
      </c>
      <c r="C653" s="44">
        <v>11</v>
      </c>
      <c r="D653" s="43" t="s">
        <v>1835</v>
      </c>
      <c r="E653" s="107"/>
    </row>
    <row r="654" spans="1:5" x14ac:dyDescent="0.35">
      <c r="A654" s="43">
        <v>653</v>
      </c>
      <c r="B654" s="44">
        <v>4</v>
      </c>
      <c r="C654" s="44">
        <v>11</v>
      </c>
      <c r="D654" s="43" t="s">
        <v>1836</v>
      </c>
      <c r="E654" s="107"/>
    </row>
    <row r="655" spans="1:5" x14ac:dyDescent="0.35">
      <c r="A655" s="43">
        <v>654</v>
      </c>
      <c r="B655" s="44">
        <v>4</v>
      </c>
      <c r="C655" s="44">
        <v>11</v>
      </c>
      <c r="D655" s="43" t="s">
        <v>1837</v>
      </c>
      <c r="E655" s="107"/>
    </row>
    <row r="656" spans="1:5" x14ac:dyDescent="0.35">
      <c r="A656" s="43">
        <v>655</v>
      </c>
      <c r="B656" s="44">
        <v>4</v>
      </c>
      <c r="C656" s="44">
        <v>11</v>
      </c>
      <c r="D656" s="43" t="s">
        <v>1838</v>
      </c>
      <c r="E656" s="107"/>
    </row>
    <row r="657" spans="1:5" x14ac:dyDescent="0.35">
      <c r="A657" s="43">
        <v>656</v>
      </c>
      <c r="B657" s="44">
        <v>4</v>
      </c>
      <c r="C657" s="44">
        <v>11</v>
      </c>
      <c r="D657" s="43" t="s">
        <v>1839</v>
      </c>
      <c r="E657" s="107"/>
    </row>
    <row r="658" spans="1:5" x14ac:dyDescent="0.35">
      <c r="A658" s="43">
        <v>657</v>
      </c>
      <c r="B658" s="44">
        <v>4</v>
      </c>
      <c r="C658" s="44">
        <v>11</v>
      </c>
      <c r="D658" s="43" t="s">
        <v>1840</v>
      </c>
      <c r="E658" s="107"/>
    </row>
    <row r="659" spans="1:5" x14ac:dyDescent="0.35">
      <c r="A659" s="43">
        <v>658</v>
      </c>
      <c r="B659" s="44">
        <v>4</v>
      </c>
      <c r="C659" s="44">
        <v>11</v>
      </c>
      <c r="D659" s="43" t="s">
        <v>1841</v>
      </c>
      <c r="E659" s="107"/>
    </row>
    <row r="660" spans="1:5" x14ac:dyDescent="0.35">
      <c r="A660" s="43">
        <v>659</v>
      </c>
      <c r="B660" s="44">
        <v>4</v>
      </c>
      <c r="C660" s="44">
        <v>11</v>
      </c>
      <c r="D660" s="43" t="s">
        <v>1842</v>
      </c>
      <c r="E660" s="107"/>
    </row>
    <row r="661" spans="1:5" x14ac:dyDescent="0.35">
      <c r="A661" s="43">
        <v>660</v>
      </c>
      <c r="B661" s="44">
        <v>4</v>
      </c>
      <c r="C661" s="44">
        <v>11</v>
      </c>
      <c r="D661" s="43" t="s">
        <v>1843</v>
      </c>
      <c r="E661" s="107"/>
    </row>
    <row r="662" spans="1:5" x14ac:dyDescent="0.35">
      <c r="A662" s="43">
        <v>661</v>
      </c>
      <c r="B662" s="44">
        <v>4</v>
      </c>
      <c r="C662" s="44">
        <v>11</v>
      </c>
      <c r="D662" s="43" t="s">
        <v>1844</v>
      </c>
      <c r="E662" s="107"/>
    </row>
    <row r="663" spans="1:5" x14ac:dyDescent="0.35">
      <c r="A663" s="43">
        <v>662</v>
      </c>
      <c r="B663" s="44">
        <v>4</v>
      </c>
      <c r="C663" s="44">
        <v>12</v>
      </c>
      <c r="D663" s="43" t="s">
        <v>1845</v>
      </c>
      <c r="E663" s="107"/>
    </row>
    <row r="664" spans="1:5" x14ac:dyDescent="0.35">
      <c r="A664" s="43">
        <v>663</v>
      </c>
      <c r="B664" s="44">
        <v>4</v>
      </c>
      <c r="C664" s="44">
        <v>12</v>
      </c>
      <c r="D664" s="43" t="s">
        <v>1846</v>
      </c>
      <c r="E664" s="107"/>
    </row>
    <row r="665" spans="1:5" x14ac:dyDescent="0.35">
      <c r="A665" s="43">
        <v>664</v>
      </c>
      <c r="B665" s="44">
        <v>4</v>
      </c>
      <c r="C665" s="44">
        <v>12</v>
      </c>
      <c r="D665" s="43" t="s">
        <v>1847</v>
      </c>
      <c r="E665" s="107"/>
    </row>
    <row r="666" spans="1:5" x14ac:dyDescent="0.35">
      <c r="A666" s="43">
        <v>665</v>
      </c>
      <c r="B666" s="44">
        <v>4</v>
      </c>
      <c r="C666" s="44">
        <v>12</v>
      </c>
      <c r="D666" s="43" t="s">
        <v>1848</v>
      </c>
      <c r="E666" s="107"/>
    </row>
    <row r="667" spans="1:5" x14ac:dyDescent="0.35">
      <c r="A667" s="43">
        <v>666</v>
      </c>
      <c r="B667" s="44">
        <v>4</v>
      </c>
      <c r="C667" s="44">
        <v>12</v>
      </c>
      <c r="D667" s="43" t="s">
        <v>1849</v>
      </c>
      <c r="E667" s="107"/>
    </row>
    <row r="668" spans="1:5" x14ac:dyDescent="0.35">
      <c r="A668" s="43">
        <v>667</v>
      </c>
      <c r="B668" s="44">
        <v>4</v>
      </c>
      <c r="C668" s="44">
        <v>12</v>
      </c>
      <c r="D668" s="43" t="s">
        <v>1354</v>
      </c>
      <c r="E668" s="107"/>
    </row>
    <row r="669" spans="1:5" x14ac:dyDescent="0.35">
      <c r="A669" s="43">
        <v>668</v>
      </c>
      <c r="B669" s="44">
        <v>4</v>
      </c>
      <c r="C669" s="44">
        <v>12</v>
      </c>
      <c r="D669" s="43" t="s">
        <v>1850</v>
      </c>
      <c r="E669" s="107"/>
    </row>
    <row r="670" spans="1:5" x14ac:dyDescent="0.35">
      <c r="A670" s="43">
        <v>669</v>
      </c>
      <c r="B670" s="44">
        <v>4</v>
      </c>
      <c r="C670" s="44">
        <v>12</v>
      </c>
      <c r="D670" s="43" t="s">
        <v>1851</v>
      </c>
      <c r="E670" s="107"/>
    </row>
    <row r="671" spans="1:5" x14ac:dyDescent="0.35">
      <c r="A671" s="43">
        <v>670</v>
      </c>
      <c r="B671" s="44">
        <v>4</v>
      </c>
      <c r="C671" s="44">
        <v>12</v>
      </c>
      <c r="D671" s="43" t="s">
        <v>1852</v>
      </c>
      <c r="E671" s="107"/>
    </row>
    <row r="672" spans="1:5" x14ac:dyDescent="0.35">
      <c r="A672" s="43">
        <v>671</v>
      </c>
      <c r="B672" s="44">
        <v>4</v>
      </c>
      <c r="C672" s="44">
        <v>12</v>
      </c>
      <c r="D672" s="43" t="s">
        <v>1853</v>
      </c>
      <c r="E672" s="107"/>
    </row>
    <row r="673" spans="1:5" x14ac:dyDescent="0.35">
      <c r="A673" s="43">
        <v>672</v>
      </c>
      <c r="B673" s="44">
        <v>4</v>
      </c>
      <c r="C673" s="44">
        <v>12</v>
      </c>
      <c r="D673" s="43" t="s">
        <v>1854</v>
      </c>
      <c r="E673" s="107"/>
    </row>
    <row r="674" spans="1:5" x14ac:dyDescent="0.35">
      <c r="A674" s="43">
        <v>673</v>
      </c>
      <c r="B674" s="44">
        <v>4</v>
      </c>
      <c r="C674" s="44">
        <v>12</v>
      </c>
      <c r="D674" s="43" t="s">
        <v>1855</v>
      </c>
      <c r="E674" s="107"/>
    </row>
    <row r="675" spans="1:5" x14ac:dyDescent="0.35">
      <c r="A675" s="43">
        <v>674</v>
      </c>
      <c r="B675" s="44">
        <v>4</v>
      </c>
      <c r="C675" s="44">
        <v>12</v>
      </c>
      <c r="D675" s="43" t="s">
        <v>1856</v>
      </c>
      <c r="E675" s="107"/>
    </row>
    <row r="676" spans="1:5" x14ac:dyDescent="0.35">
      <c r="A676" s="43">
        <v>675</v>
      </c>
      <c r="B676" s="44">
        <v>4</v>
      </c>
      <c r="C676" s="44">
        <v>12</v>
      </c>
      <c r="D676" s="43" t="s">
        <v>1857</v>
      </c>
      <c r="E676" s="107"/>
    </row>
    <row r="677" spans="1:5" x14ac:dyDescent="0.35">
      <c r="A677" s="43">
        <v>676</v>
      </c>
      <c r="B677" s="44">
        <v>4</v>
      </c>
      <c r="C677" s="44">
        <v>12</v>
      </c>
      <c r="D677" s="43" t="s">
        <v>1858</v>
      </c>
      <c r="E677" s="107"/>
    </row>
    <row r="678" spans="1:5" x14ac:dyDescent="0.35">
      <c r="A678" s="43">
        <v>677</v>
      </c>
      <c r="B678" s="44">
        <v>4</v>
      </c>
      <c r="C678" s="44">
        <v>12</v>
      </c>
      <c r="D678" s="43" t="s">
        <v>1859</v>
      </c>
      <c r="E678" s="107"/>
    </row>
    <row r="679" spans="1:5" x14ac:dyDescent="0.35">
      <c r="A679" s="43">
        <v>678</v>
      </c>
      <c r="B679" s="44">
        <v>4</v>
      </c>
      <c r="C679" s="44">
        <v>12</v>
      </c>
      <c r="D679" s="43" t="s">
        <v>1860</v>
      </c>
      <c r="E679" s="107"/>
    </row>
    <row r="680" spans="1:5" x14ac:dyDescent="0.35">
      <c r="A680" s="43">
        <v>679</v>
      </c>
      <c r="B680" s="44">
        <v>4</v>
      </c>
      <c r="C680" s="44">
        <v>12</v>
      </c>
      <c r="D680" s="43" t="s">
        <v>1861</v>
      </c>
      <c r="E680" s="107"/>
    </row>
    <row r="681" spans="1:5" x14ac:dyDescent="0.35">
      <c r="A681" s="43">
        <v>680</v>
      </c>
      <c r="B681" s="44">
        <v>4</v>
      </c>
      <c r="C681" s="44">
        <v>12</v>
      </c>
      <c r="D681" s="43" t="s">
        <v>1862</v>
      </c>
      <c r="E681" s="107"/>
    </row>
    <row r="682" spans="1:5" x14ac:dyDescent="0.35">
      <c r="A682" s="43">
        <v>681</v>
      </c>
      <c r="B682" s="44">
        <v>4</v>
      </c>
      <c r="C682" s="44" t="s">
        <v>1864</v>
      </c>
      <c r="D682" s="43" t="s">
        <v>1863</v>
      </c>
      <c r="E682" s="107"/>
    </row>
    <row r="683" spans="1:5" x14ac:dyDescent="0.35">
      <c r="A683" s="43">
        <v>682</v>
      </c>
      <c r="B683" s="44">
        <v>4</v>
      </c>
      <c r="C683" s="44" t="s">
        <v>1866</v>
      </c>
      <c r="D683" s="43" t="s">
        <v>1865</v>
      </c>
      <c r="E683" s="107"/>
    </row>
    <row r="684" spans="1:5" x14ac:dyDescent="0.35">
      <c r="A684" s="43">
        <v>683</v>
      </c>
      <c r="B684" s="44">
        <v>4</v>
      </c>
      <c r="C684" s="44" t="s">
        <v>1868</v>
      </c>
      <c r="D684" s="43" t="s">
        <v>1867</v>
      </c>
      <c r="E684" s="107"/>
    </row>
    <row r="685" spans="1:5" x14ac:dyDescent="0.35">
      <c r="A685" s="43">
        <v>684</v>
      </c>
      <c r="B685" s="44">
        <v>4</v>
      </c>
      <c r="C685" s="44" t="s">
        <v>1671</v>
      </c>
      <c r="D685" s="43" t="s">
        <v>1411</v>
      </c>
      <c r="E685" s="107"/>
    </row>
    <row r="686" spans="1:5" x14ac:dyDescent="0.35">
      <c r="A686" s="43">
        <v>685</v>
      </c>
      <c r="B686" s="44">
        <v>4</v>
      </c>
      <c r="C686" s="44" t="s">
        <v>1631</v>
      </c>
      <c r="D686" s="43" t="s">
        <v>1869</v>
      </c>
      <c r="E686" s="107"/>
    </row>
    <row r="687" spans="1:5" x14ac:dyDescent="0.35">
      <c r="A687" s="43">
        <v>686</v>
      </c>
      <c r="B687" s="44">
        <v>4</v>
      </c>
      <c r="C687" s="44" t="s">
        <v>1871</v>
      </c>
      <c r="D687" s="43" t="s">
        <v>1870</v>
      </c>
      <c r="E687" s="107"/>
    </row>
    <row r="688" spans="1:5" x14ac:dyDescent="0.35">
      <c r="A688" s="43">
        <v>687</v>
      </c>
      <c r="B688" s="44">
        <v>4</v>
      </c>
      <c r="C688" s="44" t="s">
        <v>1717</v>
      </c>
      <c r="D688" s="43" t="s">
        <v>1872</v>
      </c>
      <c r="E688" s="107"/>
    </row>
    <row r="689" spans="1:5" x14ac:dyDescent="0.35">
      <c r="A689" s="43">
        <v>688</v>
      </c>
      <c r="B689" s="44">
        <v>4</v>
      </c>
      <c r="C689" s="44" t="s">
        <v>1874</v>
      </c>
      <c r="D689" s="43" t="s">
        <v>1873</v>
      </c>
      <c r="E689" s="107"/>
    </row>
    <row r="690" spans="1:5" x14ac:dyDescent="0.35">
      <c r="A690" s="43">
        <v>689</v>
      </c>
      <c r="B690" s="44">
        <v>4</v>
      </c>
      <c r="C690" s="44" t="s">
        <v>1876</v>
      </c>
      <c r="D690" s="43" t="s">
        <v>1875</v>
      </c>
      <c r="E690" s="107"/>
    </row>
    <row r="691" spans="1:5" x14ac:dyDescent="0.35">
      <c r="A691" s="43">
        <v>690</v>
      </c>
      <c r="B691" s="44">
        <v>4</v>
      </c>
      <c r="C691" s="44" t="s">
        <v>1878</v>
      </c>
      <c r="D691" s="43" t="s">
        <v>1877</v>
      </c>
      <c r="E691" s="107"/>
    </row>
    <row r="692" spans="1:5" x14ac:dyDescent="0.35">
      <c r="A692" s="43">
        <v>691</v>
      </c>
      <c r="B692" s="44">
        <v>4</v>
      </c>
      <c r="C692" s="44" t="s">
        <v>1880</v>
      </c>
      <c r="D692" s="43" t="s">
        <v>1879</v>
      </c>
      <c r="E692" s="107"/>
    </row>
    <row r="693" spans="1:5" x14ac:dyDescent="0.35">
      <c r="A693" s="43">
        <v>692</v>
      </c>
      <c r="B693" s="44">
        <v>4</v>
      </c>
      <c r="C693" s="44" t="s">
        <v>1882</v>
      </c>
      <c r="D693" s="43" t="s">
        <v>1881</v>
      </c>
      <c r="E693" s="107"/>
    </row>
    <row r="694" spans="1:5" x14ac:dyDescent="0.35">
      <c r="A694" s="43">
        <v>693</v>
      </c>
      <c r="B694" s="44">
        <v>4</v>
      </c>
      <c r="C694" s="44" t="s">
        <v>1884</v>
      </c>
      <c r="D694" s="43" t="s">
        <v>1883</v>
      </c>
      <c r="E694" s="107"/>
    </row>
    <row r="695" spans="1:5" x14ac:dyDescent="0.35">
      <c r="A695" s="43">
        <v>694</v>
      </c>
      <c r="B695" s="44">
        <v>4</v>
      </c>
      <c r="C695" s="44" t="s">
        <v>1334</v>
      </c>
      <c r="D695" s="43" t="s">
        <v>1885</v>
      </c>
      <c r="E695" s="107"/>
    </row>
    <row r="696" spans="1:5" x14ac:dyDescent="0.35">
      <c r="A696" s="43">
        <v>695</v>
      </c>
      <c r="B696" s="44">
        <v>4</v>
      </c>
      <c r="C696" s="44" t="s">
        <v>1887</v>
      </c>
      <c r="D696" s="43" t="s">
        <v>1886</v>
      </c>
      <c r="E696" s="107"/>
    </row>
    <row r="697" spans="1:5" x14ac:dyDescent="0.35">
      <c r="A697" s="43">
        <v>696</v>
      </c>
      <c r="B697" s="44">
        <v>4</v>
      </c>
      <c r="C697" s="44" t="s">
        <v>1889</v>
      </c>
      <c r="D697" s="43" t="s">
        <v>1888</v>
      </c>
      <c r="E697" s="107"/>
    </row>
    <row r="698" spans="1:5" x14ac:dyDescent="0.35">
      <c r="A698" s="43">
        <v>697</v>
      </c>
      <c r="B698" s="44">
        <v>4</v>
      </c>
      <c r="C698" s="44" t="s">
        <v>1891</v>
      </c>
      <c r="D698" s="43" t="s">
        <v>1890</v>
      </c>
      <c r="E698" s="107"/>
    </row>
    <row r="699" spans="1:5" x14ac:dyDescent="0.35">
      <c r="A699" s="43">
        <v>698</v>
      </c>
      <c r="B699" s="44">
        <v>4</v>
      </c>
      <c r="C699" s="44" t="s">
        <v>1893</v>
      </c>
      <c r="D699" s="43" t="s">
        <v>1892</v>
      </c>
      <c r="E699" s="107"/>
    </row>
    <row r="700" spans="1:5" x14ac:dyDescent="0.35">
      <c r="A700" s="43">
        <v>699</v>
      </c>
      <c r="B700" s="44">
        <v>4</v>
      </c>
      <c r="C700" s="44" t="s">
        <v>1895</v>
      </c>
      <c r="D700" s="43" t="s">
        <v>1894</v>
      </c>
      <c r="E700" s="107"/>
    </row>
    <row r="701" spans="1:5" x14ac:dyDescent="0.35">
      <c r="A701" s="43">
        <v>700</v>
      </c>
      <c r="B701" s="44">
        <v>4</v>
      </c>
      <c r="C701" s="44" t="s">
        <v>1897</v>
      </c>
      <c r="D701" s="43" t="s">
        <v>1896</v>
      </c>
      <c r="E701" s="107"/>
    </row>
    <row r="702" spans="1:5" x14ac:dyDescent="0.35">
      <c r="A702" s="43">
        <v>701</v>
      </c>
      <c r="B702" s="44">
        <v>4</v>
      </c>
      <c r="C702" s="44" t="s">
        <v>1899</v>
      </c>
      <c r="D702" s="43" t="s">
        <v>1898</v>
      </c>
      <c r="E702" s="107"/>
    </row>
    <row r="703" spans="1:5" x14ac:dyDescent="0.35">
      <c r="A703" s="43">
        <v>702</v>
      </c>
      <c r="B703" s="44">
        <v>4</v>
      </c>
      <c r="C703" s="44" t="s">
        <v>1901</v>
      </c>
      <c r="D703" s="43" t="s">
        <v>1900</v>
      </c>
      <c r="E703" s="107"/>
    </row>
    <row r="704" spans="1:5" x14ac:dyDescent="0.35">
      <c r="A704" s="43">
        <v>703</v>
      </c>
      <c r="B704" s="44">
        <v>4</v>
      </c>
      <c r="C704" s="44" t="s">
        <v>1903</v>
      </c>
      <c r="D704" s="43" t="s">
        <v>1902</v>
      </c>
      <c r="E704" s="107"/>
    </row>
    <row r="705" spans="1:5" x14ac:dyDescent="0.35">
      <c r="A705" s="43">
        <v>704</v>
      </c>
      <c r="B705" s="44">
        <v>4</v>
      </c>
      <c r="C705" s="44" t="s">
        <v>1905</v>
      </c>
      <c r="D705" s="43" t="s">
        <v>1904</v>
      </c>
      <c r="E705" s="107"/>
    </row>
    <row r="706" spans="1:5" x14ac:dyDescent="0.35">
      <c r="A706" s="43">
        <v>705</v>
      </c>
      <c r="B706" s="44">
        <v>4</v>
      </c>
      <c r="C706" s="44" t="s">
        <v>1907</v>
      </c>
      <c r="D706" s="43" t="s">
        <v>1906</v>
      </c>
      <c r="E706" s="107"/>
    </row>
    <row r="707" spans="1:5" x14ac:dyDescent="0.35">
      <c r="A707" s="43">
        <v>706</v>
      </c>
      <c r="B707" s="44">
        <v>4</v>
      </c>
      <c r="C707" s="44" t="s">
        <v>1909</v>
      </c>
      <c r="D707" s="43" t="s">
        <v>1908</v>
      </c>
      <c r="E707" s="107"/>
    </row>
    <row r="708" spans="1:5" x14ac:dyDescent="0.35">
      <c r="A708" s="43">
        <v>707</v>
      </c>
      <c r="B708" s="44">
        <v>4</v>
      </c>
      <c r="C708" s="44" t="s">
        <v>1911</v>
      </c>
      <c r="D708" s="43" t="s">
        <v>1910</v>
      </c>
      <c r="E708" s="107"/>
    </row>
    <row r="709" spans="1:5" x14ac:dyDescent="0.35">
      <c r="A709" s="43">
        <v>708</v>
      </c>
      <c r="B709" s="44">
        <v>4</v>
      </c>
      <c r="C709" s="44" t="s">
        <v>1913</v>
      </c>
      <c r="D709" s="43" t="s">
        <v>1912</v>
      </c>
      <c r="E709" s="107"/>
    </row>
    <row r="710" spans="1:5" x14ac:dyDescent="0.35">
      <c r="A710" s="43">
        <v>709</v>
      </c>
      <c r="B710" s="44">
        <v>4</v>
      </c>
      <c r="C710" s="44" t="s">
        <v>1915</v>
      </c>
      <c r="D710" s="43" t="s">
        <v>1914</v>
      </c>
      <c r="E710" s="107"/>
    </row>
    <row r="711" spans="1:5" x14ac:dyDescent="0.35">
      <c r="A711" s="43">
        <v>710</v>
      </c>
      <c r="B711" s="44">
        <v>4</v>
      </c>
      <c r="C711" s="44" t="s">
        <v>1917</v>
      </c>
      <c r="D711" s="43" t="s">
        <v>1916</v>
      </c>
      <c r="E711" s="107"/>
    </row>
    <row r="712" spans="1:5" x14ac:dyDescent="0.35">
      <c r="A712" s="43">
        <v>711</v>
      </c>
      <c r="B712" s="44">
        <v>4</v>
      </c>
      <c r="C712" s="44" t="s">
        <v>1919</v>
      </c>
      <c r="D712" s="43" t="s">
        <v>1918</v>
      </c>
      <c r="E712" s="107"/>
    </row>
    <row r="713" spans="1:5" x14ac:dyDescent="0.35">
      <c r="A713" s="43">
        <v>712</v>
      </c>
      <c r="B713" s="44">
        <v>4</v>
      </c>
      <c r="C713" s="44" t="s">
        <v>1920</v>
      </c>
      <c r="D713" s="43" t="s">
        <v>1918</v>
      </c>
      <c r="E713" s="107"/>
    </row>
    <row r="714" spans="1:5" x14ac:dyDescent="0.35">
      <c r="A714" s="43">
        <v>713</v>
      </c>
      <c r="B714" s="44">
        <v>4</v>
      </c>
      <c r="C714" s="44" t="s">
        <v>1717</v>
      </c>
      <c r="D714" s="43" t="s">
        <v>1921</v>
      </c>
      <c r="E714" s="107"/>
    </row>
    <row r="715" spans="1:5" x14ac:dyDescent="0.35">
      <c r="A715" s="43">
        <v>714</v>
      </c>
      <c r="B715" s="44">
        <v>4</v>
      </c>
      <c r="C715" s="44" t="s">
        <v>1884</v>
      </c>
      <c r="D715" s="43" t="s">
        <v>1921</v>
      </c>
      <c r="E715" s="107"/>
    </row>
    <row r="716" spans="1:5" x14ac:dyDescent="0.35">
      <c r="A716" s="43">
        <v>715</v>
      </c>
      <c r="B716" s="44">
        <v>4</v>
      </c>
      <c r="C716" s="44" t="s">
        <v>1923</v>
      </c>
      <c r="D716" s="43" t="s">
        <v>1922</v>
      </c>
      <c r="E716" s="107"/>
    </row>
    <row r="717" spans="1:5" x14ac:dyDescent="0.35">
      <c r="A717" s="43">
        <v>716</v>
      </c>
      <c r="B717" s="44">
        <v>4</v>
      </c>
      <c r="C717" s="44" t="s">
        <v>1925</v>
      </c>
      <c r="D717" s="43" t="s">
        <v>1924</v>
      </c>
      <c r="E717" s="107"/>
    </row>
    <row r="718" spans="1:5" x14ac:dyDescent="0.35">
      <c r="A718" s="43">
        <v>717</v>
      </c>
      <c r="B718" s="44">
        <v>4</v>
      </c>
      <c r="C718" s="44" t="s">
        <v>1927</v>
      </c>
      <c r="D718" s="43" t="s">
        <v>1926</v>
      </c>
      <c r="E718" s="107"/>
    </row>
    <row r="719" spans="1:5" x14ac:dyDescent="0.35">
      <c r="A719" s="43">
        <v>718</v>
      </c>
      <c r="B719" s="44">
        <v>4</v>
      </c>
      <c r="C719" s="44" t="s">
        <v>1929</v>
      </c>
      <c r="D719" s="43" t="s">
        <v>1928</v>
      </c>
      <c r="E719" s="107"/>
    </row>
    <row r="720" spans="1:5" x14ac:dyDescent="0.35">
      <c r="A720" s="43">
        <v>719</v>
      </c>
      <c r="B720" s="44">
        <v>4</v>
      </c>
      <c r="C720" s="44" t="s">
        <v>1864</v>
      </c>
      <c r="D720" s="43" t="s">
        <v>1930</v>
      </c>
      <c r="E720" s="107"/>
    </row>
    <row r="721" spans="1:5" x14ac:dyDescent="0.35">
      <c r="A721" s="43">
        <v>720</v>
      </c>
      <c r="B721" s="44">
        <v>4</v>
      </c>
      <c r="C721" s="44" t="s">
        <v>1932</v>
      </c>
      <c r="D721" s="43" t="s">
        <v>1931</v>
      </c>
      <c r="E721" s="107"/>
    </row>
    <row r="722" spans="1:5" x14ac:dyDescent="0.35">
      <c r="A722" s="43">
        <v>721</v>
      </c>
      <c r="B722" s="42">
        <v>5</v>
      </c>
      <c r="C722" s="42">
        <v>1</v>
      </c>
      <c r="D722" s="45" t="s">
        <v>1735</v>
      </c>
      <c r="E722" s="107"/>
    </row>
    <row r="723" spans="1:5" x14ac:dyDescent="0.35">
      <c r="A723" s="43">
        <v>722</v>
      </c>
      <c r="B723" s="42">
        <v>5</v>
      </c>
      <c r="C723" s="42">
        <v>1</v>
      </c>
      <c r="D723" s="45" t="s">
        <v>1933</v>
      </c>
      <c r="E723" s="107"/>
    </row>
    <row r="724" spans="1:5" x14ac:dyDescent="0.35">
      <c r="A724" s="43">
        <v>723</v>
      </c>
      <c r="B724" s="42">
        <v>5</v>
      </c>
      <c r="C724" s="42">
        <v>1</v>
      </c>
      <c r="D724" s="45" t="s">
        <v>1934</v>
      </c>
      <c r="E724" s="107"/>
    </row>
    <row r="725" spans="1:5" x14ac:dyDescent="0.35">
      <c r="A725" s="43">
        <v>724</v>
      </c>
      <c r="B725" s="42">
        <v>5</v>
      </c>
      <c r="C725" s="42">
        <v>1</v>
      </c>
      <c r="D725" s="43" t="s">
        <v>1935</v>
      </c>
      <c r="E725" s="107"/>
    </row>
    <row r="726" spans="1:5" x14ac:dyDescent="0.35">
      <c r="A726" s="43">
        <v>725</v>
      </c>
      <c r="B726" s="42">
        <v>5</v>
      </c>
      <c r="C726" s="42">
        <v>1</v>
      </c>
      <c r="D726" s="43" t="s">
        <v>1936</v>
      </c>
      <c r="E726" s="107"/>
    </row>
    <row r="727" spans="1:5" x14ac:dyDescent="0.35">
      <c r="A727" s="43">
        <v>726</v>
      </c>
      <c r="B727" s="42">
        <v>5</v>
      </c>
      <c r="C727" s="42">
        <v>1</v>
      </c>
      <c r="D727" s="43" t="s">
        <v>1937</v>
      </c>
      <c r="E727" s="107"/>
    </row>
    <row r="728" spans="1:5" x14ac:dyDescent="0.35">
      <c r="A728" s="43">
        <v>727</v>
      </c>
      <c r="B728" s="42">
        <v>5</v>
      </c>
      <c r="C728" s="42">
        <v>1</v>
      </c>
      <c r="D728" s="43" t="s">
        <v>1938</v>
      </c>
      <c r="E728" s="107"/>
    </row>
    <row r="729" spans="1:5" x14ac:dyDescent="0.35">
      <c r="A729" s="43">
        <v>728</v>
      </c>
      <c r="B729" s="42">
        <v>5</v>
      </c>
      <c r="C729" s="42">
        <v>1</v>
      </c>
      <c r="D729" s="43" t="s">
        <v>1808</v>
      </c>
      <c r="E729" s="107"/>
    </row>
    <row r="730" spans="1:5" x14ac:dyDescent="0.35">
      <c r="A730" s="43">
        <v>729</v>
      </c>
      <c r="B730" s="42">
        <v>5</v>
      </c>
      <c r="C730" s="42">
        <v>1</v>
      </c>
      <c r="D730" s="43" t="s">
        <v>1939</v>
      </c>
      <c r="E730" s="107"/>
    </row>
    <row r="731" spans="1:5" x14ac:dyDescent="0.35">
      <c r="A731" s="43">
        <v>730</v>
      </c>
      <c r="B731" s="42">
        <v>5</v>
      </c>
      <c r="C731" s="42">
        <v>1</v>
      </c>
      <c r="D731" s="43" t="s">
        <v>1940</v>
      </c>
      <c r="E731" s="107"/>
    </row>
    <row r="732" spans="1:5" x14ac:dyDescent="0.35">
      <c r="A732" s="43">
        <v>731</v>
      </c>
      <c r="B732" s="42">
        <v>5</v>
      </c>
      <c r="C732" s="42">
        <v>1</v>
      </c>
      <c r="D732" s="43" t="s">
        <v>1941</v>
      </c>
      <c r="E732" s="107"/>
    </row>
    <row r="733" spans="1:5" x14ac:dyDescent="0.35">
      <c r="A733" s="43">
        <v>732</v>
      </c>
      <c r="B733" s="44">
        <v>5</v>
      </c>
      <c r="C733" s="44">
        <v>2</v>
      </c>
      <c r="D733" s="43" t="s">
        <v>1942</v>
      </c>
      <c r="E733" s="107"/>
    </row>
    <row r="734" spans="1:5" x14ac:dyDescent="0.35">
      <c r="A734" s="43">
        <v>733</v>
      </c>
      <c r="B734" s="44">
        <v>5</v>
      </c>
      <c r="C734" s="44">
        <v>2</v>
      </c>
      <c r="D734" s="43" t="s">
        <v>1943</v>
      </c>
      <c r="E734" s="107"/>
    </row>
    <row r="735" spans="1:5" x14ac:dyDescent="0.35">
      <c r="A735" s="43">
        <v>734</v>
      </c>
      <c r="B735" s="44">
        <v>5</v>
      </c>
      <c r="C735" s="44">
        <v>2</v>
      </c>
      <c r="D735" s="43" t="s">
        <v>1944</v>
      </c>
      <c r="E735" s="107"/>
    </row>
    <row r="736" spans="1:5" x14ac:dyDescent="0.35">
      <c r="A736" s="43">
        <v>735</v>
      </c>
      <c r="B736" s="44">
        <v>5</v>
      </c>
      <c r="C736" s="44">
        <v>2</v>
      </c>
      <c r="D736" s="43" t="s">
        <v>1945</v>
      </c>
      <c r="E736" s="107"/>
    </row>
    <row r="737" spans="1:5" x14ac:dyDescent="0.35">
      <c r="A737" s="43">
        <v>736</v>
      </c>
      <c r="B737" s="44">
        <v>5</v>
      </c>
      <c r="C737" s="44">
        <v>3</v>
      </c>
      <c r="D737" s="43" t="s">
        <v>1946</v>
      </c>
      <c r="E737" s="107"/>
    </row>
    <row r="738" spans="1:5" x14ac:dyDescent="0.35">
      <c r="A738" s="43">
        <v>737</v>
      </c>
      <c r="B738" s="44">
        <v>5</v>
      </c>
      <c r="C738" s="44">
        <v>3</v>
      </c>
      <c r="D738" s="43" t="s">
        <v>1947</v>
      </c>
      <c r="E738" s="107"/>
    </row>
    <row r="739" spans="1:5" x14ac:dyDescent="0.35">
      <c r="A739" s="43">
        <v>738</v>
      </c>
      <c r="B739" s="44">
        <v>5</v>
      </c>
      <c r="C739" s="44">
        <v>3</v>
      </c>
      <c r="D739" s="43" t="s">
        <v>1948</v>
      </c>
      <c r="E739" s="107"/>
    </row>
    <row r="740" spans="1:5" x14ac:dyDescent="0.35">
      <c r="A740" s="43">
        <v>739</v>
      </c>
      <c r="B740" s="44">
        <v>5</v>
      </c>
      <c r="C740" s="44">
        <v>3</v>
      </c>
      <c r="D740" s="43" t="s">
        <v>1949</v>
      </c>
      <c r="E740" s="107"/>
    </row>
    <row r="741" spans="1:5" x14ac:dyDescent="0.35">
      <c r="A741" s="43">
        <v>740</v>
      </c>
      <c r="B741" s="44">
        <v>5</v>
      </c>
      <c r="C741" s="44">
        <v>3</v>
      </c>
      <c r="D741" s="43" t="s">
        <v>1950</v>
      </c>
      <c r="E741" s="107"/>
    </row>
    <row r="742" spans="1:5" x14ac:dyDescent="0.35">
      <c r="A742" s="43">
        <v>741</v>
      </c>
      <c r="B742" s="44">
        <v>5</v>
      </c>
      <c r="C742" s="44">
        <v>3</v>
      </c>
      <c r="D742" s="43" t="s">
        <v>1951</v>
      </c>
      <c r="E742" s="107"/>
    </row>
    <row r="743" spans="1:5" x14ac:dyDescent="0.35">
      <c r="A743" s="43">
        <v>742</v>
      </c>
      <c r="B743" s="44">
        <v>5</v>
      </c>
      <c r="C743" s="44">
        <v>3</v>
      </c>
      <c r="D743" s="45" t="s">
        <v>1952</v>
      </c>
      <c r="E743" s="107"/>
    </row>
    <row r="744" spans="1:5" x14ac:dyDescent="0.35">
      <c r="A744" s="43">
        <v>743</v>
      </c>
      <c r="B744" s="44">
        <v>5</v>
      </c>
      <c r="C744" s="44">
        <v>3</v>
      </c>
      <c r="D744" s="45" t="s">
        <v>1953</v>
      </c>
      <c r="E744" s="107"/>
    </row>
    <row r="745" spans="1:5" x14ac:dyDescent="0.35">
      <c r="A745" s="43">
        <v>744</v>
      </c>
      <c r="B745" s="42">
        <v>5</v>
      </c>
      <c r="C745" s="42">
        <v>4</v>
      </c>
      <c r="D745" s="45" t="s">
        <v>1954</v>
      </c>
      <c r="E745" s="107"/>
    </row>
    <row r="746" spans="1:5" x14ac:dyDescent="0.35">
      <c r="A746" s="43">
        <v>745</v>
      </c>
      <c r="B746" s="42">
        <v>5</v>
      </c>
      <c r="C746" s="42">
        <v>4</v>
      </c>
      <c r="D746" s="45" t="s">
        <v>1955</v>
      </c>
      <c r="E746" s="107"/>
    </row>
    <row r="747" spans="1:5" x14ac:dyDescent="0.35">
      <c r="A747" s="43">
        <v>746</v>
      </c>
      <c r="B747" s="42">
        <v>5</v>
      </c>
      <c r="C747" s="42">
        <v>4</v>
      </c>
      <c r="D747" s="45" t="s">
        <v>1956</v>
      </c>
      <c r="E747" s="107"/>
    </row>
    <row r="748" spans="1:5" x14ac:dyDescent="0.35">
      <c r="A748" s="43">
        <v>747</v>
      </c>
      <c r="B748" s="42">
        <v>5</v>
      </c>
      <c r="C748" s="42">
        <v>4</v>
      </c>
      <c r="D748" s="45" t="s">
        <v>1957</v>
      </c>
      <c r="E748" s="107"/>
    </row>
    <row r="749" spans="1:5" x14ac:dyDescent="0.35">
      <c r="A749" s="43">
        <v>748</v>
      </c>
      <c r="B749" s="42">
        <v>5</v>
      </c>
      <c r="C749" s="42">
        <v>4</v>
      </c>
      <c r="D749" s="45" t="s">
        <v>1958</v>
      </c>
      <c r="E749" s="107"/>
    </row>
    <row r="750" spans="1:5" x14ac:dyDescent="0.35">
      <c r="A750" s="43">
        <v>749</v>
      </c>
      <c r="B750" s="42">
        <v>5</v>
      </c>
      <c r="C750" s="42">
        <v>4</v>
      </c>
      <c r="D750" s="45" t="s">
        <v>1959</v>
      </c>
      <c r="E750" s="107"/>
    </row>
    <row r="751" spans="1:5" x14ac:dyDescent="0.35">
      <c r="A751" s="43">
        <v>750</v>
      </c>
      <c r="B751" s="42">
        <v>5</v>
      </c>
      <c r="C751" s="42">
        <v>4</v>
      </c>
      <c r="D751" s="45" t="s">
        <v>4486</v>
      </c>
      <c r="E751" s="107"/>
    </row>
    <row r="752" spans="1:5" x14ac:dyDescent="0.35">
      <c r="A752" s="43">
        <v>751</v>
      </c>
      <c r="B752" s="42">
        <v>5</v>
      </c>
      <c r="C752" s="42">
        <v>4</v>
      </c>
      <c r="D752" s="45" t="s">
        <v>1961</v>
      </c>
      <c r="E752" s="107"/>
    </row>
    <row r="753" spans="1:5" x14ac:dyDescent="0.35">
      <c r="A753" s="43">
        <v>752</v>
      </c>
      <c r="B753" s="42">
        <v>5</v>
      </c>
      <c r="C753" s="42">
        <v>4</v>
      </c>
      <c r="D753" s="45" t="s">
        <v>1217</v>
      </c>
      <c r="E753" s="107"/>
    </row>
    <row r="754" spans="1:5" x14ac:dyDescent="0.35">
      <c r="A754" s="43">
        <v>753</v>
      </c>
      <c r="B754" s="42">
        <v>5</v>
      </c>
      <c r="C754" s="42">
        <v>4</v>
      </c>
      <c r="D754" s="45" t="s">
        <v>1962</v>
      </c>
      <c r="E754" s="107"/>
    </row>
    <row r="755" spans="1:5" x14ac:dyDescent="0.35">
      <c r="A755" s="43">
        <v>754</v>
      </c>
      <c r="B755" s="42">
        <v>5</v>
      </c>
      <c r="C755" s="42">
        <v>4</v>
      </c>
      <c r="D755" s="45" t="s">
        <v>1963</v>
      </c>
      <c r="E755" s="107"/>
    </row>
    <row r="756" spans="1:5" x14ac:dyDescent="0.35">
      <c r="A756" s="43">
        <v>755</v>
      </c>
      <c r="B756" s="42">
        <v>5</v>
      </c>
      <c r="C756" s="42">
        <v>5</v>
      </c>
      <c r="D756" s="45" t="s">
        <v>1964</v>
      </c>
      <c r="E756" s="107"/>
    </row>
    <row r="757" spans="1:5" x14ac:dyDescent="0.35">
      <c r="A757" s="43">
        <v>756</v>
      </c>
      <c r="B757" s="42">
        <v>5</v>
      </c>
      <c r="C757" s="42">
        <v>5</v>
      </c>
      <c r="D757" s="45" t="s">
        <v>1446</v>
      </c>
      <c r="E757" s="107"/>
    </row>
    <row r="758" spans="1:5" x14ac:dyDescent="0.35">
      <c r="A758" s="43">
        <v>757</v>
      </c>
      <c r="B758" s="42">
        <v>5</v>
      </c>
      <c r="C758" s="42">
        <v>5</v>
      </c>
      <c r="D758" s="45" t="s">
        <v>1965</v>
      </c>
      <c r="E758" s="107"/>
    </row>
    <row r="759" spans="1:5" x14ac:dyDescent="0.35">
      <c r="A759" s="43">
        <v>758</v>
      </c>
      <c r="B759" s="42">
        <v>5</v>
      </c>
      <c r="C759" s="42">
        <v>5</v>
      </c>
      <c r="D759" s="45" t="s">
        <v>1966</v>
      </c>
      <c r="E759" s="107"/>
    </row>
    <row r="760" spans="1:5" x14ac:dyDescent="0.35">
      <c r="A760" s="43">
        <v>759</v>
      </c>
      <c r="B760" s="42">
        <v>5</v>
      </c>
      <c r="C760" s="42">
        <v>5</v>
      </c>
      <c r="D760" s="45" t="s">
        <v>1967</v>
      </c>
      <c r="E760" s="107"/>
    </row>
    <row r="761" spans="1:5" x14ac:dyDescent="0.35">
      <c r="A761" s="43">
        <v>760</v>
      </c>
      <c r="B761" s="42">
        <v>5</v>
      </c>
      <c r="C761" s="42">
        <v>5</v>
      </c>
      <c r="D761" s="45" t="s">
        <v>1735</v>
      </c>
      <c r="E761" s="107"/>
    </row>
    <row r="762" spans="1:5" x14ac:dyDescent="0.35">
      <c r="A762" s="43">
        <v>761</v>
      </c>
      <c r="B762" s="42">
        <v>5</v>
      </c>
      <c r="C762" s="42">
        <v>5</v>
      </c>
      <c r="D762" s="45" t="s">
        <v>1968</v>
      </c>
      <c r="E762" s="107"/>
    </row>
    <row r="763" spans="1:5" x14ac:dyDescent="0.35">
      <c r="A763" s="43">
        <v>762</v>
      </c>
      <c r="B763" s="42">
        <v>5</v>
      </c>
      <c r="C763" s="42">
        <v>5</v>
      </c>
      <c r="D763" s="45" t="s">
        <v>1969</v>
      </c>
      <c r="E763" s="107"/>
    </row>
    <row r="764" spans="1:5" x14ac:dyDescent="0.35">
      <c r="A764" s="43">
        <v>763</v>
      </c>
      <c r="B764" s="42">
        <v>5</v>
      </c>
      <c r="C764" s="42">
        <v>5</v>
      </c>
      <c r="D764" s="45" t="s">
        <v>1970</v>
      </c>
      <c r="E764" s="107"/>
    </row>
    <row r="765" spans="1:5" x14ac:dyDescent="0.35">
      <c r="A765" s="43">
        <v>764</v>
      </c>
      <c r="B765" s="42">
        <v>5</v>
      </c>
      <c r="C765" s="42">
        <v>5</v>
      </c>
      <c r="D765" s="45" t="s">
        <v>1442</v>
      </c>
      <c r="E765" s="107"/>
    </row>
    <row r="766" spans="1:5" x14ac:dyDescent="0.35">
      <c r="A766" s="43">
        <v>765</v>
      </c>
      <c r="B766" s="42">
        <v>5</v>
      </c>
      <c r="C766" s="42">
        <v>5</v>
      </c>
      <c r="D766" s="45" t="s">
        <v>1433</v>
      </c>
      <c r="E766" s="107"/>
    </row>
    <row r="767" spans="1:5" x14ac:dyDescent="0.35">
      <c r="A767" s="43">
        <v>766</v>
      </c>
      <c r="B767" s="42">
        <v>5</v>
      </c>
      <c r="C767" s="42">
        <v>5</v>
      </c>
      <c r="D767" s="45" t="s">
        <v>1600</v>
      </c>
      <c r="E767" s="107"/>
    </row>
    <row r="768" spans="1:5" x14ac:dyDescent="0.35">
      <c r="A768" s="43">
        <v>767</v>
      </c>
      <c r="B768" s="42">
        <v>5</v>
      </c>
      <c r="C768" s="42">
        <v>5</v>
      </c>
      <c r="D768" s="45" t="s">
        <v>1774</v>
      </c>
      <c r="E768" s="107"/>
    </row>
    <row r="769" spans="1:5" x14ac:dyDescent="0.35">
      <c r="A769" s="43">
        <v>768</v>
      </c>
      <c r="B769" s="42">
        <v>5</v>
      </c>
      <c r="C769" s="42">
        <v>5</v>
      </c>
      <c r="D769" s="45" t="s">
        <v>1971</v>
      </c>
      <c r="E769" s="107"/>
    </row>
    <row r="770" spans="1:5" x14ac:dyDescent="0.35">
      <c r="A770" s="43">
        <v>769</v>
      </c>
      <c r="B770" s="42">
        <v>5</v>
      </c>
      <c r="C770" s="42">
        <v>6</v>
      </c>
      <c r="D770" s="45" t="s">
        <v>1972</v>
      </c>
      <c r="E770" s="107"/>
    </row>
    <row r="771" spans="1:5" x14ac:dyDescent="0.35">
      <c r="A771" s="43">
        <v>770</v>
      </c>
      <c r="B771" s="42">
        <v>5</v>
      </c>
      <c r="C771" s="42">
        <v>6</v>
      </c>
      <c r="D771" s="45" t="s">
        <v>1973</v>
      </c>
      <c r="E771" s="107"/>
    </row>
    <row r="772" spans="1:5" x14ac:dyDescent="0.35">
      <c r="A772" s="43">
        <v>771</v>
      </c>
      <c r="B772" s="42">
        <v>5</v>
      </c>
      <c r="C772" s="42">
        <v>6</v>
      </c>
      <c r="D772" s="45" t="s">
        <v>1974</v>
      </c>
      <c r="E772" s="107"/>
    </row>
    <row r="773" spans="1:5" x14ac:dyDescent="0.35">
      <c r="A773" s="43">
        <v>772</v>
      </c>
      <c r="B773" s="42">
        <v>5</v>
      </c>
      <c r="C773" s="42">
        <v>6</v>
      </c>
      <c r="D773" s="45" t="s">
        <v>1975</v>
      </c>
      <c r="E773" s="107"/>
    </row>
    <row r="774" spans="1:5" x14ac:dyDescent="0.35">
      <c r="A774" s="43">
        <v>773</v>
      </c>
      <c r="B774" s="42">
        <v>5</v>
      </c>
      <c r="C774" s="42">
        <v>6</v>
      </c>
      <c r="D774" s="45" t="s">
        <v>1976</v>
      </c>
      <c r="E774" s="107"/>
    </row>
    <row r="775" spans="1:5" x14ac:dyDescent="0.35">
      <c r="A775" s="43">
        <v>774</v>
      </c>
      <c r="B775" s="42">
        <v>5</v>
      </c>
      <c r="C775" s="42">
        <v>6</v>
      </c>
      <c r="D775" s="45" t="s">
        <v>1977</v>
      </c>
      <c r="E775" s="107"/>
    </row>
    <row r="776" spans="1:5" x14ac:dyDescent="0.35">
      <c r="A776" s="43">
        <v>775</v>
      </c>
      <c r="B776" s="42">
        <v>5</v>
      </c>
      <c r="C776" s="42">
        <v>6</v>
      </c>
      <c r="D776" s="45" t="s">
        <v>1978</v>
      </c>
      <c r="E776" s="107"/>
    </row>
    <row r="777" spans="1:5" x14ac:dyDescent="0.35">
      <c r="A777" s="43">
        <v>776</v>
      </c>
      <c r="B777" s="42">
        <v>5</v>
      </c>
      <c r="C777" s="42">
        <v>6</v>
      </c>
      <c r="D777" s="45" t="s">
        <v>1979</v>
      </c>
      <c r="E777" s="107"/>
    </row>
    <row r="778" spans="1:5" x14ac:dyDescent="0.35">
      <c r="A778" s="43">
        <v>777</v>
      </c>
      <c r="B778" s="42">
        <v>5</v>
      </c>
      <c r="C778" s="42">
        <v>6</v>
      </c>
      <c r="D778" s="45" t="s">
        <v>1980</v>
      </c>
      <c r="E778" s="107"/>
    </row>
    <row r="779" spans="1:5" x14ac:dyDescent="0.35">
      <c r="A779" s="43">
        <v>778</v>
      </c>
      <c r="B779" s="42">
        <v>5</v>
      </c>
      <c r="C779" s="42">
        <v>7</v>
      </c>
      <c r="D779" s="45" t="s">
        <v>1981</v>
      </c>
      <c r="E779" s="107"/>
    </row>
    <row r="780" spans="1:5" x14ac:dyDescent="0.35">
      <c r="A780" s="43">
        <v>779</v>
      </c>
      <c r="B780" s="42">
        <v>5</v>
      </c>
      <c r="C780" s="42">
        <v>7</v>
      </c>
      <c r="D780" s="45" t="s">
        <v>1982</v>
      </c>
      <c r="E780" s="107"/>
    </row>
    <row r="781" spans="1:5" x14ac:dyDescent="0.35">
      <c r="A781" s="43">
        <v>780</v>
      </c>
      <c r="B781" s="42">
        <v>5</v>
      </c>
      <c r="C781" s="42">
        <v>7</v>
      </c>
      <c r="D781" s="45" t="s">
        <v>1983</v>
      </c>
      <c r="E781" s="107"/>
    </row>
    <row r="782" spans="1:5" x14ac:dyDescent="0.35">
      <c r="A782" s="43">
        <v>781</v>
      </c>
      <c r="B782" s="42">
        <v>5</v>
      </c>
      <c r="C782" s="42">
        <v>7</v>
      </c>
      <c r="D782" s="45" t="s">
        <v>1401</v>
      </c>
      <c r="E782" s="107"/>
    </row>
    <row r="783" spans="1:5" x14ac:dyDescent="0.35">
      <c r="A783" s="43">
        <v>782</v>
      </c>
      <c r="B783" s="42">
        <v>5</v>
      </c>
      <c r="C783" s="42">
        <v>7</v>
      </c>
      <c r="D783" s="45" t="s">
        <v>1984</v>
      </c>
      <c r="E783" s="107"/>
    </row>
    <row r="784" spans="1:5" x14ac:dyDescent="0.35">
      <c r="A784" s="43">
        <v>783</v>
      </c>
      <c r="B784" s="42">
        <v>5</v>
      </c>
      <c r="C784" s="42">
        <v>8</v>
      </c>
      <c r="D784" s="45" t="s">
        <v>1985</v>
      </c>
      <c r="E784" s="107"/>
    </row>
    <row r="785" spans="1:5" x14ac:dyDescent="0.35">
      <c r="A785" s="43">
        <v>784</v>
      </c>
      <c r="B785" s="42">
        <v>5</v>
      </c>
      <c r="C785" s="42">
        <v>8</v>
      </c>
      <c r="D785" s="45" t="s">
        <v>1986</v>
      </c>
      <c r="E785" s="107"/>
    </row>
    <row r="786" spans="1:5" x14ac:dyDescent="0.35">
      <c r="A786" s="43">
        <v>785</v>
      </c>
      <c r="B786" s="42">
        <v>5</v>
      </c>
      <c r="C786" s="42">
        <v>8</v>
      </c>
      <c r="D786" s="45" t="s">
        <v>1987</v>
      </c>
      <c r="E786" s="107"/>
    </row>
    <row r="787" spans="1:5" x14ac:dyDescent="0.35">
      <c r="A787" s="43">
        <v>786</v>
      </c>
      <c r="B787" s="42">
        <v>5</v>
      </c>
      <c r="C787" s="42">
        <v>8</v>
      </c>
      <c r="D787" s="45" t="s">
        <v>1988</v>
      </c>
      <c r="E787" s="107"/>
    </row>
    <row r="788" spans="1:5" x14ac:dyDescent="0.35">
      <c r="A788" s="43">
        <v>787</v>
      </c>
      <c r="B788" s="42">
        <v>5</v>
      </c>
      <c r="C788" s="42">
        <v>8</v>
      </c>
      <c r="D788" s="45" t="s">
        <v>1989</v>
      </c>
      <c r="E788" s="107"/>
    </row>
    <row r="789" spans="1:5" x14ac:dyDescent="0.35">
      <c r="A789" s="43">
        <v>788</v>
      </c>
      <c r="B789" s="42">
        <v>5</v>
      </c>
      <c r="C789" s="42">
        <v>8</v>
      </c>
      <c r="D789" s="45" t="s">
        <v>1990</v>
      </c>
      <c r="E789" s="107"/>
    </row>
    <row r="790" spans="1:5" x14ac:dyDescent="0.35">
      <c r="A790" s="43">
        <v>789</v>
      </c>
      <c r="B790" s="42">
        <v>5</v>
      </c>
      <c r="C790" s="42">
        <v>8</v>
      </c>
      <c r="D790" s="45" t="s">
        <v>1991</v>
      </c>
      <c r="E790" s="107"/>
    </row>
    <row r="791" spans="1:5" x14ac:dyDescent="0.35">
      <c r="A791" s="43">
        <v>790</v>
      </c>
      <c r="B791" s="42">
        <v>5</v>
      </c>
      <c r="C791" s="42">
        <v>9</v>
      </c>
      <c r="D791" s="45" t="s">
        <v>1735</v>
      </c>
      <c r="E791" s="107"/>
    </row>
    <row r="792" spans="1:5" x14ac:dyDescent="0.35">
      <c r="A792" s="43">
        <v>791</v>
      </c>
      <c r="B792" s="42">
        <v>5</v>
      </c>
      <c r="C792" s="42">
        <v>9</v>
      </c>
      <c r="D792" s="45" t="s">
        <v>1992</v>
      </c>
      <c r="E792" s="107"/>
    </row>
    <row r="793" spans="1:5" x14ac:dyDescent="0.35">
      <c r="A793" s="43">
        <v>792</v>
      </c>
      <c r="B793" s="42">
        <v>5</v>
      </c>
      <c r="C793" s="42">
        <v>9</v>
      </c>
      <c r="D793" s="45" t="s">
        <v>1993</v>
      </c>
      <c r="E793" s="107"/>
    </row>
    <row r="794" spans="1:5" x14ac:dyDescent="0.35">
      <c r="A794" s="43">
        <v>793</v>
      </c>
      <c r="B794" s="42">
        <v>5</v>
      </c>
      <c r="C794" s="42">
        <v>9</v>
      </c>
      <c r="D794" s="45" t="s">
        <v>1446</v>
      </c>
      <c r="E794" s="107"/>
    </row>
    <row r="795" spans="1:5" x14ac:dyDescent="0.35">
      <c r="A795" s="43">
        <v>794</v>
      </c>
      <c r="B795" s="42">
        <v>5</v>
      </c>
      <c r="C795" s="42">
        <v>9</v>
      </c>
      <c r="D795" s="45" t="s">
        <v>1994</v>
      </c>
      <c r="E795" s="107"/>
    </row>
    <row r="796" spans="1:5" x14ac:dyDescent="0.35">
      <c r="A796" s="43">
        <v>795</v>
      </c>
      <c r="B796" s="42">
        <v>5</v>
      </c>
      <c r="C796" s="42">
        <v>9</v>
      </c>
      <c r="D796" s="45" t="s">
        <v>1995</v>
      </c>
      <c r="E796" s="107"/>
    </row>
    <row r="797" spans="1:5" x14ac:dyDescent="0.35">
      <c r="A797" s="43">
        <v>796</v>
      </c>
      <c r="B797" s="42">
        <v>5</v>
      </c>
      <c r="C797" s="42">
        <v>9</v>
      </c>
      <c r="D797" s="45" t="s">
        <v>1996</v>
      </c>
      <c r="E797" s="107"/>
    </row>
    <row r="798" spans="1:5" x14ac:dyDescent="0.35">
      <c r="A798" s="43">
        <v>797</v>
      </c>
      <c r="B798" s="42">
        <v>5</v>
      </c>
      <c r="C798" s="42">
        <v>9</v>
      </c>
      <c r="D798" s="45" t="s">
        <v>1997</v>
      </c>
      <c r="E798" s="107"/>
    </row>
    <row r="799" spans="1:5" x14ac:dyDescent="0.35">
      <c r="A799" s="43">
        <v>798</v>
      </c>
      <c r="B799" s="42">
        <v>5</v>
      </c>
      <c r="C799" s="42">
        <v>9</v>
      </c>
      <c r="D799" s="45" t="s">
        <v>1998</v>
      </c>
      <c r="E799" s="107"/>
    </row>
    <row r="800" spans="1:5" x14ac:dyDescent="0.35">
      <c r="A800" s="43">
        <v>799</v>
      </c>
      <c r="B800" s="42">
        <v>5</v>
      </c>
      <c r="C800" s="42">
        <v>10</v>
      </c>
      <c r="D800" s="45" t="s">
        <v>1999</v>
      </c>
      <c r="E800" s="107"/>
    </row>
    <row r="801" spans="1:5" x14ac:dyDescent="0.35">
      <c r="A801" s="43">
        <v>800</v>
      </c>
      <c r="B801" s="42">
        <v>5</v>
      </c>
      <c r="C801" s="42">
        <v>10</v>
      </c>
      <c r="D801" s="45" t="s">
        <v>2000</v>
      </c>
      <c r="E801" s="107"/>
    </row>
    <row r="802" spans="1:5" x14ac:dyDescent="0.35">
      <c r="A802" s="43">
        <v>801</v>
      </c>
      <c r="B802" s="42">
        <v>5</v>
      </c>
      <c r="C802" s="42">
        <v>10</v>
      </c>
      <c r="D802" s="45" t="s">
        <v>2001</v>
      </c>
      <c r="E802" s="107"/>
    </row>
    <row r="803" spans="1:5" x14ac:dyDescent="0.35">
      <c r="A803" s="43">
        <v>802</v>
      </c>
      <c r="B803" s="42">
        <v>5</v>
      </c>
      <c r="C803" s="42">
        <v>10</v>
      </c>
      <c r="D803" s="45" t="s">
        <v>2002</v>
      </c>
      <c r="E803" s="107"/>
    </row>
    <row r="804" spans="1:5" x14ac:dyDescent="0.35">
      <c r="A804" s="43">
        <v>803</v>
      </c>
      <c r="B804" s="42">
        <v>5</v>
      </c>
      <c r="C804" s="42">
        <v>10</v>
      </c>
      <c r="D804" s="45" t="s">
        <v>2003</v>
      </c>
      <c r="E804" s="107"/>
    </row>
    <row r="805" spans="1:5" x14ac:dyDescent="0.35">
      <c r="A805" s="43">
        <v>804</v>
      </c>
      <c r="B805" s="42">
        <v>5</v>
      </c>
      <c r="C805" s="42">
        <v>10</v>
      </c>
      <c r="D805" s="45" t="s">
        <v>1433</v>
      </c>
      <c r="E805" s="107"/>
    </row>
    <row r="806" spans="1:5" x14ac:dyDescent="0.35">
      <c r="A806" s="43">
        <v>805</v>
      </c>
      <c r="B806" s="42">
        <v>5</v>
      </c>
      <c r="C806" s="42">
        <v>10</v>
      </c>
      <c r="D806" s="45" t="s">
        <v>2004</v>
      </c>
      <c r="E806" s="107"/>
    </row>
    <row r="807" spans="1:5" x14ac:dyDescent="0.35">
      <c r="A807" s="43">
        <v>806</v>
      </c>
      <c r="B807" s="42">
        <v>5</v>
      </c>
      <c r="C807" s="42">
        <v>10</v>
      </c>
      <c r="D807" s="45" t="s">
        <v>2005</v>
      </c>
      <c r="E807" s="107"/>
    </row>
    <row r="808" spans="1:5" x14ac:dyDescent="0.35">
      <c r="A808" s="43">
        <v>807</v>
      </c>
      <c r="B808" s="42">
        <v>5</v>
      </c>
      <c r="C808" s="42">
        <v>11</v>
      </c>
      <c r="D808" s="45" t="s">
        <v>2006</v>
      </c>
      <c r="E808" s="107"/>
    </row>
    <row r="809" spans="1:5" x14ac:dyDescent="0.35">
      <c r="A809" s="43">
        <v>808</v>
      </c>
      <c r="B809" s="42">
        <v>5</v>
      </c>
      <c r="C809" s="42">
        <v>11</v>
      </c>
      <c r="D809" s="45" t="s">
        <v>2007</v>
      </c>
      <c r="E809" s="107"/>
    </row>
    <row r="810" spans="1:5" x14ac:dyDescent="0.35">
      <c r="A810" s="43">
        <v>809</v>
      </c>
      <c r="B810" s="42">
        <v>5</v>
      </c>
      <c r="C810" s="42">
        <v>11</v>
      </c>
      <c r="D810" s="45" t="s">
        <v>2008</v>
      </c>
      <c r="E810" s="107"/>
    </row>
    <row r="811" spans="1:5" x14ac:dyDescent="0.35">
      <c r="A811" s="43">
        <v>810</v>
      </c>
      <c r="B811" s="42">
        <v>5</v>
      </c>
      <c r="C811" s="42">
        <v>11</v>
      </c>
      <c r="D811" s="45" t="s">
        <v>2009</v>
      </c>
      <c r="E811" s="107"/>
    </row>
    <row r="812" spans="1:5" x14ac:dyDescent="0.35">
      <c r="A812" s="43">
        <v>811</v>
      </c>
      <c r="B812" s="42">
        <v>5</v>
      </c>
      <c r="C812" s="42">
        <v>11</v>
      </c>
      <c r="D812" s="45" t="s">
        <v>2010</v>
      </c>
      <c r="E812" s="107"/>
    </row>
    <row r="813" spans="1:5" x14ac:dyDescent="0.35">
      <c r="A813" s="43">
        <v>812</v>
      </c>
      <c r="B813" s="42">
        <v>5</v>
      </c>
      <c r="C813" s="42">
        <v>11</v>
      </c>
      <c r="D813" s="45" t="s">
        <v>1949</v>
      </c>
      <c r="E813" s="107"/>
    </row>
    <row r="814" spans="1:5" x14ac:dyDescent="0.35">
      <c r="A814" s="43">
        <v>813</v>
      </c>
      <c r="B814" s="42">
        <v>5</v>
      </c>
      <c r="C814" s="42">
        <v>11</v>
      </c>
      <c r="D814" s="45" t="s">
        <v>2011</v>
      </c>
      <c r="E814" s="107"/>
    </row>
    <row r="815" spans="1:5" x14ac:dyDescent="0.35">
      <c r="A815" s="43">
        <v>814</v>
      </c>
      <c r="B815" s="42">
        <v>5</v>
      </c>
      <c r="C815" s="42">
        <v>11</v>
      </c>
      <c r="D815" s="45" t="s">
        <v>2012</v>
      </c>
      <c r="E815" s="107"/>
    </row>
    <row r="816" spans="1:5" x14ac:dyDescent="0.35">
      <c r="A816" s="43">
        <v>815</v>
      </c>
      <c r="B816" s="42">
        <v>5</v>
      </c>
      <c r="C816" s="42">
        <v>12</v>
      </c>
      <c r="D816" s="45" t="s">
        <v>2013</v>
      </c>
      <c r="E816" s="107"/>
    </row>
    <row r="817" spans="1:5" x14ac:dyDescent="0.35">
      <c r="A817" s="43">
        <v>816</v>
      </c>
      <c r="B817" s="42">
        <v>5</v>
      </c>
      <c r="C817" s="42">
        <v>12</v>
      </c>
      <c r="D817" s="45" t="s">
        <v>2014</v>
      </c>
      <c r="E817" s="107"/>
    </row>
    <row r="818" spans="1:5" x14ac:dyDescent="0.35">
      <c r="A818" s="43">
        <v>817</v>
      </c>
      <c r="B818" s="42">
        <v>5</v>
      </c>
      <c r="C818" s="42">
        <v>12</v>
      </c>
      <c r="D818" s="45" t="s">
        <v>2015</v>
      </c>
      <c r="E818" s="107"/>
    </row>
    <row r="819" spans="1:5" x14ac:dyDescent="0.35">
      <c r="A819" s="43">
        <v>818</v>
      </c>
      <c r="B819" s="42">
        <v>5</v>
      </c>
      <c r="C819" s="42">
        <v>12</v>
      </c>
      <c r="D819" s="45" t="s">
        <v>2016</v>
      </c>
      <c r="E819" s="107"/>
    </row>
    <row r="820" spans="1:5" x14ac:dyDescent="0.35">
      <c r="A820" s="43">
        <v>819</v>
      </c>
      <c r="B820" s="42">
        <v>5</v>
      </c>
      <c r="C820" s="42">
        <v>12</v>
      </c>
      <c r="D820" s="45" t="s">
        <v>2017</v>
      </c>
      <c r="E820" s="107"/>
    </row>
    <row r="821" spans="1:5" x14ac:dyDescent="0.35">
      <c r="A821" s="43">
        <v>820</v>
      </c>
      <c r="B821" s="42">
        <v>5</v>
      </c>
      <c r="C821" s="42">
        <v>12</v>
      </c>
      <c r="D821" s="45" t="s">
        <v>2018</v>
      </c>
      <c r="E821" s="107"/>
    </row>
    <row r="822" spans="1:5" x14ac:dyDescent="0.35">
      <c r="A822" s="43">
        <v>821</v>
      </c>
      <c r="B822" s="42">
        <v>5</v>
      </c>
      <c r="C822" s="42">
        <v>12</v>
      </c>
      <c r="D822" s="45" t="s">
        <v>2019</v>
      </c>
      <c r="E822" s="107"/>
    </row>
    <row r="823" spans="1:5" x14ac:dyDescent="0.35">
      <c r="A823" s="43">
        <v>822</v>
      </c>
      <c r="B823" s="44">
        <v>5</v>
      </c>
      <c r="C823" s="44" t="s">
        <v>2021</v>
      </c>
      <c r="D823" s="43" t="s">
        <v>2020</v>
      </c>
      <c r="E823" s="107"/>
    </row>
    <row r="824" spans="1:5" x14ac:dyDescent="0.35">
      <c r="A824" s="43">
        <v>823</v>
      </c>
      <c r="B824" s="44">
        <v>5</v>
      </c>
      <c r="C824" s="44" t="s">
        <v>2023</v>
      </c>
      <c r="D824" s="43" t="s">
        <v>2022</v>
      </c>
      <c r="E824" s="107"/>
    </row>
    <row r="825" spans="1:5" x14ac:dyDescent="0.35">
      <c r="A825" s="43">
        <v>824</v>
      </c>
      <c r="B825" s="44">
        <v>5</v>
      </c>
      <c r="C825" s="44" t="s">
        <v>2025</v>
      </c>
      <c r="D825" s="43" t="s">
        <v>2024</v>
      </c>
      <c r="E825" s="107"/>
    </row>
    <row r="826" spans="1:5" x14ac:dyDescent="0.35">
      <c r="A826" s="43">
        <v>825</v>
      </c>
      <c r="B826" s="44">
        <v>5</v>
      </c>
      <c r="C826" s="44" t="s">
        <v>1320</v>
      </c>
      <c r="D826" s="43" t="s">
        <v>2026</v>
      </c>
      <c r="E826" s="107"/>
    </row>
    <row r="827" spans="1:5" x14ac:dyDescent="0.35">
      <c r="A827" s="43">
        <v>826</v>
      </c>
      <c r="B827" s="44">
        <v>5</v>
      </c>
      <c r="C827" s="44" t="s">
        <v>2028</v>
      </c>
      <c r="D827" s="43" t="s">
        <v>2027</v>
      </c>
      <c r="E827" s="107"/>
    </row>
    <row r="828" spans="1:5" x14ac:dyDescent="0.35">
      <c r="A828" s="43">
        <v>827</v>
      </c>
      <c r="B828" s="44">
        <v>5</v>
      </c>
      <c r="C828" s="44" t="s">
        <v>2030</v>
      </c>
      <c r="D828" s="43" t="s">
        <v>2029</v>
      </c>
      <c r="E828" s="107"/>
    </row>
    <row r="829" spans="1:5" x14ac:dyDescent="0.35">
      <c r="A829" s="43">
        <v>828</v>
      </c>
      <c r="B829" s="44">
        <v>5</v>
      </c>
      <c r="C829" s="44" t="s">
        <v>2032</v>
      </c>
      <c r="D829" s="43" t="s">
        <v>2031</v>
      </c>
      <c r="E829" s="107"/>
    </row>
    <row r="830" spans="1:5" x14ac:dyDescent="0.35">
      <c r="A830" s="43">
        <v>829</v>
      </c>
      <c r="B830" s="44">
        <v>5</v>
      </c>
      <c r="C830" s="44" t="s">
        <v>2034</v>
      </c>
      <c r="D830" s="43" t="s">
        <v>2033</v>
      </c>
      <c r="E830" s="107"/>
    </row>
    <row r="831" spans="1:5" x14ac:dyDescent="0.35">
      <c r="A831" s="43">
        <v>830</v>
      </c>
      <c r="B831" s="44">
        <v>5</v>
      </c>
      <c r="C831" s="44" t="s">
        <v>2036</v>
      </c>
      <c r="D831" s="43" t="s">
        <v>2035</v>
      </c>
      <c r="E831" s="107"/>
    </row>
    <row r="832" spans="1:5" x14ac:dyDescent="0.35">
      <c r="A832" s="43">
        <v>831</v>
      </c>
      <c r="B832" s="44">
        <v>5</v>
      </c>
      <c r="C832" s="44" t="s">
        <v>126</v>
      </c>
      <c r="D832" s="43" t="s">
        <v>2037</v>
      </c>
      <c r="E832" s="107"/>
    </row>
    <row r="833" spans="1:5" x14ac:dyDescent="0.35">
      <c r="A833" s="43">
        <v>832</v>
      </c>
      <c r="B833" s="44">
        <v>5</v>
      </c>
      <c r="C833" s="44" t="s">
        <v>2039</v>
      </c>
      <c r="D833" s="43" t="s">
        <v>2038</v>
      </c>
      <c r="E833" s="107"/>
    </row>
    <row r="834" spans="1:5" x14ac:dyDescent="0.35">
      <c r="A834" s="43">
        <v>833</v>
      </c>
      <c r="B834" s="44">
        <v>5</v>
      </c>
      <c r="C834" s="44" t="s">
        <v>2041</v>
      </c>
      <c r="D834" s="43" t="s">
        <v>2040</v>
      </c>
      <c r="E834" s="107"/>
    </row>
    <row r="835" spans="1:5" x14ac:dyDescent="0.35">
      <c r="A835" s="43">
        <v>834</v>
      </c>
      <c r="B835" s="44">
        <v>5</v>
      </c>
      <c r="C835" s="44" t="s">
        <v>2043</v>
      </c>
      <c r="D835" s="43" t="s">
        <v>2042</v>
      </c>
      <c r="E835" s="107"/>
    </row>
    <row r="836" spans="1:5" x14ac:dyDescent="0.35">
      <c r="A836" s="43">
        <v>835</v>
      </c>
      <c r="B836" s="44">
        <v>5</v>
      </c>
      <c r="C836" s="44" t="s">
        <v>2045</v>
      </c>
      <c r="D836" s="43" t="s">
        <v>2044</v>
      </c>
      <c r="E836" s="107"/>
    </row>
    <row r="837" spans="1:5" x14ac:dyDescent="0.35">
      <c r="A837" s="43">
        <v>836</v>
      </c>
      <c r="B837" s="44">
        <v>5</v>
      </c>
      <c r="C837" s="44" t="s">
        <v>2047</v>
      </c>
      <c r="D837" s="43" t="s">
        <v>2046</v>
      </c>
      <c r="E837" s="107"/>
    </row>
    <row r="838" spans="1:5" x14ac:dyDescent="0.35">
      <c r="A838" s="43">
        <v>837</v>
      </c>
      <c r="B838" s="44">
        <v>5</v>
      </c>
      <c r="C838" s="44" t="s">
        <v>2049</v>
      </c>
      <c r="D838" s="43" t="s">
        <v>2048</v>
      </c>
      <c r="E838" s="107"/>
    </row>
    <row r="839" spans="1:5" x14ac:dyDescent="0.35">
      <c r="A839" s="43">
        <v>838</v>
      </c>
      <c r="B839" s="44">
        <v>5</v>
      </c>
      <c r="C839" s="44" t="s">
        <v>2051</v>
      </c>
      <c r="D839" s="43" t="s">
        <v>2050</v>
      </c>
      <c r="E839" s="107"/>
    </row>
    <row r="840" spans="1:5" x14ac:dyDescent="0.35">
      <c r="A840" s="43">
        <v>839</v>
      </c>
      <c r="B840" s="44">
        <v>5</v>
      </c>
      <c r="C840" s="44" t="s">
        <v>2053</v>
      </c>
      <c r="D840" s="43" t="s">
        <v>2052</v>
      </c>
      <c r="E840" s="107"/>
    </row>
    <row r="841" spans="1:5" x14ac:dyDescent="0.35">
      <c r="A841" s="43">
        <v>840</v>
      </c>
      <c r="B841" s="44">
        <v>5</v>
      </c>
      <c r="C841" s="44" t="s">
        <v>1328</v>
      </c>
      <c r="D841" s="43" t="s">
        <v>2054</v>
      </c>
      <c r="E841" s="107"/>
    </row>
    <row r="842" spans="1:5" x14ac:dyDescent="0.35">
      <c r="A842" s="43">
        <v>841</v>
      </c>
      <c r="B842" s="44">
        <v>5</v>
      </c>
      <c r="C842" s="44" t="s">
        <v>2056</v>
      </c>
      <c r="D842" s="43" t="s">
        <v>2055</v>
      </c>
      <c r="E842" s="107"/>
    </row>
    <row r="843" spans="1:5" x14ac:dyDescent="0.35">
      <c r="A843" s="43">
        <v>842</v>
      </c>
      <c r="B843" s="44">
        <v>5</v>
      </c>
      <c r="C843" s="44" t="s">
        <v>2058</v>
      </c>
      <c r="D843" s="43" t="s">
        <v>2057</v>
      </c>
      <c r="E843" s="107"/>
    </row>
    <row r="844" spans="1:5" x14ac:dyDescent="0.35">
      <c r="A844" s="43">
        <v>843</v>
      </c>
      <c r="B844" s="44">
        <v>5</v>
      </c>
      <c r="C844" s="44" t="s">
        <v>2060</v>
      </c>
      <c r="D844" s="43" t="s">
        <v>2059</v>
      </c>
      <c r="E844" s="107"/>
    </row>
    <row r="845" spans="1:5" x14ac:dyDescent="0.35">
      <c r="A845" s="43">
        <v>844</v>
      </c>
      <c r="B845" s="44">
        <v>5</v>
      </c>
      <c r="C845" s="44" t="s">
        <v>2062</v>
      </c>
      <c r="D845" s="43" t="s">
        <v>2061</v>
      </c>
      <c r="E845" s="107"/>
    </row>
    <row r="846" spans="1:5" x14ac:dyDescent="0.35">
      <c r="A846" s="43">
        <v>845</v>
      </c>
      <c r="B846" s="44">
        <v>5</v>
      </c>
      <c r="C846" s="44" t="s">
        <v>2064</v>
      </c>
      <c r="D846" s="43" t="s">
        <v>2063</v>
      </c>
      <c r="E846" s="107"/>
    </row>
    <row r="847" spans="1:5" x14ac:dyDescent="0.35">
      <c r="A847" s="43">
        <v>846</v>
      </c>
      <c r="B847" s="44">
        <v>5</v>
      </c>
      <c r="C847" s="44" t="s">
        <v>2066</v>
      </c>
      <c r="D847" s="43" t="s">
        <v>2065</v>
      </c>
      <c r="E847" s="107"/>
    </row>
    <row r="848" spans="1:5" x14ac:dyDescent="0.35">
      <c r="A848" s="43">
        <v>847</v>
      </c>
      <c r="B848" s="44">
        <v>5</v>
      </c>
      <c r="C848" s="44" t="s">
        <v>2068</v>
      </c>
      <c r="D848" s="43" t="s">
        <v>2067</v>
      </c>
      <c r="E848" s="107"/>
    </row>
    <row r="849" spans="1:5" x14ac:dyDescent="0.35">
      <c r="A849" s="43">
        <v>848</v>
      </c>
      <c r="B849" s="44">
        <v>5</v>
      </c>
      <c r="C849" s="44" t="s">
        <v>2070</v>
      </c>
      <c r="D849" s="43" t="s">
        <v>2069</v>
      </c>
      <c r="E849" s="107"/>
    </row>
    <row r="850" spans="1:5" x14ac:dyDescent="0.35">
      <c r="A850" s="43">
        <v>849</v>
      </c>
      <c r="B850" s="44">
        <v>5</v>
      </c>
      <c r="C850" s="44" t="s">
        <v>1328</v>
      </c>
      <c r="D850" s="43" t="s">
        <v>2071</v>
      </c>
      <c r="E850" s="107"/>
    </row>
    <row r="851" spans="1:5" x14ac:dyDescent="0.35">
      <c r="A851" s="43">
        <v>850</v>
      </c>
      <c r="B851" s="44">
        <v>5</v>
      </c>
      <c r="C851" s="44" t="s">
        <v>1320</v>
      </c>
      <c r="D851" s="43" t="s">
        <v>2072</v>
      </c>
      <c r="E851" s="107"/>
    </row>
    <row r="852" spans="1:5" x14ac:dyDescent="0.35">
      <c r="A852" s="43">
        <v>851</v>
      </c>
      <c r="B852" s="44">
        <v>5</v>
      </c>
      <c r="C852" s="44" t="s">
        <v>2074</v>
      </c>
      <c r="D852" s="43" t="s">
        <v>2073</v>
      </c>
      <c r="E852" s="107"/>
    </row>
    <row r="853" spans="1:5" x14ac:dyDescent="0.35">
      <c r="A853" s="43">
        <v>852</v>
      </c>
      <c r="B853" s="44">
        <v>5</v>
      </c>
      <c r="C853" s="44" t="s">
        <v>2076</v>
      </c>
      <c r="D853" s="43" t="s">
        <v>2075</v>
      </c>
      <c r="E853" s="107"/>
    </row>
    <row r="854" spans="1:5" x14ac:dyDescent="0.35">
      <c r="A854" s="43">
        <v>853</v>
      </c>
      <c r="B854" s="44">
        <v>5</v>
      </c>
      <c r="C854" s="44" t="s">
        <v>2078</v>
      </c>
      <c r="D854" s="43" t="s">
        <v>2077</v>
      </c>
      <c r="E854" s="107"/>
    </row>
    <row r="855" spans="1:5" x14ac:dyDescent="0.35">
      <c r="A855" s="43">
        <v>854</v>
      </c>
      <c r="B855" s="44">
        <v>5</v>
      </c>
      <c r="C855" s="44" t="s">
        <v>2080</v>
      </c>
      <c r="D855" s="43" t="s">
        <v>2079</v>
      </c>
      <c r="E855" s="107"/>
    </row>
    <row r="856" spans="1:5" x14ac:dyDescent="0.35">
      <c r="A856" s="43">
        <v>855</v>
      </c>
      <c r="B856" s="44">
        <v>5</v>
      </c>
      <c r="C856" s="44" t="s">
        <v>2082</v>
      </c>
      <c r="D856" s="43" t="s">
        <v>2081</v>
      </c>
      <c r="E856" s="107"/>
    </row>
    <row r="857" spans="1:5" x14ac:dyDescent="0.35">
      <c r="A857" s="43">
        <v>856</v>
      </c>
      <c r="B857" s="44">
        <v>5</v>
      </c>
      <c r="C857" s="44" t="s">
        <v>2084</v>
      </c>
      <c r="D857" s="43" t="s">
        <v>2083</v>
      </c>
      <c r="E857" s="107"/>
    </row>
    <row r="858" spans="1:5" x14ac:dyDescent="0.35">
      <c r="A858" s="43">
        <v>857</v>
      </c>
      <c r="B858" s="44">
        <v>5</v>
      </c>
      <c r="C858" s="44" t="s">
        <v>2086</v>
      </c>
      <c r="D858" s="43" t="s">
        <v>2085</v>
      </c>
      <c r="E858" s="107"/>
    </row>
    <row r="859" spans="1:5" x14ac:dyDescent="0.35">
      <c r="A859" s="43">
        <v>858</v>
      </c>
      <c r="B859" s="44">
        <v>5</v>
      </c>
      <c r="C859" s="44" t="s">
        <v>2088</v>
      </c>
      <c r="D859" s="43" t="s">
        <v>2087</v>
      </c>
      <c r="E859" s="107"/>
    </row>
    <row r="860" spans="1:5" x14ac:dyDescent="0.35">
      <c r="A860" s="43">
        <v>859</v>
      </c>
      <c r="B860" s="44">
        <v>5</v>
      </c>
      <c r="C860" s="44" t="s">
        <v>2090</v>
      </c>
      <c r="D860" s="43" t="s">
        <v>2089</v>
      </c>
      <c r="E860" s="107"/>
    </row>
    <row r="861" spans="1:5" x14ac:dyDescent="0.35">
      <c r="A861" s="43">
        <v>860</v>
      </c>
      <c r="B861" s="44">
        <v>5</v>
      </c>
      <c r="C861" s="44" t="s">
        <v>2092</v>
      </c>
      <c r="D861" s="43" t="s">
        <v>2091</v>
      </c>
      <c r="E861" s="107"/>
    </row>
    <row r="862" spans="1:5" x14ac:dyDescent="0.35">
      <c r="A862" s="43">
        <v>861</v>
      </c>
      <c r="B862" s="44">
        <v>5</v>
      </c>
      <c r="C862" s="44" t="s">
        <v>1320</v>
      </c>
      <c r="D862" s="43" t="s">
        <v>2093</v>
      </c>
      <c r="E862" s="107"/>
    </row>
    <row r="863" spans="1:5" x14ac:dyDescent="0.35">
      <c r="A863" s="43">
        <v>862</v>
      </c>
      <c r="B863" s="44">
        <v>5</v>
      </c>
      <c r="C863" s="44" t="s">
        <v>2095</v>
      </c>
      <c r="D863" s="43" t="s">
        <v>2094</v>
      </c>
      <c r="E863" s="107"/>
    </row>
    <row r="864" spans="1:5" x14ac:dyDescent="0.35">
      <c r="A864" s="43">
        <v>863</v>
      </c>
      <c r="B864" s="44">
        <v>5</v>
      </c>
      <c r="C864" s="44" t="s">
        <v>2097</v>
      </c>
      <c r="D864" s="43" t="s">
        <v>2096</v>
      </c>
      <c r="E864" s="107"/>
    </row>
    <row r="865" spans="1:5" x14ac:dyDescent="0.35">
      <c r="A865" s="43">
        <v>864</v>
      </c>
      <c r="B865" s="44">
        <v>5</v>
      </c>
      <c r="C865" s="44" t="s">
        <v>2099</v>
      </c>
      <c r="D865" s="43" t="s">
        <v>2098</v>
      </c>
      <c r="E865" s="107"/>
    </row>
    <row r="866" spans="1:5" x14ac:dyDescent="0.35">
      <c r="A866" s="43">
        <v>865</v>
      </c>
      <c r="B866" s="44">
        <v>5</v>
      </c>
      <c r="C866" s="44" t="s">
        <v>2101</v>
      </c>
      <c r="D866" s="43" t="s">
        <v>2100</v>
      </c>
      <c r="E866" s="107"/>
    </row>
    <row r="867" spans="1:5" x14ac:dyDescent="0.35">
      <c r="A867" s="43">
        <v>866</v>
      </c>
      <c r="B867" s="44">
        <v>5</v>
      </c>
      <c r="C867" s="44" t="s">
        <v>2103</v>
      </c>
      <c r="D867" s="43" t="s">
        <v>2102</v>
      </c>
      <c r="E867" s="107"/>
    </row>
    <row r="868" spans="1:5" x14ac:dyDescent="0.35">
      <c r="A868" s="43">
        <v>867</v>
      </c>
      <c r="B868" s="44">
        <v>5</v>
      </c>
      <c r="C868" s="44" t="s">
        <v>2105</v>
      </c>
      <c r="D868" s="43" t="s">
        <v>2104</v>
      </c>
      <c r="E868" s="107"/>
    </row>
    <row r="869" spans="1:5" x14ac:dyDescent="0.35">
      <c r="A869" s="43">
        <v>868</v>
      </c>
      <c r="B869" s="44">
        <v>5</v>
      </c>
      <c r="C869" s="44" t="s">
        <v>2107</v>
      </c>
      <c r="D869" s="43" t="s">
        <v>2106</v>
      </c>
      <c r="E869" s="107"/>
    </row>
    <row r="870" spans="1:5" x14ac:dyDescent="0.35">
      <c r="A870" s="43">
        <v>869</v>
      </c>
      <c r="B870" s="44">
        <v>5</v>
      </c>
      <c r="C870" s="44" t="s">
        <v>2109</v>
      </c>
      <c r="D870" s="43" t="s">
        <v>2108</v>
      </c>
      <c r="E870" s="107"/>
    </row>
    <row r="871" spans="1:5" x14ac:dyDescent="0.35">
      <c r="A871" s="43">
        <v>870</v>
      </c>
      <c r="B871" s="44">
        <v>5</v>
      </c>
      <c r="C871" s="44" t="s">
        <v>2111</v>
      </c>
      <c r="D871" s="43" t="s">
        <v>2110</v>
      </c>
      <c r="E871" s="107"/>
    </row>
    <row r="872" spans="1:5" x14ac:dyDescent="0.35">
      <c r="A872" s="43">
        <v>871</v>
      </c>
      <c r="B872" s="44">
        <v>5</v>
      </c>
      <c r="C872" s="44" t="s">
        <v>2113</v>
      </c>
      <c r="D872" s="43" t="s">
        <v>2112</v>
      </c>
      <c r="E872" s="107"/>
    </row>
    <row r="873" spans="1:5" x14ac:dyDescent="0.35">
      <c r="A873" s="43">
        <v>872</v>
      </c>
      <c r="B873" s="42">
        <v>5</v>
      </c>
      <c r="C873" s="42" t="s">
        <v>2115</v>
      </c>
      <c r="D873" s="45" t="s">
        <v>2114</v>
      </c>
      <c r="E873" s="107"/>
    </row>
    <row r="874" spans="1:5" x14ac:dyDescent="0.35">
      <c r="A874" s="43">
        <v>873</v>
      </c>
      <c r="B874" s="42">
        <v>5</v>
      </c>
      <c r="C874" s="42" t="s">
        <v>2117</v>
      </c>
      <c r="D874" s="45" t="s">
        <v>2116</v>
      </c>
      <c r="E874" s="107"/>
    </row>
    <row r="875" spans="1:5" x14ac:dyDescent="0.35">
      <c r="A875" s="43">
        <v>874</v>
      </c>
      <c r="B875" s="42">
        <v>6</v>
      </c>
      <c r="C875" s="42">
        <v>1</v>
      </c>
      <c r="D875" s="45" t="s">
        <v>2118</v>
      </c>
      <c r="E875" s="107"/>
    </row>
    <row r="876" spans="1:5" x14ac:dyDescent="0.35">
      <c r="A876" s="43">
        <v>875</v>
      </c>
      <c r="B876" s="42">
        <v>6</v>
      </c>
      <c r="C876" s="42">
        <v>1</v>
      </c>
      <c r="D876" s="45" t="s">
        <v>1785</v>
      </c>
      <c r="E876" s="107"/>
    </row>
    <row r="877" spans="1:5" x14ac:dyDescent="0.35">
      <c r="A877" s="43">
        <v>876</v>
      </c>
      <c r="B877" s="42">
        <v>6</v>
      </c>
      <c r="C877" s="42">
        <v>1</v>
      </c>
      <c r="D877" s="45" t="s">
        <v>2119</v>
      </c>
      <c r="E877" s="107"/>
    </row>
    <row r="878" spans="1:5" x14ac:dyDescent="0.35">
      <c r="A878" s="43">
        <v>877</v>
      </c>
      <c r="B878" s="42">
        <v>6</v>
      </c>
      <c r="C878" s="42">
        <v>1</v>
      </c>
      <c r="D878" s="45" t="s">
        <v>2120</v>
      </c>
      <c r="E878" s="107"/>
    </row>
    <row r="879" spans="1:5" x14ac:dyDescent="0.35">
      <c r="A879" s="43">
        <v>878</v>
      </c>
      <c r="B879" s="42">
        <v>6</v>
      </c>
      <c r="C879" s="42">
        <v>1</v>
      </c>
      <c r="D879" s="45" t="s">
        <v>2121</v>
      </c>
      <c r="E879" s="107"/>
    </row>
    <row r="880" spans="1:5" x14ac:dyDescent="0.35">
      <c r="A880" s="43">
        <v>879</v>
      </c>
      <c r="B880" s="42">
        <v>6</v>
      </c>
      <c r="C880" s="42">
        <v>1</v>
      </c>
      <c r="D880" s="45" t="s">
        <v>2122</v>
      </c>
      <c r="E880" s="107"/>
    </row>
    <row r="881" spans="1:5" x14ac:dyDescent="0.35">
      <c r="A881" s="43">
        <v>880</v>
      </c>
      <c r="B881" s="42">
        <v>6</v>
      </c>
      <c r="C881" s="42">
        <v>2</v>
      </c>
      <c r="D881" s="45" t="s">
        <v>2123</v>
      </c>
      <c r="E881" s="107"/>
    </row>
    <row r="882" spans="1:5" x14ac:dyDescent="0.35">
      <c r="A882" s="43">
        <v>881</v>
      </c>
      <c r="B882" s="42">
        <v>6</v>
      </c>
      <c r="C882" s="42">
        <v>2</v>
      </c>
      <c r="D882" s="45" t="s">
        <v>1451</v>
      </c>
      <c r="E882" s="107"/>
    </row>
    <row r="883" spans="1:5" x14ac:dyDescent="0.35">
      <c r="A883" s="43">
        <v>882</v>
      </c>
      <c r="B883" s="42">
        <v>6</v>
      </c>
      <c r="C883" s="42">
        <v>2</v>
      </c>
      <c r="D883" s="45" t="s">
        <v>2124</v>
      </c>
      <c r="E883" s="107"/>
    </row>
    <row r="884" spans="1:5" x14ac:dyDescent="0.35">
      <c r="A884" s="43">
        <v>883</v>
      </c>
      <c r="B884" s="42">
        <v>6</v>
      </c>
      <c r="C884" s="42">
        <v>2</v>
      </c>
      <c r="D884" s="45" t="s">
        <v>2125</v>
      </c>
      <c r="E884" s="107"/>
    </row>
    <row r="885" spans="1:5" x14ac:dyDescent="0.35">
      <c r="A885" s="43">
        <v>884</v>
      </c>
      <c r="B885" s="42">
        <v>6</v>
      </c>
      <c r="C885" s="42">
        <v>3</v>
      </c>
      <c r="D885" s="45" t="s">
        <v>2126</v>
      </c>
      <c r="E885" s="107"/>
    </row>
    <row r="886" spans="1:5" x14ac:dyDescent="0.35">
      <c r="A886" s="43">
        <v>885</v>
      </c>
      <c r="B886" s="42">
        <v>6</v>
      </c>
      <c r="C886" s="42">
        <v>3</v>
      </c>
      <c r="D886" s="45" t="s">
        <v>2127</v>
      </c>
      <c r="E886" s="107"/>
    </row>
    <row r="887" spans="1:5" x14ac:dyDescent="0.35">
      <c r="A887" s="43">
        <v>886</v>
      </c>
      <c r="B887" s="42">
        <v>6</v>
      </c>
      <c r="C887" s="42">
        <v>3</v>
      </c>
      <c r="D887" s="45" t="s">
        <v>2128</v>
      </c>
      <c r="E887" s="107"/>
    </row>
    <row r="888" spans="1:5" x14ac:dyDescent="0.35">
      <c r="A888" s="43">
        <v>887</v>
      </c>
      <c r="B888" s="42">
        <v>6</v>
      </c>
      <c r="C888" s="42">
        <v>4</v>
      </c>
      <c r="D888" s="45" t="s">
        <v>2129</v>
      </c>
      <c r="E888" s="107"/>
    </row>
    <row r="889" spans="1:5" x14ac:dyDescent="0.35">
      <c r="A889" s="43">
        <v>888</v>
      </c>
      <c r="B889" s="42">
        <v>6</v>
      </c>
      <c r="C889" s="42">
        <v>4</v>
      </c>
      <c r="D889" s="45" t="s">
        <v>2130</v>
      </c>
      <c r="E889" s="107"/>
    </row>
    <row r="890" spans="1:5" x14ac:dyDescent="0.35">
      <c r="A890" s="43">
        <v>889</v>
      </c>
      <c r="B890" s="42">
        <v>6</v>
      </c>
      <c r="C890" s="42">
        <v>4</v>
      </c>
      <c r="D890" s="45" t="s">
        <v>2131</v>
      </c>
      <c r="E890" s="107"/>
    </row>
    <row r="891" spans="1:5" x14ac:dyDescent="0.35">
      <c r="A891" s="43">
        <v>890</v>
      </c>
      <c r="B891" s="42">
        <v>6</v>
      </c>
      <c r="C891" s="42">
        <v>5</v>
      </c>
      <c r="D891" s="45" t="s">
        <v>2132</v>
      </c>
      <c r="E891" s="107"/>
    </row>
    <row r="892" spans="1:5" x14ac:dyDescent="0.35">
      <c r="A892" s="43">
        <v>891</v>
      </c>
      <c r="B892" s="42">
        <v>6</v>
      </c>
      <c r="C892" s="42">
        <v>5</v>
      </c>
      <c r="D892" s="45" t="s">
        <v>2133</v>
      </c>
      <c r="E892" s="107"/>
    </row>
    <row r="893" spans="1:5" x14ac:dyDescent="0.35">
      <c r="A893" s="43">
        <v>892</v>
      </c>
      <c r="B893" s="42">
        <v>6</v>
      </c>
      <c r="C893" s="42">
        <v>5</v>
      </c>
      <c r="D893" s="45" t="s">
        <v>2134</v>
      </c>
      <c r="E893" s="107"/>
    </row>
    <row r="894" spans="1:5" x14ac:dyDescent="0.35">
      <c r="A894" s="43">
        <v>893</v>
      </c>
      <c r="B894" s="42">
        <v>6</v>
      </c>
      <c r="C894" s="42">
        <v>5</v>
      </c>
      <c r="D894" s="45" t="s">
        <v>2135</v>
      </c>
      <c r="E894" s="107"/>
    </row>
    <row r="895" spans="1:5" x14ac:dyDescent="0.35">
      <c r="A895" s="43">
        <v>894</v>
      </c>
      <c r="B895" s="42">
        <v>6</v>
      </c>
      <c r="C895" s="42">
        <v>6</v>
      </c>
      <c r="D895" s="45" t="s">
        <v>2136</v>
      </c>
      <c r="E895" s="107"/>
    </row>
    <row r="896" spans="1:5" x14ac:dyDescent="0.35">
      <c r="A896" s="43">
        <v>895</v>
      </c>
      <c r="B896" s="42">
        <v>6</v>
      </c>
      <c r="C896" s="42">
        <v>6</v>
      </c>
      <c r="D896" s="45" t="s">
        <v>2137</v>
      </c>
      <c r="E896" s="107"/>
    </row>
    <row r="897" spans="1:5" x14ac:dyDescent="0.35">
      <c r="A897" s="43">
        <v>896</v>
      </c>
      <c r="B897" s="42">
        <v>6</v>
      </c>
      <c r="C897" s="42">
        <v>6</v>
      </c>
      <c r="D897" s="45" t="s">
        <v>2138</v>
      </c>
      <c r="E897" s="107"/>
    </row>
    <row r="898" spans="1:5" x14ac:dyDescent="0.35">
      <c r="A898" s="43">
        <v>897</v>
      </c>
      <c r="B898" s="42">
        <v>6</v>
      </c>
      <c r="C898" s="42">
        <v>6</v>
      </c>
      <c r="D898" s="45" t="s">
        <v>2139</v>
      </c>
      <c r="E898" s="107"/>
    </row>
    <row r="899" spans="1:5" x14ac:dyDescent="0.35">
      <c r="A899" s="43">
        <v>898</v>
      </c>
      <c r="B899" s="42">
        <v>6</v>
      </c>
      <c r="C899" s="42">
        <v>6</v>
      </c>
      <c r="D899" s="45" t="s">
        <v>2140</v>
      </c>
      <c r="E899" s="107"/>
    </row>
    <row r="900" spans="1:5" x14ac:dyDescent="0.35">
      <c r="A900" s="43">
        <v>899</v>
      </c>
      <c r="B900" s="42">
        <v>6</v>
      </c>
      <c r="C900" s="42">
        <v>7</v>
      </c>
      <c r="D900" s="45" t="s">
        <v>2141</v>
      </c>
      <c r="E900" s="107"/>
    </row>
    <row r="901" spans="1:5" x14ac:dyDescent="0.35">
      <c r="A901" s="43">
        <v>900</v>
      </c>
      <c r="B901" s="42">
        <v>6</v>
      </c>
      <c r="C901" s="42">
        <v>7</v>
      </c>
      <c r="D901" s="45" t="s">
        <v>2142</v>
      </c>
      <c r="E901" s="107"/>
    </row>
    <row r="902" spans="1:5" x14ac:dyDescent="0.35">
      <c r="A902" s="43">
        <v>901</v>
      </c>
      <c r="B902" s="42">
        <v>6</v>
      </c>
      <c r="C902" s="42">
        <v>7</v>
      </c>
      <c r="D902" s="45" t="s">
        <v>2143</v>
      </c>
      <c r="E902" s="107"/>
    </row>
    <row r="903" spans="1:5" x14ac:dyDescent="0.35">
      <c r="A903" s="43">
        <v>902</v>
      </c>
      <c r="B903" s="42">
        <v>6</v>
      </c>
      <c r="C903" s="42">
        <v>7</v>
      </c>
      <c r="D903" s="45" t="s">
        <v>2144</v>
      </c>
      <c r="E903" s="107"/>
    </row>
    <row r="904" spans="1:5" x14ac:dyDescent="0.35">
      <c r="A904" s="43">
        <v>903</v>
      </c>
      <c r="B904" s="42">
        <v>6</v>
      </c>
      <c r="C904" s="42">
        <v>7</v>
      </c>
      <c r="D904" s="45" t="s">
        <v>2145</v>
      </c>
      <c r="E904" s="107"/>
    </row>
    <row r="905" spans="1:5" x14ac:dyDescent="0.35">
      <c r="A905" s="43">
        <v>904</v>
      </c>
      <c r="B905" s="42">
        <v>6</v>
      </c>
      <c r="C905" s="42">
        <v>8</v>
      </c>
      <c r="D905" s="45" t="s">
        <v>2146</v>
      </c>
      <c r="E905" s="107"/>
    </row>
    <row r="906" spans="1:5" x14ac:dyDescent="0.35">
      <c r="A906" s="43">
        <v>905</v>
      </c>
      <c r="B906" s="42">
        <v>6</v>
      </c>
      <c r="C906" s="42">
        <v>8</v>
      </c>
      <c r="D906" s="45" t="s">
        <v>2147</v>
      </c>
      <c r="E906" s="107"/>
    </row>
    <row r="907" spans="1:5" x14ac:dyDescent="0.35">
      <c r="A907" s="43">
        <v>906</v>
      </c>
      <c r="B907" s="42">
        <v>6</v>
      </c>
      <c r="C907" s="42">
        <v>8</v>
      </c>
      <c r="D907" s="45" t="s">
        <v>2148</v>
      </c>
      <c r="E907" s="107"/>
    </row>
    <row r="908" spans="1:5" x14ac:dyDescent="0.35">
      <c r="A908" s="43">
        <v>907</v>
      </c>
      <c r="B908" s="42">
        <v>6</v>
      </c>
      <c r="C908" s="42">
        <v>8</v>
      </c>
      <c r="D908" s="45" t="s">
        <v>2149</v>
      </c>
      <c r="E908" s="107"/>
    </row>
    <row r="909" spans="1:5" x14ac:dyDescent="0.35">
      <c r="A909" s="43">
        <v>908</v>
      </c>
      <c r="B909" s="42">
        <v>6</v>
      </c>
      <c r="C909" s="42">
        <v>9</v>
      </c>
      <c r="D909" s="45" t="s">
        <v>2150</v>
      </c>
      <c r="E909" s="107"/>
    </row>
    <row r="910" spans="1:5" x14ac:dyDescent="0.35">
      <c r="A910" s="43">
        <v>909</v>
      </c>
      <c r="B910" s="42">
        <v>6</v>
      </c>
      <c r="C910" s="42">
        <v>9</v>
      </c>
      <c r="D910" s="45" t="s">
        <v>2151</v>
      </c>
      <c r="E910" s="107"/>
    </row>
    <row r="911" spans="1:5" x14ac:dyDescent="0.35">
      <c r="A911" s="43">
        <v>910</v>
      </c>
      <c r="B911" s="42">
        <v>6</v>
      </c>
      <c r="C911" s="42">
        <v>9</v>
      </c>
      <c r="D911" s="45" t="s">
        <v>2152</v>
      </c>
      <c r="E911" s="107"/>
    </row>
    <row r="912" spans="1:5" x14ac:dyDescent="0.35">
      <c r="A912" s="43">
        <v>911</v>
      </c>
      <c r="B912" s="42">
        <v>6</v>
      </c>
      <c r="C912" s="42">
        <v>9</v>
      </c>
      <c r="D912" s="45" t="s">
        <v>2153</v>
      </c>
      <c r="E912" s="107"/>
    </row>
    <row r="913" spans="1:5" x14ac:dyDescent="0.35">
      <c r="A913" s="43">
        <v>912</v>
      </c>
      <c r="B913" s="42">
        <v>6</v>
      </c>
      <c r="C913" s="42">
        <v>9</v>
      </c>
      <c r="D913" s="45" t="s">
        <v>2154</v>
      </c>
      <c r="E913" s="107"/>
    </row>
    <row r="914" spans="1:5" x14ac:dyDescent="0.35">
      <c r="A914" s="43">
        <v>913</v>
      </c>
      <c r="B914" s="42">
        <v>6</v>
      </c>
      <c r="C914" s="42">
        <v>9</v>
      </c>
      <c r="D914" s="45" t="s">
        <v>2155</v>
      </c>
      <c r="E914" s="107"/>
    </row>
    <row r="915" spans="1:5" x14ac:dyDescent="0.35">
      <c r="A915" s="43">
        <v>914</v>
      </c>
      <c r="B915" s="42">
        <v>6</v>
      </c>
      <c r="C915" s="42">
        <v>10</v>
      </c>
      <c r="D915" s="45" t="s">
        <v>2156</v>
      </c>
      <c r="E915" s="107"/>
    </row>
    <row r="916" spans="1:5" x14ac:dyDescent="0.35">
      <c r="A916" s="43">
        <v>915</v>
      </c>
      <c r="B916" s="42">
        <v>6</v>
      </c>
      <c r="C916" s="42">
        <v>10</v>
      </c>
      <c r="D916" s="45" t="s">
        <v>2157</v>
      </c>
      <c r="E916" s="107"/>
    </row>
    <row r="917" spans="1:5" x14ac:dyDescent="0.35">
      <c r="A917" s="43">
        <v>916</v>
      </c>
      <c r="B917" s="42">
        <v>6</v>
      </c>
      <c r="C917" s="42">
        <v>10</v>
      </c>
      <c r="D917" s="45" t="s">
        <v>2158</v>
      </c>
      <c r="E917" s="107"/>
    </row>
    <row r="918" spans="1:5" x14ac:dyDescent="0.35">
      <c r="A918" s="43">
        <v>917</v>
      </c>
      <c r="B918" s="42">
        <v>6</v>
      </c>
      <c r="C918" s="42">
        <v>10</v>
      </c>
      <c r="D918" s="45" t="s">
        <v>2159</v>
      </c>
      <c r="E918" s="107"/>
    </row>
    <row r="919" spans="1:5" x14ac:dyDescent="0.35">
      <c r="A919" s="43">
        <v>918</v>
      </c>
      <c r="B919" s="42">
        <v>6</v>
      </c>
      <c r="C919" s="42">
        <v>10</v>
      </c>
      <c r="D919" s="45" t="s">
        <v>2160</v>
      </c>
      <c r="E919" s="107"/>
    </row>
    <row r="920" spans="1:5" x14ac:dyDescent="0.35">
      <c r="A920" s="43">
        <v>919</v>
      </c>
      <c r="B920" s="42">
        <v>6</v>
      </c>
      <c r="C920" s="42">
        <v>10</v>
      </c>
      <c r="D920" s="45" t="s">
        <v>2161</v>
      </c>
      <c r="E920" s="107"/>
    </row>
    <row r="921" spans="1:5" x14ac:dyDescent="0.35">
      <c r="A921" s="43">
        <v>920</v>
      </c>
      <c r="B921" s="42">
        <v>6</v>
      </c>
      <c r="C921" s="42">
        <v>10</v>
      </c>
      <c r="D921" s="45" t="s">
        <v>2162</v>
      </c>
      <c r="E921" s="107"/>
    </row>
    <row r="922" spans="1:5" x14ac:dyDescent="0.35">
      <c r="A922" s="43">
        <v>921</v>
      </c>
      <c r="B922" s="42">
        <v>6</v>
      </c>
      <c r="C922" s="42">
        <v>11</v>
      </c>
      <c r="D922" s="45" t="s">
        <v>2163</v>
      </c>
      <c r="E922" s="107"/>
    </row>
    <row r="923" spans="1:5" x14ac:dyDescent="0.35">
      <c r="A923" s="43">
        <v>922</v>
      </c>
      <c r="B923" s="42">
        <v>6</v>
      </c>
      <c r="C923" s="42">
        <v>11</v>
      </c>
      <c r="D923" s="45" t="s">
        <v>2164</v>
      </c>
      <c r="E923" s="107"/>
    </row>
    <row r="924" spans="1:5" x14ac:dyDescent="0.35">
      <c r="A924" s="43">
        <v>923</v>
      </c>
      <c r="B924" s="42">
        <v>6</v>
      </c>
      <c r="C924" s="42">
        <v>11</v>
      </c>
      <c r="D924" s="45" t="s">
        <v>2165</v>
      </c>
      <c r="E924" s="107"/>
    </row>
    <row r="925" spans="1:5" x14ac:dyDescent="0.35">
      <c r="A925" s="43">
        <v>924</v>
      </c>
      <c r="B925" s="42">
        <v>6</v>
      </c>
      <c r="C925" s="42">
        <v>11</v>
      </c>
      <c r="D925" s="45" t="s">
        <v>2166</v>
      </c>
      <c r="E925" s="107"/>
    </row>
    <row r="926" spans="1:5" x14ac:dyDescent="0.35">
      <c r="A926" s="43">
        <v>925</v>
      </c>
      <c r="B926" s="42">
        <v>6</v>
      </c>
      <c r="C926" s="42">
        <v>11</v>
      </c>
      <c r="D926" s="45" t="s">
        <v>2167</v>
      </c>
      <c r="E926" s="107"/>
    </row>
    <row r="927" spans="1:5" x14ac:dyDescent="0.35">
      <c r="A927" s="43">
        <v>926</v>
      </c>
      <c r="B927" s="42">
        <v>6</v>
      </c>
      <c r="C927" s="42">
        <v>12</v>
      </c>
      <c r="D927" s="45" t="s">
        <v>2168</v>
      </c>
      <c r="E927" s="107"/>
    </row>
    <row r="928" spans="1:5" x14ac:dyDescent="0.35">
      <c r="A928" s="43">
        <v>927</v>
      </c>
      <c r="B928" s="42">
        <v>6</v>
      </c>
      <c r="C928" s="42">
        <v>12</v>
      </c>
      <c r="D928" s="45" t="s">
        <v>2169</v>
      </c>
      <c r="E928" s="107"/>
    </row>
    <row r="929" spans="1:5" x14ac:dyDescent="0.35">
      <c r="A929" s="43">
        <v>928</v>
      </c>
      <c r="B929" s="42">
        <v>6</v>
      </c>
      <c r="C929" s="42">
        <v>12</v>
      </c>
      <c r="D929" s="45" t="s">
        <v>2170</v>
      </c>
      <c r="E929" s="107"/>
    </row>
    <row r="930" spans="1:5" x14ac:dyDescent="0.35">
      <c r="A930" s="43">
        <v>929</v>
      </c>
      <c r="B930" s="42">
        <v>6</v>
      </c>
      <c r="C930" s="42">
        <v>12</v>
      </c>
      <c r="D930" s="45" t="s">
        <v>2171</v>
      </c>
      <c r="E930" s="107"/>
    </row>
    <row r="931" spans="1:5" x14ac:dyDescent="0.35">
      <c r="A931" s="43">
        <v>930</v>
      </c>
      <c r="B931" s="42">
        <v>6</v>
      </c>
      <c r="C931" s="42">
        <v>12</v>
      </c>
      <c r="D931" s="45" t="s">
        <v>2172</v>
      </c>
      <c r="E931" s="107"/>
    </row>
    <row r="932" spans="1:5" x14ac:dyDescent="0.35">
      <c r="A932" s="43">
        <v>931</v>
      </c>
      <c r="B932" s="42">
        <v>6</v>
      </c>
      <c r="C932" s="42">
        <v>12</v>
      </c>
      <c r="D932" s="45" t="s">
        <v>2173</v>
      </c>
      <c r="E932" s="107"/>
    </row>
    <row r="933" spans="1:5" x14ac:dyDescent="0.35">
      <c r="A933" s="43">
        <v>932</v>
      </c>
      <c r="B933" s="44">
        <v>6</v>
      </c>
      <c r="C933" s="44" t="s">
        <v>2175</v>
      </c>
      <c r="D933" s="43" t="s">
        <v>2174</v>
      </c>
      <c r="E933" s="107"/>
    </row>
    <row r="934" spans="1:5" x14ac:dyDescent="0.35">
      <c r="A934" s="43">
        <v>933</v>
      </c>
      <c r="B934" s="44">
        <v>6</v>
      </c>
      <c r="C934" s="44" t="s">
        <v>2177</v>
      </c>
      <c r="D934" s="43" t="s">
        <v>2176</v>
      </c>
      <c r="E934" s="107"/>
    </row>
    <row r="935" spans="1:5" x14ac:dyDescent="0.35">
      <c r="A935" s="43">
        <v>934</v>
      </c>
      <c r="B935" s="44">
        <v>6</v>
      </c>
      <c r="C935" s="44" t="s">
        <v>1353</v>
      </c>
      <c r="D935" s="43" t="s">
        <v>2178</v>
      </c>
      <c r="E935" s="107"/>
    </row>
    <row r="936" spans="1:5" x14ac:dyDescent="0.35">
      <c r="A936" s="43">
        <v>935</v>
      </c>
      <c r="B936" s="44">
        <v>6</v>
      </c>
      <c r="C936" s="44" t="s">
        <v>1353</v>
      </c>
      <c r="D936" s="43" t="s">
        <v>2179</v>
      </c>
      <c r="E936" s="107"/>
    </row>
    <row r="937" spans="1:5" x14ac:dyDescent="0.35">
      <c r="A937" s="43">
        <v>936</v>
      </c>
      <c r="B937" s="44">
        <v>6</v>
      </c>
      <c r="C937" s="44" t="s">
        <v>2181</v>
      </c>
      <c r="D937" s="43" t="s">
        <v>2180</v>
      </c>
      <c r="E937" s="107"/>
    </row>
    <row r="938" spans="1:5" x14ac:dyDescent="0.35">
      <c r="A938" s="43">
        <v>937</v>
      </c>
      <c r="B938" s="44">
        <v>6</v>
      </c>
      <c r="C938" s="44" t="s">
        <v>2183</v>
      </c>
      <c r="D938" s="43" t="s">
        <v>2182</v>
      </c>
      <c r="E938" s="107"/>
    </row>
    <row r="939" spans="1:5" x14ac:dyDescent="0.35">
      <c r="A939" s="43">
        <v>938</v>
      </c>
      <c r="B939" s="44">
        <v>6</v>
      </c>
      <c r="C939" s="44" t="s">
        <v>129</v>
      </c>
      <c r="D939" s="43" t="s">
        <v>2184</v>
      </c>
      <c r="E939" s="107"/>
    </row>
    <row r="940" spans="1:5" x14ac:dyDescent="0.35">
      <c r="A940" s="43">
        <v>939</v>
      </c>
      <c r="B940" s="44">
        <v>6</v>
      </c>
      <c r="C940" s="44" t="s">
        <v>126</v>
      </c>
      <c r="D940" s="43" t="s">
        <v>2185</v>
      </c>
      <c r="E940" s="107"/>
    </row>
    <row r="941" spans="1:5" x14ac:dyDescent="0.35">
      <c r="A941" s="43">
        <v>940</v>
      </c>
      <c r="B941" s="44">
        <v>6</v>
      </c>
      <c r="C941" s="44" t="s">
        <v>2187</v>
      </c>
      <c r="D941" s="43" t="s">
        <v>2186</v>
      </c>
      <c r="E941" s="107"/>
    </row>
    <row r="942" spans="1:5" x14ac:dyDescent="0.35">
      <c r="A942" s="43">
        <v>941</v>
      </c>
      <c r="B942" s="44">
        <v>6</v>
      </c>
      <c r="C942" s="44" t="s">
        <v>2189</v>
      </c>
      <c r="D942" s="43" t="s">
        <v>2188</v>
      </c>
      <c r="E942" s="107"/>
    </row>
    <row r="943" spans="1:5" x14ac:dyDescent="0.35">
      <c r="A943" s="43">
        <v>942</v>
      </c>
      <c r="B943" s="44">
        <v>6</v>
      </c>
      <c r="C943" s="44" t="s">
        <v>2191</v>
      </c>
      <c r="D943" s="43" t="s">
        <v>2190</v>
      </c>
      <c r="E943" s="107"/>
    </row>
    <row r="944" spans="1:5" x14ac:dyDescent="0.35">
      <c r="A944" s="43">
        <v>943</v>
      </c>
      <c r="B944" s="44">
        <v>6</v>
      </c>
      <c r="C944" s="44" t="s">
        <v>2193</v>
      </c>
      <c r="D944" s="43" t="s">
        <v>2192</v>
      </c>
      <c r="E944" s="107"/>
    </row>
    <row r="945" spans="1:5" x14ac:dyDescent="0.35">
      <c r="A945" s="43">
        <v>944</v>
      </c>
      <c r="B945" s="44">
        <v>6</v>
      </c>
      <c r="C945" s="44" t="s">
        <v>1234</v>
      </c>
      <c r="D945" s="43" t="s">
        <v>2194</v>
      </c>
      <c r="E945" s="107"/>
    </row>
    <row r="946" spans="1:5" x14ac:dyDescent="0.35">
      <c r="A946" s="43">
        <v>945</v>
      </c>
      <c r="B946" s="44">
        <v>6</v>
      </c>
      <c r="C946" s="44" t="s">
        <v>2196</v>
      </c>
      <c r="D946" s="43" t="s">
        <v>2195</v>
      </c>
      <c r="E946" s="107"/>
    </row>
    <row r="947" spans="1:5" x14ac:dyDescent="0.35">
      <c r="A947" s="43">
        <v>946</v>
      </c>
      <c r="B947" s="44">
        <v>6</v>
      </c>
      <c r="C947" s="44">
        <v>8</v>
      </c>
      <c r="D947" s="43" t="s">
        <v>2197</v>
      </c>
      <c r="E947" s="107"/>
    </row>
    <row r="948" spans="1:5" x14ac:dyDescent="0.35">
      <c r="A948" s="43">
        <v>947</v>
      </c>
      <c r="B948" s="44">
        <v>6</v>
      </c>
      <c r="C948" s="44" t="s">
        <v>128</v>
      </c>
      <c r="D948" s="43" t="s">
        <v>2198</v>
      </c>
      <c r="E948" s="107"/>
    </row>
    <row r="949" spans="1:5" x14ac:dyDescent="0.35">
      <c r="A949" s="43">
        <v>948</v>
      </c>
      <c r="B949" s="44">
        <v>6</v>
      </c>
      <c r="C949" s="44" t="s">
        <v>1234</v>
      </c>
      <c r="D949" s="43" t="s">
        <v>2199</v>
      </c>
      <c r="E949" s="107"/>
    </row>
    <row r="950" spans="1:5" x14ac:dyDescent="0.35">
      <c r="A950" s="43">
        <v>949</v>
      </c>
      <c r="B950" s="44">
        <v>6</v>
      </c>
      <c r="C950" s="44" t="s">
        <v>2201</v>
      </c>
      <c r="D950" s="43" t="s">
        <v>2200</v>
      </c>
      <c r="E950" s="107"/>
    </row>
    <row r="951" spans="1:5" x14ac:dyDescent="0.35">
      <c r="A951" s="43">
        <v>950</v>
      </c>
      <c r="B951" s="44">
        <v>6</v>
      </c>
      <c r="C951" s="44" t="s">
        <v>2203</v>
      </c>
      <c r="D951" s="43" t="s">
        <v>2202</v>
      </c>
      <c r="E951" s="107"/>
    </row>
    <row r="952" spans="1:5" x14ac:dyDescent="0.35">
      <c r="A952" s="43">
        <v>951</v>
      </c>
      <c r="B952" s="44">
        <v>6</v>
      </c>
      <c r="C952" s="44" t="s">
        <v>2205</v>
      </c>
      <c r="D952" s="43" t="s">
        <v>2204</v>
      </c>
      <c r="E952" s="107"/>
    </row>
    <row r="953" spans="1:5" x14ac:dyDescent="0.35">
      <c r="A953" s="43">
        <v>952</v>
      </c>
      <c r="B953" s="44">
        <v>6</v>
      </c>
      <c r="C953" s="44" t="s">
        <v>2205</v>
      </c>
      <c r="D953" s="43" t="s">
        <v>2206</v>
      </c>
      <c r="E953" s="107"/>
    </row>
    <row r="954" spans="1:5" x14ac:dyDescent="0.35">
      <c r="A954" s="43">
        <v>953</v>
      </c>
      <c r="B954" s="44">
        <v>6</v>
      </c>
      <c r="C954" s="44" t="s">
        <v>2208</v>
      </c>
      <c r="D954" s="43" t="s">
        <v>2207</v>
      </c>
      <c r="E954" s="107"/>
    </row>
    <row r="955" spans="1:5" x14ac:dyDescent="0.35">
      <c r="A955" s="43">
        <v>954</v>
      </c>
      <c r="B955" s="44">
        <v>6</v>
      </c>
      <c r="C955" s="44" t="s">
        <v>2023</v>
      </c>
      <c r="D955" s="43" t="s">
        <v>2209</v>
      </c>
      <c r="E955" s="107"/>
    </row>
    <row r="956" spans="1:5" x14ac:dyDescent="0.35">
      <c r="A956" s="43">
        <v>955</v>
      </c>
      <c r="B956" s="44">
        <v>6</v>
      </c>
      <c r="C956" s="44" t="s">
        <v>1218</v>
      </c>
      <c r="D956" s="43" t="s">
        <v>2210</v>
      </c>
      <c r="E956" s="107"/>
    </row>
    <row r="957" spans="1:5" x14ac:dyDescent="0.35">
      <c r="A957" s="43">
        <v>956</v>
      </c>
      <c r="B957" s="44">
        <v>6</v>
      </c>
      <c r="C957" s="44" t="s">
        <v>1328</v>
      </c>
      <c r="D957" s="43" t="s">
        <v>2211</v>
      </c>
      <c r="E957" s="107"/>
    </row>
    <row r="958" spans="1:5" x14ac:dyDescent="0.35">
      <c r="A958" s="43">
        <v>957</v>
      </c>
      <c r="B958" s="44">
        <v>6</v>
      </c>
      <c r="C958" s="44" t="s">
        <v>2213</v>
      </c>
      <c r="D958" s="43" t="s">
        <v>2212</v>
      </c>
      <c r="E958" s="107"/>
    </row>
    <row r="959" spans="1:5" x14ac:dyDescent="0.35">
      <c r="A959" s="43">
        <v>958</v>
      </c>
      <c r="B959" s="44">
        <v>6</v>
      </c>
      <c r="C959" s="44" t="s">
        <v>126</v>
      </c>
      <c r="D959" s="43" t="s">
        <v>2214</v>
      </c>
      <c r="E959" s="107"/>
    </row>
    <row r="960" spans="1:5" x14ac:dyDescent="0.35">
      <c r="A960" s="43">
        <v>959</v>
      </c>
      <c r="B960" s="44">
        <v>6</v>
      </c>
      <c r="C960" s="44" t="s">
        <v>1317</v>
      </c>
      <c r="D960" s="43" t="s">
        <v>2215</v>
      </c>
      <c r="E960" s="107"/>
    </row>
    <row r="961" spans="1:5" x14ac:dyDescent="0.35">
      <c r="A961" s="43">
        <v>960</v>
      </c>
      <c r="B961" s="44">
        <v>6</v>
      </c>
      <c r="C961" s="44" t="s">
        <v>2217</v>
      </c>
      <c r="D961" s="43" t="s">
        <v>2216</v>
      </c>
      <c r="E961" s="107"/>
    </row>
    <row r="962" spans="1:5" x14ac:dyDescent="0.35">
      <c r="A962" s="43">
        <v>961</v>
      </c>
      <c r="B962" s="44">
        <v>6</v>
      </c>
      <c r="C962" s="44" t="s">
        <v>2219</v>
      </c>
      <c r="D962" s="43" t="s">
        <v>2218</v>
      </c>
      <c r="E962" s="107"/>
    </row>
    <row r="963" spans="1:5" x14ac:dyDescent="0.35">
      <c r="A963" s="43">
        <v>962</v>
      </c>
      <c r="B963" s="44">
        <v>6</v>
      </c>
      <c r="C963" s="44" t="s">
        <v>128</v>
      </c>
      <c r="D963" s="43" t="s">
        <v>2220</v>
      </c>
      <c r="E963" s="107"/>
    </row>
    <row r="964" spans="1:5" x14ac:dyDescent="0.35">
      <c r="A964" s="43">
        <v>963</v>
      </c>
      <c r="B964" s="44">
        <v>6</v>
      </c>
      <c r="C964" s="44" t="s">
        <v>2222</v>
      </c>
      <c r="D964" s="43" t="s">
        <v>2221</v>
      </c>
      <c r="E964" s="107"/>
    </row>
    <row r="965" spans="1:5" x14ac:dyDescent="0.35">
      <c r="A965" s="43">
        <v>964</v>
      </c>
      <c r="B965" s="44">
        <v>6</v>
      </c>
      <c r="C965" s="44" t="s">
        <v>2224</v>
      </c>
      <c r="D965" s="43" t="s">
        <v>2223</v>
      </c>
      <c r="E965" s="107"/>
    </row>
    <row r="966" spans="1:5" x14ac:dyDescent="0.35">
      <c r="A966" s="43">
        <v>965</v>
      </c>
      <c r="B966" s="44">
        <v>6</v>
      </c>
      <c r="C966" s="44" t="s">
        <v>2226</v>
      </c>
      <c r="D966" s="43" t="s">
        <v>2225</v>
      </c>
      <c r="E966" s="107"/>
    </row>
    <row r="967" spans="1:5" x14ac:dyDescent="0.35">
      <c r="A967" s="43">
        <v>966</v>
      </c>
      <c r="B967" s="44">
        <v>6</v>
      </c>
      <c r="C967" s="44" t="s">
        <v>2228</v>
      </c>
      <c r="D967" s="43" t="s">
        <v>2227</v>
      </c>
      <c r="E967" s="107"/>
    </row>
    <row r="968" spans="1:5" x14ac:dyDescent="0.35">
      <c r="A968" s="43">
        <v>967</v>
      </c>
      <c r="B968" s="44">
        <v>6</v>
      </c>
      <c r="C968" s="44" t="s">
        <v>2230</v>
      </c>
      <c r="D968" s="43" t="s">
        <v>2229</v>
      </c>
      <c r="E968" s="107"/>
    </row>
    <row r="969" spans="1:5" x14ac:dyDescent="0.35">
      <c r="A969" s="43">
        <v>968</v>
      </c>
      <c r="B969" s="44">
        <v>6</v>
      </c>
      <c r="C969" s="44" t="s">
        <v>2232</v>
      </c>
      <c r="D969" s="43" t="s">
        <v>2231</v>
      </c>
      <c r="E969" s="107"/>
    </row>
    <row r="970" spans="1:5" x14ac:dyDescent="0.35">
      <c r="A970" s="43">
        <v>969</v>
      </c>
      <c r="B970" s="44">
        <v>6</v>
      </c>
      <c r="C970" s="44" t="s">
        <v>2234</v>
      </c>
      <c r="D970" s="43" t="s">
        <v>2233</v>
      </c>
      <c r="E970" s="107"/>
    </row>
    <row r="971" spans="1:5" x14ac:dyDescent="0.35">
      <c r="A971" s="43">
        <v>970</v>
      </c>
      <c r="B971" s="42">
        <v>7</v>
      </c>
      <c r="C971" s="42">
        <v>1</v>
      </c>
      <c r="D971" s="45" t="s">
        <v>2235</v>
      </c>
      <c r="E971" s="107"/>
    </row>
    <row r="972" spans="1:5" x14ac:dyDescent="0.35">
      <c r="A972" s="43">
        <v>971</v>
      </c>
      <c r="B972" s="42">
        <v>7</v>
      </c>
      <c r="C972" s="42">
        <v>1</v>
      </c>
      <c r="D972" s="45" t="s">
        <v>2236</v>
      </c>
      <c r="E972" s="107"/>
    </row>
    <row r="973" spans="1:5" x14ac:dyDescent="0.35">
      <c r="A973" s="43">
        <v>972</v>
      </c>
      <c r="B973" s="42">
        <v>7</v>
      </c>
      <c r="C973" s="42">
        <v>1</v>
      </c>
      <c r="D973" s="45" t="s">
        <v>2237</v>
      </c>
      <c r="E973" s="107"/>
    </row>
    <row r="974" spans="1:5" x14ac:dyDescent="0.35">
      <c r="A974" s="43">
        <v>973</v>
      </c>
      <c r="B974" s="42">
        <v>7</v>
      </c>
      <c r="C974" s="42">
        <v>1</v>
      </c>
      <c r="D974" s="45" t="s">
        <v>2238</v>
      </c>
      <c r="E974" s="107"/>
    </row>
    <row r="975" spans="1:5" x14ac:dyDescent="0.35">
      <c r="A975" s="43">
        <v>974</v>
      </c>
      <c r="B975" s="42">
        <v>7</v>
      </c>
      <c r="C975" s="42">
        <v>1</v>
      </c>
      <c r="D975" s="45" t="s">
        <v>2239</v>
      </c>
      <c r="E975" s="107"/>
    </row>
    <row r="976" spans="1:5" x14ac:dyDescent="0.35">
      <c r="A976" s="43">
        <v>975</v>
      </c>
      <c r="B976" s="42">
        <v>7</v>
      </c>
      <c r="C976" s="42">
        <v>1</v>
      </c>
      <c r="D976" s="45" t="s">
        <v>2240</v>
      </c>
      <c r="E976" s="107"/>
    </row>
    <row r="977" spans="1:5" x14ac:dyDescent="0.35">
      <c r="A977" s="43">
        <v>976</v>
      </c>
      <c r="B977" s="42">
        <v>7</v>
      </c>
      <c r="C977" s="42">
        <v>2</v>
      </c>
      <c r="D977" s="45" t="s">
        <v>2241</v>
      </c>
      <c r="E977" s="107"/>
    </row>
    <row r="978" spans="1:5" x14ac:dyDescent="0.35">
      <c r="A978" s="43">
        <v>977</v>
      </c>
      <c r="B978" s="42">
        <v>7</v>
      </c>
      <c r="C978" s="42">
        <v>2</v>
      </c>
      <c r="D978" s="45" t="s">
        <v>2242</v>
      </c>
      <c r="E978" s="107"/>
    </row>
    <row r="979" spans="1:5" x14ac:dyDescent="0.35">
      <c r="A979" s="43">
        <v>978</v>
      </c>
      <c r="B979" s="42">
        <v>7</v>
      </c>
      <c r="C979" s="42">
        <v>2</v>
      </c>
      <c r="D979" s="45" t="s">
        <v>2243</v>
      </c>
      <c r="E979" s="107"/>
    </row>
    <row r="980" spans="1:5" x14ac:dyDescent="0.35">
      <c r="A980" s="43">
        <v>979</v>
      </c>
      <c r="B980" s="42">
        <v>7</v>
      </c>
      <c r="C980" s="42">
        <v>2</v>
      </c>
      <c r="D980" s="45" t="s">
        <v>2244</v>
      </c>
      <c r="E980" s="107"/>
    </row>
    <row r="981" spans="1:5" x14ac:dyDescent="0.35">
      <c r="A981" s="43">
        <v>980</v>
      </c>
      <c r="B981" s="42">
        <v>7</v>
      </c>
      <c r="C981" s="42">
        <v>2</v>
      </c>
      <c r="D981" s="45" t="s">
        <v>1431</v>
      </c>
      <c r="E981" s="107"/>
    </row>
    <row r="982" spans="1:5" x14ac:dyDescent="0.35">
      <c r="A982" s="43">
        <v>981</v>
      </c>
      <c r="B982" s="42">
        <v>7</v>
      </c>
      <c r="C982" s="42">
        <v>3</v>
      </c>
      <c r="D982" s="45" t="s">
        <v>2245</v>
      </c>
      <c r="E982" s="107"/>
    </row>
    <row r="983" spans="1:5" x14ac:dyDescent="0.35">
      <c r="A983" s="43">
        <v>982</v>
      </c>
      <c r="B983" s="42">
        <v>7</v>
      </c>
      <c r="C983" s="42">
        <v>3</v>
      </c>
      <c r="D983" s="45" t="s">
        <v>2246</v>
      </c>
      <c r="E983" s="107"/>
    </row>
    <row r="984" spans="1:5" x14ac:dyDescent="0.35">
      <c r="A984" s="43">
        <v>983</v>
      </c>
      <c r="B984" s="42">
        <v>7</v>
      </c>
      <c r="C984" s="42">
        <v>3</v>
      </c>
      <c r="D984" s="45" t="s">
        <v>2247</v>
      </c>
      <c r="E984" s="107"/>
    </row>
    <row r="985" spans="1:5" x14ac:dyDescent="0.35">
      <c r="A985" s="43">
        <v>984</v>
      </c>
      <c r="B985" s="42">
        <v>7</v>
      </c>
      <c r="C985" s="42">
        <v>3</v>
      </c>
      <c r="D985" s="45" t="s">
        <v>2248</v>
      </c>
      <c r="E985" s="107"/>
    </row>
    <row r="986" spans="1:5" x14ac:dyDescent="0.35">
      <c r="A986" s="43">
        <v>985</v>
      </c>
      <c r="B986" s="42">
        <v>7</v>
      </c>
      <c r="C986" s="42">
        <v>3</v>
      </c>
      <c r="D986" s="45" t="s">
        <v>2249</v>
      </c>
      <c r="E986" s="107"/>
    </row>
    <row r="987" spans="1:5" x14ac:dyDescent="0.35">
      <c r="A987" s="43">
        <v>986</v>
      </c>
      <c r="B987" s="42">
        <v>7</v>
      </c>
      <c r="C987" s="42">
        <v>4</v>
      </c>
      <c r="D987" s="45" t="s">
        <v>2250</v>
      </c>
      <c r="E987" s="107"/>
    </row>
    <row r="988" spans="1:5" x14ac:dyDescent="0.35">
      <c r="A988" s="43">
        <v>987</v>
      </c>
      <c r="B988" s="42">
        <v>7</v>
      </c>
      <c r="C988" s="42">
        <v>4</v>
      </c>
      <c r="D988" s="45" t="s">
        <v>2251</v>
      </c>
      <c r="E988" s="107"/>
    </row>
    <row r="989" spans="1:5" x14ac:dyDescent="0.35">
      <c r="A989" s="43">
        <v>988</v>
      </c>
      <c r="B989" s="42">
        <v>7</v>
      </c>
      <c r="C989" s="42">
        <v>4</v>
      </c>
      <c r="D989" s="45" t="s">
        <v>2252</v>
      </c>
      <c r="E989" s="107"/>
    </row>
    <row r="990" spans="1:5" x14ac:dyDescent="0.35">
      <c r="A990" s="43">
        <v>989</v>
      </c>
      <c r="B990" s="42">
        <v>7</v>
      </c>
      <c r="C990" s="42">
        <v>4</v>
      </c>
      <c r="D990" s="45" t="s">
        <v>2253</v>
      </c>
      <c r="E990" s="107"/>
    </row>
    <row r="991" spans="1:5" x14ac:dyDescent="0.35">
      <c r="A991" s="43">
        <v>990</v>
      </c>
      <c r="B991" s="42">
        <v>7</v>
      </c>
      <c r="C991" s="42">
        <v>5</v>
      </c>
      <c r="D991" s="45" t="s">
        <v>2254</v>
      </c>
      <c r="E991" s="107"/>
    </row>
    <row r="992" spans="1:5" x14ac:dyDescent="0.35">
      <c r="A992" s="43">
        <v>991</v>
      </c>
      <c r="B992" s="42">
        <v>7</v>
      </c>
      <c r="C992" s="42">
        <v>5</v>
      </c>
      <c r="D992" s="45" t="s">
        <v>2255</v>
      </c>
      <c r="E992" s="107"/>
    </row>
    <row r="993" spans="1:5" x14ac:dyDescent="0.35">
      <c r="A993" s="43">
        <v>992</v>
      </c>
      <c r="B993" s="42">
        <v>7</v>
      </c>
      <c r="C993" s="42">
        <v>5</v>
      </c>
      <c r="D993" s="45" t="s">
        <v>2256</v>
      </c>
      <c r="E993" s="107"/>
    </row>
    <row r="994" spans="1:5" x14ac:dyDescent="0.35">
      <c r="A994" s="43">
        <v>993</v>
      </c>
      <c r="B994" s="42">
        <v>7</v>
      </c>
      <c r="C994" s="42">
        <v>5</v>
      </c>
      <c r="D994" s="45" t="s">
        <v>2257</v>
      </c>
      <c r="E994" s="107"/>
    </row>
    <row r="995" spans="1:5" x14ac:dyDescent="0.35">
      <c r="A995" s="43">
        <v>994</v>
      </c>
      <c r="B995" s="42">
        <v>7</v>
      </c>
      <c r="C995" s="42">
        <v>5</v>
      </c>
      <c r="D995" s="45" t="s">
        <v>2258</v>
      </c>
      <c r="E995" s="107"/>
    </row>
    <row r="996" spans="1:5" x14ac:dyDescent="0.35">
      <c r="A996" s="43">
        <v>995</v>
      </c>
      <c r="B996" s="42">
        <v>7</v>
      </c>
      <c r="C996" s="42">
        <v>6</v>
      </c>
      <c r="D996" s="45" t="s">
        <v>2259</v>
      </c>
      <c r="E996" s="107"/>
    </row>
    <row r="997" spans="1:5" x14ac:dyDescent="0.35">
      <c r="A997" s="43">
        <v>996</v>
      </c>
      <c r="B997" s="42">
        <v>7</v>
      </c>
      <c r="C997" s="42">
        <v>6</v>
      </c>
      <c r="D997" s="45" t="s">
        <v>2260</v>
      </c>
      <c r="E997" s="107"/>
    </row>
    <row r="998" spans="1:5" x14ac:dyDescent="0.35">
      <c r="A998" s="43">
        <v>997</v>
      </c>
      <c r="B998" s="42">
        <v>7</v>
      </c>
      <c r="C998" s="42">
        <v>6</v>
      </c>
      <c r="D998" s="45" t="s">
        <v>2261</v>
      </c>
      <c r="E998" s="107"/>
    </row>
    <row r="999" spans="1:5" x14ac:dyDescent="0.35">
      <c r="A999" s="43">
        <v>998</v>
      </c>
      <c r="B999" s="42">
        <v>7</v>
      </c>
      <c r="C999" s="42">
        <v>6</v>
      </c>
      <c r="D999" s="45" t="s">
        <v>2262</v>
      </c>
      <c r="E999" s="107"/>
    </row>
    <row r="1000" spans="1:5" x14ac:dyDescent="0.35">
      <c r="A1000" s="43">
        <v>999</v>
      </c>
      <c r="B1000" s="42">
        <v>7</v>
      </c>
      <c r="C1000" s="42">
        <v>6</v>
      </c>
      <c r="D1000" s="45" t="s">
        <v>2263</v>
      </c>
      <c r="E1000" s="107"/>
    </row>
    <row r="1001" spans="1:5" x14ac:dyDescent="0.35">
      <c r="A1001" s="43">
        <v>1000</v>
      </c>
      <c r="B1001" s="42">
        <v>7</v>
      </c>
      <c r="C1001" s="42">
        <v>6</v>
      </c>
      <c r="D1001" s="45" t="s">
        <v>2240</v>
      </c>
      <c r="E1001" s="107"/>
    </row>
    <row r="1002" spans="1:5" x14ac:dyDescent="0.35">
      <c r="A1002" s="43">
        <v>1001</v>
      </c>
      <c r="B1002" s="42">
        <v>7</v>
      </c>
      <c r="C1002" s="42">
        <v>7</v>
      </c>
      <c r="D1002" s="45" t="s">
        <v>2264</v>
      </c>
      <c r="E1002" s="107"/>
    </row>
    <row r="1003" spans="1:5" x14ac:dyDescent="0.35">
      <c r="A1003" s="43">
        <v>1002</v>
      </c>
      <c r="B1003" s="42">
        <v>7</v>
      </c>
      <c r="C1003" s="42">
        <v>7</v>
      </c>
      <c r="D1003" s="45" t="s">
        <v>2265</v>
      </c>
      <c r="E1003" s="107"/>
    </row>
    <row r="1004" spans="1:5" x14ac:dyDescent="0.35">
      <c r="A1004" s="43">
        <v>1003</v>
      </c>
      <c r="B1004" s="42">
        <v>7</v>
      </c>
      <c r="C1004" s="42">
        <v>7</v>
      </c>
      <c r="D1004" s="45" t="s">
        <v>2266</v>
      </c>
      <c r="E1004" s="107"/>
    </row>
    <row r="1005" spans="1:5" x14ac:dyDescent="0.35">
      <c r="A1005" s="43">
        <v>1004</v>
      </c>
      <c r="B1005" s="42">
        <v>7</v>
      </c>
      <c r="C1005" s="42">
        <v>7</v>
      </c>
      <c r="D1005" s="45" t="s">
        <v>2267</v>
      </c>
      <c r="E1005" s="107"/>
    </row>
    <row r="1006" spans="1:5" x14ac:dyDescent="0.35">
      <c r="A1006" s="43">
        <v>1005</v>
      </c>
      <c r="B1006" s="42">
        <v>7</v>
      </c>
      <c r="C1006" s="42">
        <v>8</v>
      </c>
      <c r="D1006" s="45" t="s">
        <v>2268</v>
      </c>
      <c r="E1006" s="107"/>
    </row>
    <row r="1007" spans="1:5" x14ac:dyDescent="0.35">
      <c r="A1007" s="43">
        <v>1006</v>
      </c>
      <c r="B1007" s="42">
        <v>7</v>
      </c>
      <c r="C1007" s="42">
        <v>8</v>
      </c>
      <c r="D1007" s="45" t="s">
        <v>2269</v>
      </c>
      <c r="E1007" s="107"/>
    </row>
    <row r="1008" spans="1:5" x14ac:dyDescent="0.35">
      <c r="A1008" s="43">
        <v>1007</v>
      </c>
      <c r="B1008" s="42">
        <v>7</v>
      </c>
      <c r="C1008" s="42">
        <v>8</v>
      </c>
      <c r="D1008" s="45" t="s">
        <v>2270</v>
      </c>
      <c r="E1008" s="107"/>
    </row>
    <row r="1009" spans="1:5" x14ac:dyDescent="0.35">
      <c r="A1009" s="43">
        <v>1008</v>
      </c>
      <c r="B1009" s="42">
        <v>7</v>
      </c>
      <c r="C1009" s="42">
        <v>8</v>
      </c>
      <c r="D1009" s="45" t="s">
        <v>2271</v>
      </c>
      <c r="E1009" s="107"/>
    </row>
    <row r="1010" spans="1:5" x14ac:dyDescent="0.35">
      <c r="A1010" s="43">
        <v>1009</v>
      </c>
      <c r="B1010" s="42">
        <v>7</v>
      </c>
      <c r="C1010" s="42">
        <v>8</v>
      </c>
      <c r="D1010" s="45" t="s">
        <v>2272</v>
      </c>
      <c r="E1010" s="107"/>
    </row>
    <row r="1011" spans="1:5" x14ac:dyDescent="0.35">
      <c r="A1011" s="43">
        <v>1010</v>
      </c>
      <c r="B1011" s="42">
        <v>7</v>
      </c>
      <c r="C1011" s="42">
        <v>8</v>
      </c>
      <c r="D1011" s="45" t="s">
        <v>2273</v>
      </c>
      <c r="E1011" s="107"/>
    </row>
    <row r="1012" spans="1:5" x14ac:dyDescent="0.35">
      <c r="A1012" s="43">
        <v>1011</v>
      </c>
      <c r="B1012" s="42">
        <v>7</v>
      </c>
      <c r="C1012" s="42">
        <v>8</v>
      </c>
      <c r="D1012" s="45" t="s">
        <v>2274</v>
      </c>
      <c r="E1012" s="107"/>
    </row>
    <row r="1013" spans="1:5" x14ac:dyDescent="0.35">
      <c r="A1013" s="43">
        <v>1012</v>
      </c>
      <c r="B1013" s="42">
        <v>7</v>
      </c>
      <c r="C1013" s="42">
        <v>9</v>
      </c>
      <c r="D1013" s="45" t="s">
        <v>2275</v>
      </c>
      <c r="E1013" s="107"/>
    </row>
    <row r="1014" spans="1:5" x14ac:dyDescent="0.35">
      <c r="A1014" s="43">
        <v>1013</v>
      </c>
      <c r="B1014" s="42">
        <v>7</v>
      </c>
      <c r="C1014" s="42">
        <v>9</v>
      </c>
      <c r="D1014" s="45" t="s">
        <v>2276</v>
      </c>
      <c r="E1014" s="107"/>
    </row>
    <row r="1015" spans="1:5" x14ac:dyDescent="0.35">
      <c r="A1015" s="43">
        <v>1014</v>
      </c>
      <c r="B1015" s="42">
        <v>7</v>
      </c>
      <c r="C1015" s="42">
        <v>9</v>
      </c>
      <c r="D1015" s="45" t="s">
        <v>2277</v>
      </c>
      <c r="E1015" s="107"/>
    </row>
    <row r="1016" spans="1:5" x14ac:dyDescent="0.35">
      <c r="A1016" s="43">
        <v>1015</v>
      </c>
      <c r="B1016" s="42">
        <v>7</v>
      </c>
      <c r="C1016" s="42">
        <v>9</v>
      </c>
      <c r="D1016" s="45" t="s">
        <v>2278</v>
      </c>
      <c r="E1016" s="107"/>
    </row>
    <row r="1017" spans="1:5" x14ac:dyDescent="0.35">
      <c r="A1017" s="43">
        <v>1016</v>
      </c>
      <c r="B1017" s="42">
        <v>7</v>
      </c>
      <c r="C1017" s="42">
        <v>10</v>
      </c>
      <c r="D1017" s="45" t="s">
        <v>2250</v>
      </c>
      <c r="E1017" s="107"/>
    </row>
    <row r="1018" spans="1:5" x14ac:dyDescent="0.35">
      <c r="A1018" s="43">
        <v>1017</v>
      </c>
      <c r="B1018" s="42">
        <v>7</v>
      </c>
      <c r="C1018" s="42">
        <v>10</v>
      </c>
      <c r="D1018" s="45" t="s">
        <v>2279</v>
      </c>
      <c r="E1018" s="107"/>
    </row>
    <row r="1019" spans="1:5" x14ac:dyDescent="0.35">
      <c r="A1019" s="43">
        <v>1018</v>
      </c>
      <c r="B1019" s="42">
        <v>7</v>
      </c>
      <c r="C1019" s="42">
        <v>10</v>
      </c>
      <c r="D1019" s="45" t="s">
        <v>2280</v>
      </c>
      <c r="E1019" s="107"/>
    </row>
    <row r="1020" spans="1:5" x14ac:dyDescent="0.35">
      <c r="A1020" s="43">
        <v>1019</v>
      </c>
      <c r="B1020" s="42">
        <v>7</v>
      </c>
      <c r="C1020" s="42">
        <v>10</v>
      </c>
      <c r="D1020" s="45" t="s">
        <v>2281</v>
      </c>
      <c r="E1020" s="107"/>
    </row>
    <row r="1021" spans="1:5" x14ac:dyDescent="0.35">
      <c r="A1021" s="43">
        <v>1020</v>
      </c>
      <c r="B1021" s="42">
        <v>7</v>
      </c>
      <c r="C1021" s="42">
        <v>10</v>
      </c>
      <c r="D1021" s="45" t="s">
        <v>2237</v>
      </c>
      <c r="E1021" s="107"/>
    </row>
    <row r="1022" spans="1:5" x14ac:dyDescent="0.35">
      <c r="A1022" s="43">
        <v>1021</v>
      </c>
      <c r="B1022" s="42">
        <v>7</v>
      </c>
      <c r="C1022" s="42">
        <v>10</v>
      </c>
      <c r="D1022" s="45" t="s">
        <v>2282</v>
      </c>
      <c r="E1022" s="107"/>
    </row>
    <row r="1023" spans="1:5" x14ac:dyDescent="0.35">
      <c r="A1023" s="43">
        <v>1022</v>
      </c>
      <c r="B1023" s="42">
        <v>7</v>
      </c>
      <c r="C1023" s="42">
        <v>11</v>
      </c>
      <c r="D1023" s="45" t="s">
        <v>2283</v>
      </c>
      <c r="E1023" s="107"/>
    </row>
    <row r="1024" spans="1:5" x14ac:dyDescent="0.35">
      <c r="A1024" s="43">
        <v>1023</v>
      </c>
      <c r="B1024" s="42">
        <v>7</v>
      </c>
      <c r="C1024" s="42">
        <v>11</v>
      </c>
      <c r="D1024" s="45" t="s">
        <v>2284</v>
      </c>
      <c r="E1024" s="107"/>
    </row>
    <row r="1025" spans="1:5" x14ac:dyDescent="0.35">
      <c r="A1025" s="43">
        <v>1024</v>
      </c>
      <c r="B1025" s="42">
        <v>7</v>
      </c>
      <c r="C1025" s="42">
        <v>11</v>
      </c>
      <c r="D1025" s="45" t="s">
        <v>2285</v>
      </c>
      <c r="E1025" s="107"/>
    </row>
    <row r="1026" spans="1:5" x14ac:dyDescent="0.35">
      <c r="A1026" s="43">
        <v>1025</v>
      </c>
      <c r="B1026" s="42">
        <v>7</v>
      </c>
      <c r="C1026" s="42">
        <v>11</v>
      </c>
      <c r="D1026" s="45" t="s">
        <v>1538</v>
      </c>
      <c r="E1026" s="107"/>
    </row>
    <row r="1027" spans="1:5" x14ac:dyDescent="0.35">
      <c r="A1027" s="43">
        <v>1026</v>
      </c>
      <c r="B1027" s="42">
        <v>7</v>
      </c>
      <c r="C1027" s="42">
        <v>11</v>
      </c>
      <c r="D1027" s="45" t="s">
        <v>2286</v>
      </c>
      <c r="E1027" s="107"/>
    </row>
    <row r="1028" spans="1:5" x14ac:dyDescent="0.35">
      <c r="A1028" s="43">
        <v>1027</v>
      </c>
      <c r="B1028" s="42">
        <v>7</v>
      </c>
      <c r="C1028" s="42">
        <v>11</v>
      </c>
      <c r="D1028" s="45" t="s">
        <v>2265</v>
      </c>
      <c r="E1028" s="107"/>
    </row>
    <row r="1029" spans="1:5" x14ac:dyDescent="0.35">
      <c r="A1029" s="43">
        <v>1028</v>
      </c>
      <c r="B1029" s="42">
        <v>7</v>
      </c>
      <c r="C1029" s="42">
        <v>11</v>
      </c>
      <c r="D1029" s="45" t="s">
        <v>2287</v>
      </c>
      <c r="E1029" s="107"/>
    </row>
    <row r="1030" spans="1:5" x14ac:dyDescent="0.35">
      <c r="A1030" s="43">
        <v>1029</v>
      </c>
      <c r="B1030" s="42">
        <v>7</v>
      </c>
      <c r="C1030" s="42">
        <v>12</v>
      </c>
      <c r="D1030" s="45" t="s">
        <v>2288</v>
      </c>
      <c r="E1030" s="107"/>
    </row>
    <row r="1031" spans="1:5" x14ac:dyDescent="0.35">
      <c r="A1031" s="43">
        <v>1030</v>
      </c>
      <c r="B1031" s="42">
        <v>7</v>
      </c>
      <c r="C1031" s="42">
        <v>12</v>
      </c>
      <c r="D1031" s="45" t="s">
        <v>2289</v>
      </c>
      <c r="E1031" s="107"/>
    </row>
    <row r="1032" spans="1:5" x14ac:dyDescent="0.35">
      <c r="A1032" s="43">
        <v>1031</v>
      </c>
      <c r="B1032" s="42">
        <v>7</v>
      </c>
      <c r="C1032" s="42">
        <v>12</v>
      </c>
      <c r="D1032" s="45" t="s">
        <v>2290</v>
      </c>
      <c r="E1032" s="107"/>
    </row>
    <row r="1033" spans="1:5" x14ac:dyDescent="0.35">
      <c r="A1033" s="43">
        <v>1032</v>
      </c>
      <c r="B1033" s="42">
        <v>7</v>
      </c>
      <c r="C1033" s="42">
        <v>12</v>
      </c>
      <c r="D1033" s="45" t="s">
        <v>2291</v>
      </c>
      <c r="E1033" s="107"/>
    </row>
    <row r="1034" spans="1:5" x14ac:dyDescent="0.35">
      <c r="A1034" s="43">
        <v>1033</v>
      </c>
      <c r="B1034" s="42">
        <v>7</v>
      </c>
      <c r="C1034" s="42">
        <v>12</v>
      </c>
      <c r="D1034" s="45" t="s">
        <v>2292</v>
      </c>
      <c r="E1034" s="107"/>
    </row>
    <row r="1035" spans="1:5" x14ac:dyDescent="0.35">
      <c r="A1035" s="43">
        <v>1034</v>
      </c>
      <c r="B1035" s="42">
        <v>7</v>
      </c>
      <c r="C1035" s="42">
        <v>12</v>
      </c>
      <c r="D1035" s="45" t="s">
        <v>2293</v>
      </c>
      <c r="E1035" s="107"/>
    </row>
    <row r="1036" spans="1:5" x14ac:dyDescent="0.35">
      <c r="A1036" s="43">
        <v>1035</v>
      </c>
      <c r="B1036" s="42">
        <v>7</v>
      </c>
      <c r="C1036" s="42">
        <v>12</v>
      </c>
      <c r="D1036" s="45" t="s">
        <v>1204</v>
      </c>
      <c r="E1036" s="107"/>
    </row>
    <row r="1037" spans="1:5" x14ac:dyDescent="0.35">
      <c r="A1037" s="43">
        <v>1036</v>
      </c>
      <c r="B1037" s="42">
        <v>7</v>
      </c>
      <c r="C1037" s="42">
        <v>12</v>
      </c>
      <c r="D1037" s="45" t="s">
        <v>2294</v>
      </c>
      <c r="E1037" s="107"/>
    </row>
    <row r="1038" spans="1:5" x14ac:dyDescent="0.35">
      <c r="A1038" s="43">
        <v>1037</v>
      </c>
      <c r="B1038" s="42">
        <v>7</v>
      </c>
      <c r="C1038" s="42">
        <v>12</v>
      </c>
      <c r="D1038" s="45" t="s">
        <v>2295</v>
      </c>
      <c r="E1038" s="107"/>
    </row>
    <row r="1039" spans="1:5" x14ac:dyDescent="0.35">
      <c r="A1039" s="43">
        <v>1038</v>
      </c>
      <c r="B1039" s="42">
        <v>7</v>
      </c>
      <c r="C1039" s="42">
        <v>12</v>
      </c>
      <c r="D1039" s="45" t="s">
        <v>2296</v>
      </c>
      <c r="E1039" s="107"/>
    </row>
    <row r="1040" spans="1:5" x14ac:dyDescent="0.35">
      <c r="A1040" s="43">
        <v>1039</v>
      </c>
      <c r="B1040" s="44">
        <v>7</v>
      </c>
      <c r="C1040" s="44" t="s">
        <v>2298</v>
      </c>
      <c r="D1040" s="43" t="s">
        <v>2297</v>
      </c>
      <c r="E1040" s="107"/>
    </row>
    <row r="1041" spans="1:5" x14ac:dyDescent="0.35">
      <c r="A1041" s="43">
        <v>1040</v>
      </c>
      <c r="B1041" s="44">
        <v>7</v>
      </c>
      <c r="C1041" s="44" t="s">
        <v>2300</v>
      </c>
      <c r="D1041" s="43" t="s">
        <v>2299</v>
      </c>
      <c r="E1041" s="107"/>
    </row>
    <row r="1042" spans="1:5" x14ac:dyDescent="0.35">
      <c r="A1042" s="43">
        <v>1041</v>
      </c>
      <c r="B1042" s="44">
        <v>7</v>
      </c>
      <c r="C1042" s="44" t="s">
        <v>2302</v>
      </c>
      <c r="D1042" s="43" t="s">
        <v>2301</v>
      </c>
      <c r="E1042" s="107"/>
    </row>
    <row r="1043" spans="1:5" x14ac:dyDescent="0.35">
      <c r="A1043" s="43">
        <v>1042</v>
      </c>
      <c r="B1043" s="44">
        <v>7</v>
      </c>
      <c r="C1043" s="44" t="s">
        <v>1320</v>
      </c>
      <c r="D1043" s="43" t="s">
        <v>2303</v>
      </c>
      <c r="E1043" s="107"/>
    </row>
    <row r="1044" spans="1:5" x14ac:dyDescent="0.35">
      <c r="A1044" s="43">
        <v>1043</v>
      </c>
      <c r="B1044" s="44">
        <v>7</v>
      </c>
      <c r="C1044" s="44" t="s">
        <v>2305</v>
      </c>
      <c r="D1044" s="43" t="s">
        <v>2304</v>
      </c>
      <c r="E1044" s="107"/>
    </row>
    <row r="1045" spans="1:5" x14ac:dyDescent="0.35">
      <c r="A1045" s="43">
        <v>1044</v>
      </c>
      <c r="B1045" s="44">
        <v>7</v>
      </c>
      <c r="C1045" s="44" t="s">
        <v>2307</v>
      </c>
      <c r="D1045" s="43" t="s">
        <v>2306</v>
      </c>
      <c r="E1045" s="107"/>
    </row>
    <row r="1046" spans="1:5" x14ac:dyDescent="0.35">
      <c r="A1046" s="43">
        <v>1045</v>
      </c>
      <c r="B1046" s="44">
        <v>7</v>
      </c>
      <c r="C1046" s="44" t="s">
        <v>2309</v>
      </c>
      <c r="D1046" s="43" t="s">
        <v>2308</v>
      </c>
      <c r="E1046" s="107"/>
    </row>
    <row r="1047" spans="1:5" x14ac:dyDescent="0.35">
      <c r="A1047" s="43">
        <v>1046</v>
      </c>
      <c r="B1047" s="44">
        <v>7</v>
      </c>
      <c r="C1047" s="44" t="s">
        <v>2310</v>
      </c>
      <c r="D1047" s="43" t="s">
        <v>2250</v>
      </c>
      <c r="E1047" s="107"/>
    </row>
    <row r="1048" spans="1:5" x14ac:dyDescent="0.35">
      <c r="A1048" s="43">
        <v>1047</v>
      </c>
      <c r="B1048" s="44">
        <v>7</v>
      </c>
      <c r="C1048" s="44" t="s">
        <v>2312</v>
      </c>
      <c r="D1048" s="43" t="s">
        <v>2311</v>
      </c>
      <c r="E1048" s="107"/>
    </row>
    <row r="1049" spans="1:5" x14ac:dyDescent="0.35">
      <c r="A1049" s="43">
        <v>1048</v>
      </c>
      <c r="B1049" s="44">
        <v>7</v>
      </c>
      <c r="C1049" s="44" t="s">
        <v>2314</v>
      </c>
      <c r="D1049" s="43" t="s">
        <v>2313</v>
      </c>
      <c r="E1049" s="107"/>
    </row>
    <row r="1050" spans="1:5" x14ac:dyDescent="0.35">
      <c r="A1050" s="43">
        <v>1049</v>
      </c>
      <c r="B1050" s="44">
        <v>7</v>
      </c>
      <c r="C1050" s="44" t="s">
        <v>2316</v>
      </c>
      <c r="D1050" s="43" t="s">
        <v>2315</v>
      </c>
      <c r="E1050" s="107"/>
    </row>
    <row r="1051" spans="1:5" x14ac:dyDescent="0.35">
      <c r="A1051" s="43">
        <v>1050</v>
      </c>
      <c r="B1051" s="44">
        <v>7</v>
      </c>
      <c r="C1051" s="44" t="s">
        <v>1351</v>
      </c>
      <c r="D1051" s="43" t="s">
        <v>2317</v>
      </c>
      <c r="E1051" s="107"/>
    </row>
    <row r="1052" spans="1:5" x14ac:dyDescent="0.35">
      <c r="A1052" s="43">
        <v>1051</v>
      </c>
      <c r="B1052" s="44">
        <v>7</v>
      </c>
      <c r="C1052" s="44" t="s">
        <v>2319</v>
      </c>
      <c r="D1052" s="43" t="s">
        <v>2318</v>
      </c>
      <c r="E1052" s="107"/>
    </row>
    <row r="1053" spans="1:5" x14ac:dyDescent="0.35">
      <c r="A1053" s="43">
        <v>1052</v>
      </c>
      <c r="B1053" s="44">
        <v>7</v>
      </c>
      <c r="C1053" s="44" t="s">
        <v>1353</v>
      </c>
      <c r="D1053" s="43" t="s">
        <v>2320</v>
      </c>
      <c r="E1053" s="107"/>
    </row>
    <row r="1054" spans="1:5" x14ac:dyDescent="0.35">
      <c r="A1054" s="43">
        <v>1053</v>
      </c>
      <c r="B1054" s="44">
        <v>7</v>
      </c>
      <c r="C1054" s="44" t="s">
        <v>1351</v>
      </c>
      <c r="D1054" s="43" t="s">
        <v>2321</v>
      </c>
      <c r="E1054" s="107"/>
    </row>
    <row r="1055" spans="1:5" x14ac:dyDescent="0.35">
      <c r="A1055" s="43">
        <v>1054</v>
      </c>
      <c r="B1055" s="44">
        <v>7</v>
      </c>
      <c r="C1055" s="44" t="s">
        <v>2323</v>
      </c>
      <c r="D1055" s="43" t="s">
        <v>2322</v>
      </c>
      <c r="E1055" s="107"/>
    </row>
    <row r="1056" spans="1:5" x14ac:dyDescent="0.35">
      <c r="A1056" s="43">
        <v>1055</v>
      </c>
      <c r="B1056" s="44">
        <v>7</v>
      </c>
      <c r="C1056" s="44" t="s">
        <v>2325</v>
      </c>
      <c r="D1056" s="43" t="s">
        <v>2324</v>
      </c>
      <c r="E1056" s="107"/>
    </row>
    <row r="1057" spans="1:5" x14ac:dyDescent="0.35">
      <c r="A1057" s="43">
        <v>1056</v>
      </c>
      <c r="B1057" s="44">
        <v>7</v>
      </c>
      <c r="C1057" s="44" t="s">
        <v>2327</v>
      </c>
      <c r="D1057" s="43" t="s">
        <v>2326</v>
      </c>
      <c r="E1057" s="107"/>
    </row>
    <row r="1058" spans="1:5" x14ac:dyDescent="0.35">
      <c r="A1058" s="43">
        <v>1057</v>
      </c>
      <c r="B1058" s="44">
        <v>7</v>
      </c>
      <c r="C1058" s="44" t="s">
        <v>1126</v>
      </c>
      <c r="D1058" s="43" t="s">
        <v>2328</v>
      </c>
      <c r="E1058" s="107"/>
    </row>
    <row r="1059" spans="1:5" x14ac:dyDescent="0.35">
      <c r="A1059" s="43">
        <v>1058</v>
      </c>
      <c r="B1059" s="44">
        <v>7</v>
      </c>
      <c r="C1059" s="44" t="s">
        <v>1328</v>
      </c>
      <c r="D1059" s="43" t="s">
        <v>2329</v>
      </c>
      <c r="E1059" s="107"/>
    </row>
    <row r="1060" spans="1:5" x14ac:dyDescent="0.35">
      <c r="A1060" s="43">
        <v>1059</v>
      </c>
      <c r="B1060" s="44">
        <v>7</v>
      </c>
      <c r="C1060" s="44" t="s">
        <v>2331</v>
      </c>
      <c r="D1060" s="43" t="s">
        <v>2330</v>
      </c>
      <c r="E1060" s="107"/>
    </row>
    <row r="1061" spans="1:5" x14ac:dyDescent="0.35">
      <c r="A1061" s="43">
        <v>1060</v>
      </c>
      <c r="B1061" s="44">
        <v>7</v>
      </c>
      <c r="C1061" s="44" t="s">
        <v>2051</v>
      </c>
      <c r="D1061" s="43" t="s">
        <v>2332</v>
      </c>
      <c r="E1061" s="107"/>
    </row>
    <row r="1062" spans="1:5" x14ac:dyDescent="0.35">
      <c r="A1062" s="43">
        <v>1061</v>
      </c>
      <c r="B1062" s="44">
        <v>7</v>
      </c>
      <c r="C1062" s="44" t="s">
        <v>2334</v>
      </c>
      <c r="D1062" s="43" t="s">
        <v>2333</v>
      </c>
      <c r="E1062" s="107"/>
    </row>
    <row r="1063" spans="1:5" x14ac:dyDescent="0.35">
      <c r="A1063" s="43">
        <v>1062</v>
      </c>
      <c r="B1063" s="44">
        <v>7</v>
      </c>
      <c r="C1063" s="44" t="s">
        <v>2336</v>
      </c>
      <c r="D1063" s="43" t="s">
        <v>2335</v>
      </c>
      <c r="E1063" s="107"/>
    </row>
    <row r="1064" spans="1:5" x14ac:dyDescent="0.35">
      <c r="A1064" s="43">
        <v>1063</v>
      </c>
      <c r="B1064" s="44">
        <v>7</v>
      </c>
      <c r="C1064" s="44" t="s">
        <v>2338</v>
      </c>
      <c r="D1064" s="43" t="s">
        <v>2337</v>
      </c>
      <c r="E1064" s="107"/>
    </row>
    <row r="1065" spans="1:5" x14ac:dyDescent="0.35">
      <c r="A1065" s="43">
        <v>1064</v>
      </c>
      <c r="B1065" s="44">
        <v>7</v>
      </c>
      <c r="C1065" s="44" t="s">
        <v>1220</v>
      </c>
      <c r="D1065" s="43" t="s">
        <v>2339</v>
      </c>
      <c r="E1065" s="107"/>
    </row>
    <row r="1066" spans="1:5" x14ac:dyDescent="0.35">
      <c r="A1066" s="43">
        <v>1065</v>
      </c>
      <c r="B1066" s="44">
        <v>7</v>
      </c>
      <c r="C1066" s="47" t="s">
        <v>2341</v>
      </c>
      <c r="D1066" s="43" t="s">
        <v>2340</v>
      </c>
      <c r="E1066" s="107"/>
    </row>
    <row r="1067" spans="1:5" x14ac:dyDescent="0.35">
      <c r="A1067" s="43">
        <v>1066</v>
      </c>
      <c r="B1067" s="44">
        <v>7</v>
      </c>
      <c r="C1067" s="44" t="s">
        <v>2343</v>
      </c>
      <c r="D1067" s="43" t="s">
        <v>2342</v>
      </c>
      <c r="E1067" s="107"/>
    </row>
    <row r="1068" spans="1:5" x14ac:dyDescent="0.35">
      <c r="A1068" s="43">
        <v>1067</v>
      </c>
      <c r="B1068" s="44">
        <v>7</v>
      </c>
      <c r="C1068" s="44" t="s">
        <v>2345</v>
      </c>
      <c r="D1068" s="43" t="s">
        <v>2344</v>
      </c>
      <c r="E1068" s="107"/>
    </row>
    <row r="1069" spans="1:5" x14ac:dyDescent="0.35">
      <c r="A1069" s="43">
        <v>1068</v>
      </c>
      <c r="B1069" s="44">
        <v>7</v>
      </c>
      <c r="C1069" s="44" t="s">
        <v>2347</v>
      </c>
      <c r="D1069" s="43" t="s">
        <v>2346</v>
      </c>
      <c r="E1069" s="107"/>
    </row>
    <row r="1070" spans="1:5" x14ac:dyDescent="0.35">
      <c r="A1070" s="43">
        <v>1069</v>
      </c>
      <c r="B1070" s="44">
        <v>7</v>
      </c>
      <c r="C1070" s="44" t="s">
        <v>2349</v>
      </c>
      <c r="D1070" s="43" t="s">
        <v>2348</v>
      </c>
      <c r="E1070" s="107"/>
    </row>
    <row r="1071" spans="1:5" x14ac:dyDescent="0.35">
      <c r="A1071" s="43">
        <v>1070</v>
      </c>
      <c r="B1071" s="44">
        <v>7</v>
      </c>
      <c r="C1071" s="44" t="s">
        <v>2351</v>
      </c>
      <c r="D1071" s="43" t="s">
        <v>2350</v>
      </c>
      <c r="E1071" s="107"/>
    </row>
    <row r="1072" spans="1:5" x14ac:dyDescent="0.35">
      <c r="A1072" s="43">
        <v>1071</v>
      </c>
      <c r="B1072" s="44">
        <v>7</v>
      </c>
      <c r="C1072" s="44" t="s">
        <v>2352</v>
      </c>
      <c r="D1072" s="43" t="s">
        <v>1156</v>
      </c>
      <c r="E1072" s="107"/>
    </row>
    <row r="1073" spans="1:5" x14ac:dyDescent="0.35">
      <c r="A1073" s="43">
        <v>1072</v>
      </c>
      <c r="B1073" s="44">
        <v>7</v>
      </c>
      <c r="C1073" s="44" t="s">
        <v>2354</v>
      </c>
      <c r="D1073" s="43" t="s">
        <v>2353</v>
      </c>
      <c r="E1073" s="107"/>
    </row>
    <row r="1074" spans="1:5" x14ac:dyDescent="0.35">
      <c r="A1074" s="43">
        <v>1073</v>
      </c>
      <c r="B1074" s="44">
        <v>7</v>
      </c>
      <c r="C1074" s="44" t="s">
        <v>2356</v>
      </c>
      <c r="D1074" s="43" t="s">
        <v>2355</v>
      </c>
      <c r="E1074" s="107"/>
    </row>
    <row r="1075" spans="1:5" x14ac:dyDescent="0.35">
      <c r="A1075" s="43">
        <v>1074</v>
      </c>
      <c r="B1075" s="44">
        <v>7</v>
      </c>
      <c r="C1075" s="44" t="s">
        <v>2358</v>
      </c>
      <c r="D1075" s="43" t="s">
        <v>2357</v>
      </c>
      <c r="E1075" s="107"/>
    </row>
    <row r="1076" spans="1:5" x14ac:dyDescent="0.35">
      <c r="A1076" s="43">
        <v>1075</v>
      </c>
      <c r="B1076" s="44">
        <v>7</v>
      </c>
      <c r="C1076" s="44" t="s">
        <v>2360</v>
      </c>
      <c r="D1076" s="43" t="s">
        <v>2359</v>
      </c>
      <c r="E1076" s="107"/>
    </row>
    <row r="1077" spans="1:5" x14ac:dyDescent="0.35">
      <c r="A1077" s="43">
        <v>1076</v>
      </c>
      <c r="B1077" s="44">
        <v>7</v>
      </c>
      <c r="C1077" s="44" t="s">
        <v>2362</v>
      </c>
      <c r="D1077" s="43" t="s">
        <v>2361</v>
      </c>
      <c r="E1077" s="107"/>
    </row>
    <row r="1078" spans="1:5" x14ac:dyDescent="0.35">
      <c r="A1078" s="43">
        <v>1077</v>
      </c>
      <c r="B1078" s="44">
        <v>7</v>
      </c>
      <c r="C1078" s="44" t="s">
        <v>2364</v>
      </c>
      <c r="D1078" s="43" t="s">
        <v>2363</v>
      </c>
      <c r="E1078" s="107"/>
    </row>
    <row r="1079" spans="1:5" x14ac:dyDescent="0.35">
      <c r="A1079" s="43">
        <v>1078</v>
      </c>
      <c r="B1079" s="44">
        <v>7</v>
      </c>
      <c r="C1079" s="44" t="s">
        <v>2366</v>
      </c>
      <c r="D1079" s="43" t="s">
        <v>2365</v>
      </c>
      <c r="E1079" s="107"/>
    </row>
    <row r="1080" spans="1:5" x14ac:dyDescent="0.35">
      <c r="A1080" s="43">
        <v>1079</v>
      </c>
      <c r="B1080" s="44">
        <v>7</v>
      </c>
      <c r="C1080" s="44" t="s">
        <v>2368</v>
      </c>
      <c r="D1080" s="43" t="s">
        <v>2367</v>
      </c>
      <c r="E1080" s="107"/>
    </row>
    <row r="1081" spans="1:5" x14ac:dyDescent="0.35">
      <c r="A1081" s="43">
        <v>1080</v>
      </c>
      <c r="B1081" s="42">
        <v>7</v>
      </c>
      <c r="C1081" s="42" t="s">
        <v>2370</v>
      </c>
      <c r="D1081" s="45" t="s">
        <v>2369</v>
      </c>
      <c r="E1081" s="107"/>
    </row>
    <row r="1082" spans="1:5" x14ac:dyDescent="0.35">
      <c r="A1082" s="43">
        <v>1081</v>
      </c>
      <c r="B1082" s="44">
        <v>7</v>
      </c>
      <c r="C1082" s="44" t="s">
        <v>2372</v>
      </c>
      <c r="D1082" s="43" t="s">
        <v>2371</v>
      </c>
      <c r="E1082" s="107"/>
    </row>
    <row r="1083" spans="1:5" x14ac:dyDescent="0.35">
      <c r="A1083" s="43">
        <v>1082</v>
      </c>
      <c r="B1083" s="42">
        <v>7</v>
      </c>
      <c r="C1083" s="42" t="s">
        <v>2374</v>
      </c>
      <c r="D1083" s="45" t="s">
        <v>2373</v>
      </c>
      <c r="E1083" s="107"/>
    </row>
    <row r="1084" spans="1:5" x14ac:dyDescent="0.35">
      <c r="A1084" s="43">
        <v>1083</v>
      </c>
      <c r="B1084" s="42">
        <v>8</v>
      </c>
      <c r="C1084" s="42">
        <v>1</v>
      </c>
      <c r="D1084" s="45" t="s">
        <v>2375</v>
      </c>
      <c r="E1084" s="107"/>
    </row>
    <row r="1085" spans="1:5" x14ac:dyDescent="0.35">
      <c r="A1085" s="43">
        <v>1084</v>
      </c>
      <c r="B1085" s="42">
        <v>8</v>
      </c>
      <c r="C1085" s="42">
        <v>1</v>
      </c>
      <c r="D1085" s="45" t="s">
        <v>2263</v>
      </c>
      <c r="E1085" s="107"/>
    </row>
    <row r="1086" spans="1:5" x14ac:dyDescent="0.35">
      <c r="A1086" s="43">
        <v>1085</v>
      </c>
      <c r="B1086" s="42">
        <v>8</v>
      </c>
      <c r="C1086" s="42">
        <v>1</v>
      </c>
      <c r="D1086" s="45" t="s">
        <v>2376</v>
      </c>
      <c r="E1086" s="107"/>
    </row>
    <row r="1087" spans="1:5" x14ac:dyDescent="0.35">
      <c r="A1087" s="43">
        <v>1086</v>
      </c>
      <c r="B1087" s="42">
        <v>8</v>
      </c>
      <c r="C1087" s="42">
        <v>2</v>
      </c>
      <c r="D1087" s="45" t="s">
        <v>2377</v>
      </c>
      <c r="E1087" s="107"/>
    </row>
    <row r="1088" spans="1:5" x14ac:dyDescent="0.35">
      <c r="A1088" s="43">
        <v>1087</v>
      </c>
      <c r="B1088" s="42">
        <v>8</v>
      </c>
      <c r="C1088" s="42">
        <v>2</v>
      </c>
      <c r="D1088" s="45" t="s">
        <v>2378</v>
      </c>
      <c r="E1088" s="107"/>
    </row>
    <row r="1089" spans="1:5" x14ac:dyDescent="0.35">
      <c r="A1089" s="43">
        <v>1088</v>
      </c>
      <c r="B1089" s="42">
        <v>8</v>
      </c>
      <c r="C1089" s="42">
        <v>2</v>
      </c>
      <c r="D1089" s="45" t="s">
        <v>2379</v>
      </c>
      <c r="E1089" s="107"/>
    </row>
    <row r="1090" spans="1:5" x14ac:dyDescent="0.35">
      <c r="A1090" s="43">
        <v>1089</v>
      </c>
      <c r="B1090" s="42">
        <v>8</v>
      </c>
      <c r="C1090" s="42">
        <v>2</v>
      </c>
      <c r="D1090" s="45" t="s">
        <v>2380</v>
      </c>
      <c r="E1090" s="107"/>
    </row>
    <row r="1091" spans="1:5" x14ac:dyDescent="0.35">
      <c r="A1091" s="43">
        <v>1090</v>
      </c>
      <c r="B1091" s="42">
        <v>8</v>
      </c>
      <c r="C1091" s="42">
        <v>2</v>
      </c>
      <c r="D1091" s="45" t="s">
        <v>2381</v>
      </c>
      <c r="E1091" s="107"/>
    </row>
    <row r="1092" spans="1:5" x14ac:dyDescent="0.35">
      <c r="A1092" s="43">
        <v>1091</v>
      </c>
      <c r="B1092" s="42">
        <v>8</v>
      </c>
      <c r="C1092" s="42">
        <v>3</v>
      </c>
      <c r="D1092" s="45" t="s">
        <v>2382</v>
      </c>
      <c r="E1092" s="107"/>
    </row>
    <row r="1093" spans="1:5" x14ac:dyDescent="0.35">
      <c r="A1093" s="43">
        <v>1092</v>
      </c>
      <c r="B1093" s="42">
        <v>8</v>
      </c>
      <c r="C1093" s="42">
        <v>3</v>
      </c>
      <c r="D1093" s="45" t="s">
        <v>2383</v>
      </c>
      <c r="E1093" s="107"/>
    </row>
    <row r="1094" spans="1:5" x14ac:dyDescent="0.35">
      <c r="A1094" s="43">
        <v>1093</v>
      </c>
      <c r="B1094" s="42">
        <v>8</v>
      </c>
      <c r="C1094" s="42">
        <v>3</v>
      </c>
      <c r="D1094" s="45" t="s">
        <v>2384</v>
      </c>
      <c r="E1094" s="107"/>
    </row>
    <row r="1095" spans="1:5" x14ac:dyDescent="0.35">
      <c r="A1095" s="43">
        <v>1094</v>
      </c>
      <c r="B1095" s="42">
        <v>8</v>
      </c>
      <c r="C1095" s="42">
        <v>3</v>
      </c>
      <c r="D1095" s="45" t="s">
        <v>2385</v>
      </c>
      <c r="E1095" s="107"/>
    </row>
    <row r="1096" spans="1:5" x14ac:dyDescent="0.35">
      <c r="A1096" s="43">
        <v>1095</v>
      </c>
      <c r="B1096" s="42">
        <v>8</v>
      </c>
      <c r="C1096" s="42">
        <v>4</v>
      </c>
      <c r="D1096" s="45" t="s">
        <v>2386</v>
      </c>
      <c r="E1096" s="107"/>
    </row>
    <row r="1097" spans="1:5" x14ac:dyDescent="0.35">
      <c r="A1097" s="43">
        <v>1096</v>
      </c>
      <c r="B1097" s="42">
        <v>8</v>
      </c>
      <c r="C1097" s="42">
        <v>4</v>
      </c>
      <c r="D1097" s="45" t="s">
        <v>2387</v>
      </c>
      <c r="E1097" s="107"/>
    </row>
    <row r="1098" spans="1:5" x14ac:dyDescent="0.35">
      <c r="A1098" s="43">
        <v>1097</v>
      </c>
      <c r="B1098" s="42">
        <v>8</v>
      </c>
      <c r="C1098" s="42">
        <v>4</v>
      </c>
      <c r="D1098" s="45" t="s">
        <v>2388</v>
      </c>
      <c r="E1098" s="107"/>
    </row>
    <row r="1099" spans="1:5" x14ac:dyDescent="0.35">
      <c r="A1099" s="43">
        <v>1098</v>
      </c>
      <c r="B1099" s="42">
        <v>8</v>
      </c>
      <c r="C1099" s="42">
        <v>4</v>
      </c>
      <c r="D1099" s="45" t="s">
        <v>2389</v>
      </c>
      <c r="E1099" s="107"/>
    </row>
    <row r="1100" spans="1:5" x14ac:dyDescent="0.35">
      <c r="A1100" s="43">
        <v>1099</v>
      </c>
      <c r="B1100" s="42">
        <v>8</v>
      </c>
      <c r="C1100" s="42">
        <v>4</v>
      </c>
      <c r="D1100" s="45" t="s">
        <v>2390</v>
      </c>
      <c r="E1100" s="107"/>
    </row>
    <row r="1101" spans="1:5" x14ac:dyDescent="0.35">
      <c r="A1101" s="43">
        <v>1100</v>
      </c>
      <c r="B1101" s="42">
        <v>8</v>
      </c>
      <c r="C1101" s="42">
        <v>4</v>
      </c>
      <c r="D1101" s="45" t="s">
        <v>2391</v>
      </c>
      <c r="E1101" s="107"/>
    </row>
    <row r="1102" spans="1:5" x14ac:dyDescent="0.35">
      <c r="A1102" s="43">
        <v>1101</v>
      </c>
      <c r="B1102" s="42">
        <v>8</v>
      </c>
      <c r="C1102" s="42">
        <v>5</v>
      </c>
      <c r="D1102" s="45" t="s">
        <v>2392</v>
      </c>
      <c r="E1102" s="107"/>
    </row>
    <row r="1103" spans="1:5" x14ac:dyDescent="0.35">
      <c r="A1103" s="43">
        <v>1102</v>
      </c>
      <c r="B1103" s="42">
        <v>8</v>
      </c>
      <c r="C1103" s="42">
        <v>5</v>
      </c>
      <c r="D1103" s="45" t="s">
        <v>2393</v>
      </c>
      <c r="E1103" s="107"/>
    </row>
    <row r="1104" spans="1:5" x14ac:dyDescent="0.35">
      <c r="A1104" s="43">
        <v>1103</v>
      </c>
      <c r="B1104" s="42">
        <v>8</v>
      </c>
      <c r="C1104" s="42">
        <v>6</v>
      </c>
      <c r="D1104" s="45" t="s">
        <v>2394</v>
      </c>
      <c r="E1104" s="107"/>
    </row>
    <row r="1105" spans="1:5" x14ac:dyDescent="0.35">
      <c r="A1105" s="43">
        <v>1104</v>
      </c>
      <c r="B1105" s="42">
        <v>8</v>
      </c>
      <c r="C1105" s="42">
        <v>6</v>
      </c>
      <c r="D1105" s="45" t="s">
        <v>2395</v>
      </c>
      <c r="E1105" s="107"/>
    </row>
    <row r="1106" spans="1:5" x14ac:dyDescent="0.35">
      <c r="A1106" s="43">
        <v>1105</v>
      </c>
      <c r="B1106" s="42">
        <v>8</v>
      </c>
      <c r="C1106" s="42">
        <v>6</v>
      </c>
      <c r="D1106" s="45" t="s">
        <v>2396</v>
      </c>
      <c r="E1106" s="107"/>
    </row>
    <row r="1107" spans="1:5" x14ac:dyDescent="0.35">
      <c r="A1107" s="43">
        <v>1106</v>
      </c>
      <c r="B1107" s="42">
        <v>8</v>
      </c>
      <c r="C1107" s="42">
        <v>7</v>
      </c>
      <c r="D1107" s="45" t="s">
        <v>2397</v>
      </c>
      <c r="E1107" s="107"/>
    </row>
    <row r="1108" spans="1:5" x14ac:dyDescent="0.35">
      <c r="A1108" s="43">
        <v>1107</v>
      </c>
      <c r="B1108" s="42">
        <v>8</v>
      </c>
      <c r="C1108" s="42">
        <v>7</v>
      </c>
      <c r="D1108" s="45" t="s">
        <v>2398</v>
      </c>
      <c r="E1108" s="107"/>
    </row>
    <row r="1109" spans="1:5" x14ac:dyDescent="0.35">
      <c r="A1109" s="43">
        <v>1108</v>
      </c>
      <c r="B1109" s="42">
        <v>8</v>
      </c>
      <c r="C1109" s="42">
        <v>7</v>
      </c>
      <c r="D1109" s="45" t="s">
        <v>2399</v>
      </c>
      <c r="E1109" s="107"/>
    </row>
    <row r="1110" spans="1:5" x14ac:dyDescent="0.35">
      <c r="A1110" s="43">
        <v>1109</v>
      </c>
      <c r="B1110" s="42">
        <v>8</v>
      </c>
      <c r="C1110" s="42">
        <v>7</v>
      </c>
      <c r="D1110" s="45" t="s">
        <v>2400</v>
      </c>
      <c r="E1110" s="107"/>
    </row>
    <row r="1111" spans="1:5" x14ac:dyDescent="0.35">
      <c r="A1111" s="43">
        <v>1110</v>
      </c>
      <c r="B1111" s="42">
        <v>8</v>
      </c>
      <c r="C1111" s="42">
        <v>8</v>
      </c>
      <c r="D1111" s="45" t="s">
        <v>2401</v>
      </c>
      <c r="E1111" s="107"/>
    </row>
    <row r="1112" spans="1:5" x14ac:dyDescent="0.35">
      <c r="A1112" s="43">
        <v>1111</v>
      </c>
      <c r="B1112" s="42">
        <v>8</v>
      </c>
      <c r="C1112" s="42">
        <v>8</v>
      </c>
      <c r="D1112" s="45" t="s">
        <v>2402</v>
      </c>
      <c r="E1112" s="107"/>
    </row>
    <row r="1113" spans="1:5" x14ac:dyDescent="0.35">
      <c r="A1113" s="43">
        <v>1112</v>
      </c>
      <c r="B1113" s="42">
        <v>8</v>
      </c>
      <c r="C1113" s="42">
        <v>8</v>
      </c>
      <c r="D1113" s="45" t="s">
        <v>2403</v>
      </c>
      <c r="E1113" s="107"/>
    </row>
    <row r="1114" spans="1:5" x14ac:dyDescent="0.35">
      <c r="A1114" s="43">
        <v>1113</v>
      </c>
      <c r="B1114" s="42">
        <v>8</v>
      </c>
      <c r="C1114" s="42">
        <v>9</v>
      </c>
      <c r="D1114" s="45" t="s">
        <v>2404</v>
      </c>
      <c r="E1114" s="107"/>
    </row>
    <row r="1115" spans="1:5" x14ac:dyDescent="0.35">
      <c r="A1115" s="43">
        <v>1114</v>
      </c>
      <c r="B1115" s="42">
        <v>8</v>
      </c>
      <c r="C1115" s="42">
        <v>9</v>
      </c>
      <c r="D1115" s="45" t="s">
        <v>2405</v>
      </c>
      <c r="E1115" s="107"/>
    </row>
    <row r="1116" spans="1:5" x14ac:dyDescent="0.35">
      <c r="A1116" s="43">
        <v>1115</v>
      </c>
      <c r="B1116" s="42">
        <v>8</v>
      </c>
      <c r="C1116" s="42">
        <v>9</v>
      </c>
      <c r="D1116" s="45" t="s">
        <v>2406</v>
      </c>
      <c r="E1116" s="107"/>
    </row>
    <row r="1117" spans="1:5" x14ac:dyDescent="0.35">
      <c r="A1117" s="43">
        <v>1116</v>
      </c>
      <c r="B1117" s="42">
        <v>8</v>
      </c>
      <c r="C1117" s="42">
        <v>10</v>
      </c>
      <c r="D1117" s="45" t="s">
        <v>2407</v>
      </c>
      <c r="E1117" s="107"/>
    </row>
    <row r="1118" spans="1:5" x14ac:dyDescent="0.35">
      <c r="A1118" s="43">
        <v>1117</v>
      </c>
      <c r="B1118" s="42">
        <v>8</v>
      </c>
      <c r="C1118" s="42">
        <v>10</v>
      </c>
      <c r="D1118" s="45" t="s">
        <v>2408</v>
      </c>
      <c r="E1118" s="107"/>
    </row>
    <row r="1119" spans="1:5" x14ac:dyDescent="0.35">
      <c r="A1119" s="43">
        <v>1118</v>
      </c>
      <c r="B1119" s="42">
        <v>8</v>
      </c>
      <c r="C1119" s="42">
        <v>10</v>
      </c>
      <c r="D1119" s="45" t="s">
        <v>2160</v>
      </c>
      <c r="E1119" s="107"/>
    </row>
    <row r="1120" spans="1:5" x14ac:dyDescent="0.35">
      <c r="A1120" s="43">
        <v>1119</v>
      </c>
      <c r="B1120" s="42">
        <v>8</v>
      </c>
      <c r="C1120" s="42">
        <v>10</v>
      </c>
      <c r="D1120" s="45" t="s">
        <v>2409</v>
      </c>
      <c r="E1120" s="107"/>
    </row>
    <row r="1121" spans="1:5" x14ac:dyDescent="0.35">
      <c r="A1121" s="43">
        <v>1120</v>
      </c>
      <c r="B1121" s="42">
        <v>8</v>
      </c>
      <c r="C1121" s="42">
        <v>10</v>
      </c>
      <c r="D1121" s="45" t="s">
        <v>2410</v>
      </c>
      <c r="E1121" s="107"/>
    </row>
    <row r="1122" spans="1:5" x14ac:dyDescent="0.35">
      <c r="A1122" s="43">
        <v>1121</v>
      </c>
      <c r="B1122" s="42">
        <v>8</v>
      </c>
      <c r="C1122" s="42">
        <v>11</v>
      </c>
      <c r="D1122" s="45" t="s">
        <v>2411</v>
      </c>
      <c r="E1122" s="107"/>
    </row>
    <row r="1123" spans="1:5" x14ac:dyDescent="0.35">
      <c r="A1123" s="43">
        <v>1122</v>
      </c>
      <c r="B1123" s="42">
        <v>8</v>
      </c>
      <c r="C1123" s="42">
        <v>11</v>
      </c>
      <c r="D1123" s="45" t="s">
        <v>1477</v>
      </c>
      <c r="E1123" s="107"/>
    </row>
    <row r="1124" spans="1:5" x14ac:dyDescent="0.35">
      <c r="A1124" s="43">
        <v>1123</v>
      </c>
      <c r="B1124" s="42">
        <v>8</v>
      </c>
      <c r="C1124" s="42">
        <v>11</v>
      </c>
      <c r="D1124" s="45" t="s">
        <v>2412</v>
      </c>
      <c r="E1124" s="107"/>
    </row>
    <row r="1125" spans="1:5" x14ac:dyDescent="0.35">
      <c r="A1125" s="43">
        <v>1124</v>
      </c>
      <c r="B1125" s="42">
        <v>8</v>
      </c>
      <c r="C1125" s="42">
        <v>11</v>
      </c>
      <c r="D1125" s="45" t="s">
        <v>2413</v>
      </c>
      <c r="E1125" s="107"/>
    </row>
    <row r="1126" spans="1:5" x14ac:dyDescent="0.35">
      <c r="A1126" s="43">
        <v>1125</v>
      </c>
      <c r="B1126" s="42">
        <v>8</v>
      </c>
      <c r="C1126" s="42">
        <v>11</v>
      </c>
      <c r="D1126" s="45" t="s">
        <v>1834</v>
      </c>
      <c r="E1126" s="107"/>
    </row>
    <row r="1127" spans="1:5" x14ac:dyDescent="0.35">
      <c r="A1127" s="43">
        <v>1126</v>
      </c>
      <c r="B1127" s="42">
        <v>8</v>
      </c>
      <c r="C1127" s="42">
        <v>12</v>
      </c>
      <c r="D1127" s="45" t="s">
        <v>2386</v>
      </c>
      <c r="E1127" s="107"/>
    </row>
    <row r="1128" spans="1:5" x14ac:dyDescent="0.35">
      <c r="A1128" s="43">
        <v>1127</v>
      </c>
      <c r="B1128" s="42">
        <v>8</v>
      </c>
      <c r="C1128" s="42">
        <v>12</v>
      </c>
      <c r="D1128" s="45" t="s">
        <v>1846</v>
      </c>
      <c r="E1128" s="107"/>
    </row>
    <row r="1129" spans="1:5" x14ac:dyDescent="0.35">
      <c r="A1129" s="43">
        <v>1128</v>
      </c>
      <c r="B1129" s="42">
        <v>8</v>
      </c>
      <c r="C1129" s="42">
        <v>12</v>
      </c>
      <c r="D1129" s="45" t="s">
        <v>2414</v>
      </c>
      <c r="E1129" s="107"/>
    </row>
    <row r="1130" spans="1:5" x14ac:dyDescent="0.35">
      <c r="A1130" s="43">
        <v>1129</v>
      </c>
      <c r="B1130" s="42">
        <v>8</v>
      </c>
      <c r="C1130" s="42">
        <v>12</v>
      </c>
      <c r="D1130" s="45" t="s">
        <v>2415</v>
      </c>
      <c r="E1130" s="107"/>
    </row>
    <row r="1131" spans="1:5" x14ac:dyDescent="0.35">
      <c r="A1131" s="43">
        <v>1130</v>
      </c>
      <c r="B1131" s="44">
        <v>8</v>
      </c>
      <c r="C1131" s="44" t="s">
        <v>2417</v>
      </c>
      <c r="D1131" s="43" t="s">
        <v>2416</v>
      </c>
      <c r="E1131" s="107"/>
    </row>
    <row r="1132" spans="1:5" x14ac:dyDescent="0.35">
      <c r="A1132" s="43">
        <v>1131</v>
      </c>
      <c r="B1132" s="44">
        <v>8</v>
      </c>
      <c r="C1132" s="44" t="s">
        <v>2208</v>
      </c>
      <c r="D1132" s="43" t="s">
        <v>2418</v>
      </c>
      <c r="E1132" s="107"/>
    </row>
    <row r="1133" spans="1:5" x14ac:dyDescent="0.35">
      <c r="A1133" s="43">
        <v>1132</v>
      </c>
      <c r="B1133" s="44">
        <v>8</v>
      </c>
      <c r="C1133" s="44" t="s">
        <v>2420</v>
      </c>
      <c r="D1133" s="43" t="s">
        <v>2419</v>
      </c>
      <c r="E1133" s="107"/>
    </row>
    <row r="1134" spans="1:5" ht="25" x14ac:dyDescent="0.35">
      <c r="A1134" s="43">
        <v>1133</v>
      </c>
      <c r="B1134" s="44">
        <v>8</v>
      </c>
      <c r="C1134" s="44" t="s">
        <v>2422</v>
      </c>
      <c r="D1134" s="43" t="s">
        <v>2421</v>
      </c>
      <c r="E1134" s="107"/>
    </row>
    <row r="1135" spans="1:5" x14ac:dyDescent="0.35">
      <c r="A1135" s="43">
        <v>1134</v>
      </c>
      <c r="B1135" s="44">
        <v>8</v>
      </c>
      <c r="C1135" s="44" t="s">
        <v>126</v>
      </c>
      <c r="D1135" s="43" t="s">
        <v>2423</v>
      </c>
      <c r="E1135" s="107"/>
    </row>
    <row r="1136" spans="1:5" x14ac:dyDescent="0.35">
      <c r="A1136" s="43">
        <v>1135</v>
      </c>
      <c r="B1136" s="44">
        <v>8</v>
      </c>
      <c r="C1136" s="44" t="s">
        <v>2425</v>
      </c>
      <c r="D1136" s="43" t="s">
        <v>2424</v>
      </c>
      <c r="E1136" s="107"/>
    </row>
    <row r="1137" spans="1:5" x14ac:dyDescent="0.35">
      <c r="A1137" s="43">
        <v>1136</v>
      </c>
      <c r="B1137" s="44">
        <v>8</v>
      </c>
      <c r="C1137" s="44" t="s">
        <v>2427</v>
      </c>
      <c r="D1137" s="43" t="s">
        <v>2426</v>
      </c>
      <c r="E1137" s="107"/>
    </row>
    <row r="1138" spans="1:5" x14ac:dyDescent="0.35">
      <c r="A1138" s="43">
        <v>1137</v>
      </c>
      <c r="B1138" s="44">
        <v>8</v>
      </c>
      <c r="C1138" s="44" t="s">
        <v>2429</v>
      </c>
      <c r="D1138" s="43" t="s">
        <v>2428</v>
      </c>
      <c r="E1138" s="107"/>
    </row>
    <row r="1139" spans="1:5" x14ac:dyDescent="0.35">
      <c r="A1139" s="43">
        <v>1138</v>
      </c>
      <c r="B1139" s="44">
        <v>8</v>
      </c>
      <c r="C1139" s="44" t="s">
        <v>2431</v>
      </c>
      <c r="D1139" s="43" t="s">
        <v>2430</v>
      </c>
      <c r="E1139" s="107"/>
    </row>
    <row r="1140" spans="1:5" x14ac:dyDescent="0.35">
      <c r="A1140" s="43">
        <v>1139</v>
      </c>
      <c r="B1140" s="44">
        <v>8</v>
      </c>
      <c r="C1140" s="44" t="s">
        <v>2433</v>
      </c>
      <c r="D1140" s="43" t="s">
        <v>2432</v>
      </c>
      <c r="E1140" s="107"/>
    </row>
    <row r="1141" spans="1:5" x14ac:dyDescent="0.35">
      <c r="A1141" s="43">
        <v>1140</v>
      </c>
      <c r="B1141" s="44">
        <v>8</v>
      </c>
      <c r="C1141" s="44" t="s">
        <v>2435</v>
      </c>
      <c r="D1141" s="43" t="s">
        <v>2434</v>
      </c>
      <c r="E1141" s="107"/>
    </row>
    <row r="1142" spans="1:5" x14ac:dyDescent="0.35">
      <c r="A1142" s="43">
        <v>1141</v>
      </c>
      <c r="B1142" s="44">
        <v>8</v>
      </c>
      <c r="C1142" s="44" t="s">
        <v>126</v>
      </c>
      <c r="D1142" s="43" t="s">
        <v>2436</v>
      </c>
      <c r="E1142" s="107"/>
    </row>
    <row r="1143" spans="1:5" x14ac:dyDescent="0.35">
      <c r="A1143" s="43">
        <v>1142</v>
      </c>
      <c r="B1143" s="44">
        <v>8</v>
      </c>
      <c r="C1143" s="44" t="s">
        <v>2417</v>
      </c>
      <c r="D1143" s="43" t="s">
        <v>2437</v>
      </c>
      <c r="E1143" s="107"/>
    </row>
    <row r="1144" spans="1:5" x14ac:dyDescent="0.35">
      <c r="A1144" s="43">
        <v>1143</v>
      </c>
      <c r="B1144" s="44">
        <v>8</v>
      </c>
      <c r="C1144" s="44" t="s">
        <v>126</v>
      </c>
      <c r="D1144" s="43" t="s">
        <v>2438</v>
      </c>
      <c r="E1144" s="107"/>
    </row>
    <row r="1145" spans="1:5" x14ac:dyDescent="0.35">
      <c r="A1145" s="43">
        <v>1144</v>
      </c>
      <c r="B1145" s="44">
        <v>8</v>
      </c>
      <c r="C1145" s="44" t="s">
        <v>2440</v>
      </c>
      <c r="D1145" s="43" t="s">
        <v>2439</v>
      </c>
      <c r="E1145" s="107"/>
    </row>
    <row r="1146" spans="1:5" x14ac:dyDescent="0.35">
      <c r="A1146" s="43">
        <v>1145</v>
      </c>
      <c r="B1146" s="44">
        <v>8</v>
      </c>
      <c r="C1146" s="44" t="s">
        <v>2442</v>
      </c>
      <c r="D1146" s="43" t="s">
        <v>2441</v>
      </c>
      <c r="E1146" s="107"/>
    </row>
    <row r="1147" spans="1:5" x14ac:dyDescent="0.35">
      <c r="A1147" s="43">
        <v>1146</v>
      </c>
      <c r="B1147" s="44">
        <v>8</v>
      </c>
      <c r="C1147" s="44" t="s">
        <v>2444</v>
      </c>
      <c r="D1147" s="43" t="s">
        <v>2443</v>
      </c>
      <c r="E1147" s="107"/>
    </row>
    <row r="1148" spans="1:5" x14ac:dyDescent="0.35">
      <c r="A1148" s="43">
        <v>1147</v>
      </c>
      <c r="B1148" s="44">
        <v>8</v>
      </c>
      <c r="C1148" s="44" t="s">
        <v>1893</v>
      </c>
      <c r="D1148" s="43" t="s">
        <v>1849</v>
      </c>
      <c r="E1148" s="107"/>
    </row>
    <row r="1149" spans="1:5" x14ac:dyDescent="0.35">
      <c r="A1149" s="43">
        <v>1148</v>
      </c>
      <c r="B1149" s="44">
        <v>8</v>
      </c>
      <c r="C1149" s="44" t="s">
        <v>2446</v>
      </c>
      <c r="D1149" s="43" t="s">
        <v>2445</v>
      </c>
      <c r="E1149" s="107"/>
    </row>
    <row r="1150" spans="1:5" x14ac:dyDescent="0.35">
      <c r="A1150" s="43">
        <v>1149</v>
      </c>
      <c r="B1150" s="44">
        <v>8</v>
      </c>
      <c r="C1150" s="44" t="s">
        <v>2354</v>
      </c>
      <c r="D1150" s="43" t="s">
        <v>2447</v>
      </c>
      <c r="E1150" s="107"/>
    </row>
    <row r="1151" spans="1:5" x14ac:dyDescent="0.35">
      <c r="A1151" s="43">
        <v>1150</v>
      </c>
      <c r="B1151" s="44">
        <v>8</v>
      </c>
      <c r="C1151" s="44" t="s">
        <v>2449</v>
      </c>
      <c r="D1151" s="43" t="s">
        <v>2448</v>
      </c>
      <c r="E1151" s="107"/>
    </row>
    <row r="1152" spans="1:5" x14ac:dyDescent="0.35">
      <c r="A1152" s="43">
        <v>1151</v>
      </c>
      <c r="B1152" s="44">
        <v>8</v>
      </c>
      <c r="C1152" s="44" t="s">
        <v>2451</v>
      </c>
      <c r="D1152" s="43" t="s">
        <v>2450</v>
      </c>
      <c r="E1152" s="107"/>
    </row>
    <row r="1153" spans="1:5" x14ac:dyDescent="0.35">
      <c r="A1153" s="43">
        <v>1152</v>
      </c>
      <c r="B1153" s="44">
        <v>8</v>
      </c>
      <c r="C1153" s="44" t="s">
        <v>1911</v>
      </c>
      <c r="D1153" s="43" t="s">
        <v>2452</v>
      </c>
      <c r="E1153" s="107"/>
    </row>
    <row r="1154" spans="1:5" x14ac:dyDescent="0.35">
      <c r="A1154" s="43">
        <v>1153</v>
      </c>
      <c r="B1154" s="44">
        <v>8</v>
      </c>
      <c r="C1154" s="44" t="s">
        <v>2454</v>
      </c>
      <c r="D1154" s="43" t="s">
        <v>2453</v>
      </c>
      <c r="E1154" s="107"/>
    </row>
    <row r="1155" spans="1:5" x14ac:dyDescent="0.35">
      <c r="A1155" s="43">
        <v>1154</v>
      </c>
      <c r="B1155" s="44">
        <v>8</v>
      </c>
      <c r="C1155" s="44" t="s">
        <v>2354</v>
      </c>
      <c r="D1155" s="43" t="s">
        <v>2455</v>
      </c>
      <c r="E1155" s="107"/>
    </row>
    <row r="1156" spans="1:5" x14ac:dyDescent="0.35">
      <c r="A1156" s="43">
        <v>1155</v>
      </c>
      <c r="B1156" s="44">
        <v>8</v>
      </c>
      <c r="C1156" s="44" t="s">
        <v>2457</v>
      </c>
      <c r="D1156" s="43" t="s">
        <v>2456</v>
      </c>
      <c r="E1156" s="107"/>
    </row>
    <row r="1157" spans="1:5" x14ac:dyDescent="0.35">
      <c r="A1157" s="43">
        <v>1156</v>
      </c>
      <c r="B1157" s="44">
        <v>8</v>
      </c>
      <c r="C1157" s="44" t="s">
        <v>2459</v>
      </c>
      <c r="D1157" s="43" t="s">
        <v>2458</v>
      </c>
      <c r="E1157" s="107"/>
    </row>
    <row r="1158" spans="1:5" x14ac:dyDescent="0.35">
      <c r="A1158" s="43">
        <v>1157</v>
      </c>
      <c r="B1158" s="44">
        <v>8</v>
      </c>
      <c r="C1158" s="44" t="s">
        <v>2461</v>
      </c>
      <c r="D1158" s="43" t="s">
        <v>2460</v>
      </c>
      <c r="E1158" s="107"/>
    </row>
    <row r="1159" spans="1:5" x14ac:dyDescent="0.35">
      <c r="A1159" s="43">
        <v>1158</v>
      </c>
      <c r="B1159" s="44">
        <v>8</v>
      </c>
      <c r="C1159" s="44" t="s">
        <v>2463</v>
      </c>
      <c r="D1159" s="43" t="s">
        <v>2462</v>
      </c>
      <c r="E1159" s="107"/>
    </row>
    <row r="1160" spans="1:5" x14ac:dyDescent="0.35">
      <c r="A1160" s="43">
        <v>1159</v>
      </c>
      <c r="B1160" s="44">
        <v>8</v>
      </c>
      <c r="C1160" s="44" t="s">
        <v>2465</v>
      </c>
      <c r="D1160" s="43" t="s">
        <v>2464</v>
      </c>
      <c r="E1160" s="107"/>
    </row>
    <row r="1161" spans="1:5" x14ac:dyDescent="0.35">
      <c r="A1161" s="43">
        <v>1160</v>
      </c>
      <c r="B1161" s="42">
        <v>9</v>
      </c>
      <c r="C1161" s="42">
        <v>1</v>
      </c>
      <c r="D1161" s="45" t="s">
        <v>2466</v>
      </c>
      <c r="E1161" s="107"/>
    </row>
    <row r="1162" spans="1:5" x14ac:dyDescent="0.35">
      <c r="A1162" s="43">
        <v>1161</v>
      </c>
      <c r="B1162" s="42">
        <v>9</v>
      </c>
      <c r="C1162" s="42">
        <v>1</v>
      </c>
      <c r="D1162" s="45" t="s">
        <v>1177</v>
      </c>
      <c r="E1162" s="107"/>
    </row>
    <row r="1163" spans="1:5" x14ac:dyDescent="0.35">
      <c r="A1163" s="43">
        <v>1162</v>
      </c>
      <c r="B1163" s="42">
        <v>9</v>
      </c>
      <c r="C1163" s="42">
        <v>1</v>
      </c>
      <c r="D1163" s="45" t="s">
        <v>2467</v>
      </c>
      <c r="E1163" s="107"/>
    </row>
    <row r="1164" spans="1:5" x14ac:dyDescent="0.35">
      <c r="A1164" s="43">
        <v>1163</v>
      </c>
      <c r="B1164" s="42">
        <v>9</v>
      </c>
      <c r="C1164" s="42">
        <v>1</v>
      </c>
      <c r="D1164" s="45" t="s">
        <v>2468</v>
      </c>
      <c r="E1164" s="107"/>
    </row>
    <row r="1165" spans="1:5" x14ac:dyDescent="0.35">
      <c r="A1165" s="43">
        <v>1164</v>
      </c>
      <c r="B1165" s="42">
        <v>9</v>
      </c>
      <c r="C1165" s="42">
        <v>1</v>
      </c>
      <c r="D1165" s="45" t="s">
        <v>1998</v>
      </c>
      <c r="E1165" s="107"/>
    </row>
    <row r="1166" spans="1:5" x14ac:dyDescent="0.35">
      <c r="A1166" s="43">
        <v>1165</v>
      </c>
      <c r="B1166" s="42">
        <v>9</v>
      </c>
      <c r="C1166" s="42">
        <v>1</v>
      </c>
      <c r="D1166" s="45" t="s">
        <v>2469</v>
      </c>
      <c r="E1166" s="107"/>
    </row>
    <row r="1167" spans="1:5" x14ac:dyDescent="0.35">
      <c r="A1167" s="43">
        <v>1166</v>
      </c>
      <c r="B1167" s="42">
        <v>9</v>
      </c>
      <c r="C1167" s="42">
        <v>1</v>
      </c>
      <c r="D1167" s="45" t="s">
        <v>2470</v>
      </c>
      <c r="E1167" s="107"/>
    </row>
    <row r="1168" spans="1:5" x14ac:dyDescent="0.35">
      <c r="A1168" s="43">
        <v>1167</v>
      </c>
      <c r="B1168" s="42">
        <v>9</v>
      </c>
      <c r="C1168" s="42">
        <v>1</v>
      </c>
      <c r="D1168" s="45" t="s">
        <v>2471</v>
      </c>
      <c r="E1168" s="107"/>
    </row>
    <row r="1169" spans="1:5" x14ac:dyDescent="0.35">
      <c r="A1169" s="43">
        <v>1168</v>
      </c>
      <c r="B1169" s="42">
        <v>9</v>
      </c>
      <c r="C1169" s="42">
        <v>1</v>
      </c>
      <c r="D1169" s="45" t="s">
        <v>1993</v>
      </c>
      <c r="E1169" s="107"/>
    </row>
    <row r="1170" spans="1:5" x14ac:dyDescent="0.35">
      <c r="A1170" s="43">
        <v>1169</v>
      </c>
      <c r="B1170" s="42">
        <v>9</v>
      </c>
      <c r="C1170" s="42">
        <v>2</v>
      </c>
      <c r="D1170" s="45" t="s">
        <v>2472</v>
      </c>
      <c r="E1170" s="107"/>
    </row>
    <row r="1171" spans="1:5" x14ac:dyDescent="0.35">
      <c r="A1171" s="43">
        <v>1170</v>
      </c>
      <c r="B1171" s="42">
        <v>9</v>
      </c>
      <c r="C1171" s="42">
        <v>2</v>
      </c>
      <c r="D1171" s="45" t="s">
        <v>2473</v>
      </c>
      <c r="E1171" s="107"/>
    </row>
    <row r="1172" spans="1:5" x14ac:dyDescent="0.35">
      <c r="A1172" s="43">
        <v>1171</v>
      </c>
      <c r="B1172" s="42">
        <v>9</v>
      </c>
      <c r="C1172" s="42">
        <v>2</v>
      </c>
      <c r="D1172" s="45" t="s">
        <v>2474</v>
      </c>
      <c r="E1172" s="107"/>
    </row>
    <row r="1173" spans="1:5" x14ac:dyDescent="0.35">
      <c r="A1173" s="43">
        <v>1172</v>
      </c>
      <c r="B1173" s="42">
        <v>9</v>
      </c>
      <c r="C1173" s="42">
        <v>2</v>
      </c>
      <c r="D1173" s="45" t="s">
        <v>2475</v>
      </c>
      <c r="E1173" s="107"/>
    </row>
    <row r="1174" spans="1:5" x14ac:dyDescent="0.35">
      <c r="A1174" s="43">
        <v>1173</v>
      </c>
      <c r="B1174" s="42">
        <v>9</v>
      </c>
      <c r="C1174" s="42">
        <v>2</v>
      </c>
      <c r="D1174" s="45" t="s">
        <v>2476</v>
      </c>
      <c r="E1174" s="107"/>
    </row>
    <row r="1175" spans="1:5" x14ac:dyDescent="0.35">
      <c r="A1175" s="43">
        <v>1174</v>
      </c>
      <c r="B1175" s="42">
        <v>9</v>
      </c>
      <c r="C1175" s="42">
        <v>3</v>
      </c>
      <c r="D1175" s="45" t="s">
        <v>1402</v>
      </c>
      <c r="E1175" s="107"/>
    </row>
    <row r="1176" spans="1:5" x14ac:dyDescent="0.35">
      <c r="A1176" s="43">
        <v>1175</v>
      </c>
      <c r="B1176" s="42">
        <v>9</v>
      </c>
      <c r="C1176" s="42">
        <v>3</v>
      </c>
      <c r="D1176" s="45" t="s">
        <v>2477</v>
      </c>
      <c r="E1176" s="107"/>
    </row>
    <row r="1177" spans="1:5" x14ac:dyDescent="0.35">
      <c r="A1177" s="43">
        <v>1176</v>
      </c>
      <c r="B1177" s="42">
        <v>9</v>
      </c>
      <c r="C1177" s="42">
        <v>3</v>
      </c>
      <c r="D1177" s="45" t="s">
        <v>2385</v>
      </c>
      <c r="E1177" s="107"/>
    </row>
    <row r="1178" spans="1:5" x14ac:dyDescent="0.35">
      <c r="A1178" s="43">
        <v>1177</v>
      </c>
      <c r="B1178" s="42">
        <v>9</v>
      </c>
      <c r="C1178" s="42">
        <v>3</v>
      </c>
      <c r="D1178" s="45" t="s">
        <v>2478</v>
      </c>
      <c r="E1178" s="107"/>
    </row>
    <row r="1179" spans="1:5" x14ac:dyDescent="0.35">
      <c r="A1179" s="43">
        <v>1178</v>
      </c>
      <c r="B1179" s="42">
        <v>9</v>
      </c>
      <c r="C1179" s="42">
        <v>3</v>
      </c>
      <c r="D1179" s="45" t="s">
        <v>2467</v>
      </c>
      <c r="E1179" s="107"/>
    </row>
    <row r="1180" spans="1:5" x14ac:dyDescent="0.35">
      <c r="A1180" s="43">
        <v>1179</v>
      </c>
      <c r="B1180" s="42">
        <v>9</v>
      </c>
      <c r="C1180" s="42">
        <v>3</v>
      </c>
      <c r="D1180" s="45" t="s">
        <v>2479</v>
      </c>
      <c r="E1180" s="107"/>
    </row>
    <row r="1181" spans="1:5" x14ac:dyDescent="0.35">
      <c r="A1181" s="43">
        <v>1180</v>
      </c>
      <c r="B1181" s="42">
        <v>9</v>
      </c>
      <c r="C1181" s="42">
        <v>3</v>
      </c>
      <c r="D1181" s="45" t="s">
        <v>2480</v>
      </c>
      <c r="E1181" s="107"/>
    </row>
    <row r="1182" spans="1:5" x14ac:dyDescent="0.35">
      <c r="A1182" s="43">
        <v>1181</v>
      </c>
      <c r="B1182" s="42">
        <v>9</v>
      </c>
      <c r="C1182" s="42">
        <v>3</v>
      </c>
      <c r="D1182" s="45" t="s">
        <v>2481</v>
      </c>
      <c r="E1182" s="107"/>
    </row>
    <row r="1183" spans="1:5" x14ac:dyDescent="0.35">
      <c r="A1183" s="43">
        <v>1182</v>
      </c>
      <c r="B1183" s="42">
        <v>9</v>
      </c>
      <c r="C1183" s="42">
        <v>3</v>
      </c>
      <c r="D1183" s="45" t="s">
        <v>2482</v>
      </c>
      <c r="E1183" s="107"/>
    </row>
    <row r="1184" spans="1:5" x14ac:dyDescent="0.35">
      <c r="A1184" s="43">
        <v>1183</v>
      </c>
      <c r="B1184" s="42">
        <v>9</v>
      </c>
      <c r="C1184" s="42">
        <v>4</v>
      </c>
      <c r="D1184" s="45" t="s">
        <v>1536</v>
      </c>
      <c r="E1184" s="107"/>
    </row>
    <row r="1185" spans="1:5" x14ac:dyDescent="0.35">
      <c r="A1185" s="43">
        <v>1184</v>
      </c>
      <c r="B1185" s="42">
        <v>9</v>
      </c>
      <c r="C1185" s="42">
        <v>4</v>
      </c>
      <c r="D1185" s="45" t="s">
        <v>2483</v>
      </c>
      <c r="E1185" s="107"/>
    </row>
    <row r="1186" spans="1:5" x14ac:dyDescent="0.35">
      <c r="A1186" s="43">
        <v>1185</v>
      </c>
      <c r="B1186" s="42">
        <v>9</v>
      </c>
      <c r="C1186" s="42">
        <v>4</v>
      </c>
      <c r="D1186" s="45" t="s">
        <v>2484</v>
      </c>
      <c r="E1186" s="107"/>
    </row>
    <row r="1187" spans="1:5" x14ac:dyDescent="0.35">
      <c r="A1187" s="43">
        <v>1186</v>
      </c>
      <c r="B1187" s="42">
        <v>9</v>
      </c>
      <c r="C1187" s="42">
        <v>4</v>
      </c>
      <c r="D1187" s="45" t="s">
        <v>2485</v>
      </c>
      <c r="E1187" s="107"/>
    </row>
    <row r="1188" spans="1:5" x14ac:dyDescent="0.35">
      <c r="A1188" s="43">
        <v>1187</v>
      </c>
      <c r="B1188" s="42">
        <v>9</v>
      </c>
      <c r="C1188" s="42">
        <v>5</v>
      </c>
      <c r="D1188" s="45" t="s">
        <v>2486</v>
      </c>
      <c r="E1188" s="107"/>
    </row>
    <row r="1189" spans="1:5" x14ac:dyDescent="0.35">
      <c r="A1189" s="43">
        <v>1188</v>
      </c>
      <c r="B1189" s="42">
        <v>9</v>
      </c>
      <c r="C1189" s="42">
        <v>5</v>
      </c>
      <c r="D1189" s="45" t="s">
        <v>2487</v>
      </c>
      <c r="E1189" s="107"/>
    </row>
    <row r="1190" spans="1:5" x14ac:dyDescent="0.35">
      <c r="A1190" s="43">
        <v>1189</v>
      </c>
      <c r="B1190" s="42">
        <v>9</v>
      </c>
      <c r="C1190" s="42">
        <v>5</v>
      </c>
      <c r="D1190" s="45" t="s">
        <v>1935</v>
      </c>
      <c r="E1190" s="107"/>
    </row>
    <row r="1191" spans="1:5" x14ac:dyDescent="0.35">
      <c r="A1191" s="43">
        <v>1190</v>
      </c>
      <c r="B1191" s="42">
        <v>9</v>
      </c>
      <c r="C1191" s="42">
        <v>5</v>
      </c>
      <c r="D1191" s="45" t="s">
        <v>1993</v>
      </c>
      <c r="E1191" s="107"/>
    </row>
    <row r="1192" spans="1:5" x14ac:dyDescent="0.35">
      <c r="A1192" s="43">
        <v>1191</v>
      </c>
      <c r="B1192" s="42">
        <v>9</v>
      </c>
      <c r="C1192" s="42">
        <v>5</v>
      </c>
      <c r="D1192" s="45" t="s">
        <v>2488</v>
      </c>
      <c r="E1192" s="107"/>
    </row>
    <row r="1193" spans="1:5" x14ac:dyDescent="0.35">
      <c r="A1193" s="43">
        <v>1192</v>
      </c>
      <c r="B1193" s="42">
        <v>9</v>
      </c>
      <c r="C1193" s="42">
        <v>5</v>
      </c>
      <c r="D1193" s="45" t="s">
        <v>1580</v>
      </c>
      <c r="E1193" s="107"/>
    </row>
    <row r="1194" spans="1:5" x14ac:dyDescent="0.35">
      <c r="A1194" s="43">
        <v>1193</v>
      </c>
      <c r="B1194" s="42">
        <v>9</v>
      </c>
      <c r="C1194" s="42">
        <v>5</v>
      </c>
      <c r="D1194" s="45" t="s">
        <v>2489</v>
      </c>
      <c r="E1194" s="107"/>
    </row>
    <row r="1195" spans="1:5" x14ac:dyDescent="0.35">
      <c r="A1195" s="43">
        <v>1194</v>
      </c>
      <c r="B1195" s="42">
        <v>9</v>
      </c>
      <c r="C1195" s="42">
        <v>6</v>
      </c>
      <c r="D1195" s="45" t="s">
        <v>2490</v>
      </c>
      <c r="E1195" s="107"/>
    </row>
    <row r="1196" spans="1:5" x14ac:dyDescent="0.35">
      <c r="A1196" s="43">
        <v>1195</v>
      </c>
      <c r="B1196" s="42">
        <v>9</v>
      </c>
      <c r="C1196" s="42">
        <v>6</v>
      </c>
      <c r="D1196" s="45" t="s">
        <v>1780</v>
      </c>
      <c r="E1196" s="107"/>
    </row>
    <row r="1197" spans="1:5" x14ac:dyDescent="0.35">
      <c r="A1197" s="43">
        <v>1196</v>
      </c>
      <c r="B1197" s="42">
        <v>9</v>
      </c>
      <c r="C1197" s="42">
        <v>6</v>
      </c>
      <c r="D1197" s="45" t="s">
        <v>2491</v>
      </c>
      <c r="E1197" s="107"/>
    </row>
    <row r="1198" spans="1:5" x14ac:dyDescent="0.35">
      <c r="A1198" s="43">
        <v>1197</v>
      </c>
      <c r="B1198" s="42">
        <v>9</v>
      </c>
      <c r="C1198" s="42">
        <v>6</v>
      </c>
      <c r="D1198" s="45" t="s">
        <v>2492</v>
      </c>
      <c r="E1198" s="107"/>
    </row>
    <row r="1199" spans="1:5" x14ac:dyDescent="0.35">
      <c r="A1199" s="43">
        <v>1198</v>
      </c>
      <c r="B1199" s="42">
        <v>9</v>
      </c>
      <c r="C1199" s="42">
        <v>6</v>
      </c>
      <c r="D1199" s="45" t="s">
        <v>2493</v>
      </c>
      <c r="E1199" s="107"/>
    </row>
    <row r="1200" spans="1:5" x14ac:dyDescent="0.35">
      <c r="A1200" s="43">
        <v>1199</v>
      </c>
      <c r="B1200" s="42">
        <v>9</v>
      </c>
      <c r="C1200" s="42">
        <v>7</v>
      </c>
      <c r="D1200" s="45" t="s">
        <v>2494</v>
      </c>
      <c r="E1200" s="107"/>
    </row>
    <row r="1201" spans="1:5" x14ac:dyDescent="0.35">
      <c r="A1201" s="43">
        <v>1200</v>
      </c>
      <c r="B1201" s="42">
        <v>9</v>
      </c>
      <c r="C1201" s="42">
        <v>7</v>
      </c>
      <c r="D1201" s="45" t="s">
        <v>2495</v>
      </c>
      <c r="E1201" s="107"/>
    </row>
    <row r="1202" spans="1:5" x14ac:dyDescent="0.35">
      <c r="A1202" s="43">
        <v>1201</v>
      </c>
      <c r="B1202" s="42">
        <v>9</v>
      </c>
      <c r="C1202" s="42">
        <v>7</v>
      </c>
      <c r="D1202" s="45" t="s">
        <v>2496</v>
      </c>
      <c r="E1202" s="107"/>
    </row>
    <row r="1203" spans="1:5" x14ac:dyDescent="0.35">
      <c r="A1203" s="43">
        <v>1202</v>
      </c>
      <c r="B1203" s="42">
        <v>9</v>
      </c>
      <c r="C1203" s="42">
        <v>7</v>
      </c>
      <c r="D1203" s="45" t="s">
        <v>2497</v>
      </c>
      <c r="E1203" s="107"/>
    </row>
    <row r="1204" spans="1:5" x14ac:dyDescent="0.35">
      <c r="A1204" s="43">
        <v>1203</v>
      </c>
      <c r="B1204" s="42">
        <v>9</v>
      </c>
      <c r="C1204" s="42">
        <v>8</v>
      </c>
      <c r="D1204" s="45" t="s">
        <v>2498</v>
      </c>
      <c r="E1204" s="107"/>
    </row>
    <row r="1205" spans="1:5" x14ac:dyDescent="0.35">
      <c r="A1205" s="43">
        <v>1204</v>
      </c>
      <c r="B1205" s="42">
        <v>9</v>
      </c>
      <c r="C1205" s="42">
        <v>8</v>
      </c>
      <c r="D1205" s="45" t="s">
        <v>2499</v>
      </c>
      <c r="E1205" s="107"/>
    </row>
    <row r="1206" spans="1:5" x14ac:dyDescent="0.35">
      <c r="A1206" s="43">
        <v>1205</v>
      </c>
      <c r="B1206" s="42">
        <v>9</v>
      </c>
      <c r="C1206" s="42">
        <v>8</v>
      </c>
      <c r="D1206" s="45" t="s">
        <v>2500</v>
      </c>
      <c r="E1206" s="107"/>
    </row>
    <row r="1207" spans="1:5" x14ac:dyDescent="0.35">
      <c r="A1207" s="43">
        <v>1206</v>
      </c>
      <c r="B1207" s="42">
        <v>9</v>
      </c>
      <c r="C1207" s="42">
        <v>8</v>
      </c>
      <c r="D1207" s="45" t="s">
        <v>2501</v>
      </c>
      <c r="E1207" s="107"/>
    </row>
    <row r="1208" spans="1:5" x14ac:dyDescent="0.35">
      <c r="A1208" s="43">
        <v>1207</v>
      </c>
      <c r="B1208" s="42">
        <v>9</v>
      </c>
      <c r="C1208" s="42">
        <v>8</v>
      </c>
      <c r="D1208" s="45" t="s">
        <v>2502</v>
      </c>
      <c r="E1208" s="107"/>
    </row>
    <row r="1209" spans="1:5" x14ac:dyDescent="0.35">
      <c r="A1209" s="43">
        <v>1208</v>
      </c>
      <c r="B1209" s="42">
        <v>9</v>
      </c>
      <c r="C1209" s="42">
        <v>8</v>
      </c>
      <c r="D1209" s="45" t="s">
        <v>2503</v>
      </c>
      <c r="E1209" s="107"/>
    </row>
    <row r="1210" spans="1:5" x14ac:dyDescent="0.35">
      <c r="A1210" s="43">
        <v>1209</v>
      </c>
      <c r="B1210" s="42">
        <v>9</v>
      </c>
      <c r="C1210" s="42">
        <v>8</v>
      </c>
      <c r="D1210" s="45" t="s">
        <v>2504</v>
      </c>
      <c r="E1210" s="107"/>
    </row>
    <row r="1211" spans="1:5" x14ac:dyDescent="0.35">
      <c r="A1211" s="43">
        <v>1210</v>
      </c>
      <c r="B1211" s="42">
        <v>9</v>
      </c>
      <c r="C1211" s="42">
        <v>8</v>
      </c>
      <c r="D1211" s="45" t="s">
        <v>2505</v>
      </c>
      <c r="E1211" s="107"/>
    </row>
    <row r="1212" spans="1:5" x14ac:dyDescent="0.35">
      <c r="A1212" s="43">
        <v>1211</v>
      </c>
      <c r="B1212" s="42">
        <v>9</v>
      </c>
      <c r="C1212" s="42">
        <v>8</v>
      </c>
      <c r="D1212" s="45" t="s">
        <v>2506</v>
      </c>
      <c r="E1212" s="107"/>
    </row>
    <row r="1213" spans="1:5" x14ac:dyDescent="0.35">
      <c r="A1213" s="43">
        <v>1212</v>
      </c>
      <c r="B1213" s="42">
        <v>9</v>
      </c>
      <c r="C1213" s="42">
        <v>9</v>
      </c>
      <c r="D1213" s="45" t="s">
        <v>2507</v>
      </c>
      <c r="E1213" s="107"/>
    </row>
    <row r="1214" spans="1:5" x14ac:dyDescent="0.35">
      <c r="A1214" s="43">
        <v>1213</v>
      </c>
      <c r="B1214" s="42">
        <v>9</v>
      </c>
      <c r="C1214" s="42">
        <v>9</v>
      </c>
      <c r="D1214" s="45" t="s">
        <v>1402</v>
      </c>
      <c r="E1214" s="107"/>
    </row>
    <row r="1215" spans="1:5" x14ac:dyDescent="0.35">
      <c r="A1215" s="43">
        <v>1214</v>
      </c>
      <c r="B1215" s="42">
        <v>9</v>
      </c>
      <c r="C1215" s="42">
        <v>9</v>
      </c>
      <c r="D1215" s="45" t="s">
        <v>2508</v>
      </c>
      <c r="E1215" s="107"/>
    </row>
    <row r="1216" spans="1:5" x14ac:dyDescent="0.35">
      <c r="A1216" s="43">
        <v>1215</v>
      </c>
      <c r="B1216" s="42">
        <v>9</v>
      </c>
      <c r="C1216" s="42">
        <v>9</v>
      </c>
      <c r="D1216" s="45" t="s">
        <v>2509</v>
      </c>
      <c r="E1216" s="107"/>
    </row>
    <row r="1217" spans="1:5" x14ac:dyDescent="0.35">
      <c r="A1217" s="43">
        <v>1216</v>
      </c>
      <c r="B1217" s="42">
        <v>9</v>
      </c>
      <c r="C1217" s="42">
        <v>10</v>
      </c>
      <c r="D1217" s="45" t="s">
        <v>2510</v>
      </c>
      <c r="E1217" s="107"/>
    </row>
    <row r="1218" spans="1:5" x14ac:dyDescent="0.35">
      <c r="A1218" s="43">
        <v>1217</v>
      </c>
      <c r="B1218" s="42">
        <v>9</v>
      </c>
      <c r="C1218" s="42">
        <v>10</v>
      </c>
      <c r="D1218" s="45" t="s">
        <v>2511</v>
      </c>
      <c r="E1218" s="107"/>
    </row>
    <row r="1219" spans="1:5" x14ac:dyDescent="0.35">
      <c r="A1219" s="43">
        <v>1218</v>
      </c>
      <c r="B1219" s="42">
        <v>9</v>
      </c>
      <c r="C1219" s="42">
        <v>10</v>
      </c>
      <c r="D1219" s="45" t="s">
        <v>2512</v>
      </c>
      <c r="E1219" s="107"/>
    </row>
    <row r="1220" spans="1:5" x14ac:dyDescent="0.35">
      <c r="A1220" s="43">
        <v>1219</v>
      </c>
      <c r="B1220" s="42">
        <v>9</v>
      </c>
      <c r="C1220" s="42">
        <v>10</v>
      </c>
      <c r="D1220" s="45" t="s">
        <v>2513</v>
      </c>
      <c r="E1220" s="107"/>
    </row>
    <row r="1221" spans="1:5" x14ac:dyDescent="0.35">
      <c r="A1221" s="43">
        <v>1220</v>
      </c>
      <c r="B1221" s="42">
        <v>9</v>
      </c>
      <c r="C1221" s="42">
        <v>11</v>
      </c>
      <c r="D1221" s="45" t="s">
        <v>2514</v>
      </c>
      <c r="E1221" s="107"/>
    </row>
    <row r="1222" spans="1:5" x14ac:dyDescent="0.35">
      <c r="A1222" s="43">
        <v>1221</v>
      </c>
      <c r="B1222" s="42">
        <v>9</v>
      </c>
      <c r="C1222" s="42">
        <v>11</v>
      </c>
      <c r="D1222" s="45" t="s">
        <v>2515</v>
      </c>
      <c r="E1222" s="107"/>
    </row>
    <row r="1223" spans="1:5" x14ac:dyDescent="0.35">
      <c r="A1223" s="43">
        <v>1222</v>
      </c>
      <c r="B1223" s="42">
        <v>9</v>
      </c>
      <c r="C1223" s="42">
        <v>11</v>
      </c>
      <c r="D1223" s="45" t="s">
        <v>2516</v>
      </c>
      <c r="E1223" s="107"/>
    </row>
    <row r="1224" spans="1:5" x14ac:dyDescent="0.35">
      <c r="A1224" s="43">
        <v>1223</v>
      </c>
      <c r="B1224" s="42">
        <v>9</v>
      </c>
      <c r="C1224" s="42">
        <v>11</v>
      </c>
      <c r="D1224" s="45" t="s">
        <v>2517</v>
      </c>
      <c r="E1224" s="107"/>
    </row>
    <row r="1225" spans="1:5" x14ac:dyDescent="0.35">
      <c r="A1225" s="43">
        <v>1224</v>
      </c>
      <c r="B1225" s="42">
        <v>9</v>
      </c>
      <c r="C1225" s="42">
        <v>11</v>
      </c>
      <c r="D1225" s="45" t="s">
        <v>2518</v>
      </c>
      <c r="E1225" s="107"/>
    </row>
    <row r="1226" spans="1:5" x14ac:dyDescent="0.35">
      <c r="A1226" s="43">
        <v>1225</v>
      </c>
      <c r="B1226" s="42">
        <v>9</v>
      </c>
      <c r="C1226" s="42">
        <v>11</v>
      </c>
      <c r="D1226" s="45" t="s">
        <v>2519</v>
      </c>
      <c r="E1226" s="107"/>
    </row>
    <row r="1227" spans="1:5" x14ac:dyDescent="0.35">
      <c r="A1227" s="43">
        <v>1226</v>
      </c>
      <c r="B1227" s="42">
        <v>9</v>
      </c>
      <c r="C1227" s="42">
        <v>12</v>
      </c>
      <c r="D1227" s="45" t="s">
        <v>2477</v>
      </c>
      <c r="E1227" s="107"/>
    </row>
    <row r="1228" spans="1:5" x14ac:dyDescent="0.35">
      <c r="A1228" s="43">
        <v>1227</v>
      </c>
      <c r="B1228" s="42">
        <v>9</v>
      </c>
      <c r="C1228" s="42">
        <v>12</v>
      </c>
      <c r="D1228" s="45" t="s">
        <v>2520</v>
      </c>
      <c r="E1228" s="107"/>
    </row>
    <row r="1229" spans="1:5" x14ac:dyDescent="0.35">
      <c r="A1229" s="43">
        <v>1228</v>
      </c>
      <c r="B1229" s="42">
        <v>9</v>
      </c>
      <c r="C1229" s="42">
        <v>12</v>
      </c>
      <c r="D1229" s="45" t="s">
        <v>2521</v>
      </c>
      <c r="E1229" s="107"/>
    </row>
    <row r="1230" spans="1:5" x14ac:dyDescent="0.35">
      <c r="A1230" s="43">
        <v>1229</v>
      </c>
      <c r="B1230" s="42">
        <v>9</v>
      </c>
      <c r="C1230" s="42">
        <v>12</v>
      </c>
      <c r="D1230" s="45" t="s">
        <v>2522</v>
      </c>
      <c r="E1230" s="107"/>
    </row>
    <row r="1231" spans="1:5" x14ac:dyDescent="0.35">
      <c r="A1231" s="43">
        <v>1230</v>
      </c>
      <c r="B1231" s="44">
        <v>9</v>
      </c>
      <c r="C1231" s="44" t="s">
        <v>2523</v>
      </c>
      <c r="D1231" s="43" t="s">
        <v>106</v>
      </c>
      <c r="E1231" s="107"/>
    </row>
    <row r="1232" spans="1:5" x14ac:dyDescent="0.35">
      <c r="A1232" s="43">
        <v>1231</v>
      </c>
      <c r="B1232" s="44">
        <v>9</v>
      </c>
      <c r="C1232" s="44" t="s">
        <v>2525</v>
      </c>
      <c r="D1232" s="43" t="s">
        <v>2524</v>
      </c>
      <c r="E1232" s="107"/>
    </row>
    <row r="1233" spans="1:5" x14ac:dyDescent="0.35">
      <c r="A1233" s="43">
        <v>1232</v>
      </c>
      <c r="B1233" s="44">
        <v>9</v>
      </c>
      <c r="C1233" s="44" t="s">
        <v>2030</v>
      </c>
      <c r="D1233" s="43" t="s">
        <v>2526</v>
      </c>
      <c r="E1233" s="107"/>
    </row>
    <row r="1234" spans="1:5" x14ac:dyDescent="0.35">
      <c r="A1234" s="43">
        <v>1233</v>
      </c>
      <c r="B1234" s="44">
        <v>9</v>
      </c>
      <c r="C1234" s="44" t="s">
        <v>1320</v>
      </c>
      <c r="D1234" s="43" t="s">
        <v>2527</v>
      </c>
      <c r="E1234" s="107"/>
    </row>
    <row r="1235" spans="1:5" x14ac:dyDescent="0.35">
      <c r="A1235" s="43">
        <v>1234</v>
      </c>
      <c r="B1235" s="44">
        <v>9</v>
      </c>
      <c r="C1235" s="44" t="s">
        <v>1650</v>
      </c>
      <c r="D1235" s="43" t="s">
        <v>2528</v>
      </c>
      <c r="E1235" s="107"/>
    </row>
    <row r="1236" spans="1:5" x14ac:dyDescent="0.35">
      <c r="A1236" s="43">
        <v>1235</v>
      </c>
      <c r="B1236" s="44">
        <v>9</v>
      </c>
      <c r="C1236" s="44" t="s">
        <v>128</v>
      </c>
      <c r="D1236" s="43" t="s">
        <v>2529</v>
      </c>
      <c r="E1236" s="107"/>
    </row>
    <row r="1237" spans="1:5" x14ac:dyDescent="0.35">
      <c r="A1237" s="43">
        <v>1236</v>
      </c>
      <c r="B1237" s="44">
        <v>9</v>
      </c>
      <c r="C1237" s="44" t="s">
        <v>2531</v>
      </c>
      <c r="D1237" s="43" t="s">
        <v>2530</v>
      </c>
      <c r="E1237" s="107"/>
    </row>
    <row r="1238" spans="1:5" x14ac:dyDescent="0.35">
      <c r="A1238" s="43">
        <v>1237</v>
      </c>
      <c r="B1238" s="44">
        <v>9</v>
      </c>
      <c r="C1238" s="44" t="s">
        <v>2193</v>
      </c>
      <c r="D1238" s="43" t="s">
        <v>1536</v>
      </c>
      <c r="E1238" s="107"/>
    </row>
    <row r="1239" spans="1:5" x14ac:dyDescent="0.35">
      <c r="A1239" s="43">
        <v>1238</v>
      </c>
      <c r="B1239" s="44">
        <v>9</v>
      </c>
      <c r="C1239" s="44" t="s">
        <v>1328</v>
      </c>
      <c r="D1239" s="43" t="s">
        <v>2532</v>
      </c>
      <c r="E1239" s="107"/>
    </row>
    <row r="1240" spans="1:5" x14ac:dyDescent="0.35">
      <c r="A1240" s="43">
        <v>1239</v>
      </c>
      <c r="B1240" s="44">
        <v>9</v>
      </c>
      <c r="C1240" s="44" t="s">
        <v>1925</v>
      </c>
      <c r="D1240" s="43" t="s">
        <v>2533</v>
      </c>
      <c r="E1240" s="107"/>
    </row>
    <row r="1241" spans="1:5" x14ac:dyDescent="0.35">
      <c r="A1241" s="43">
        <v>1240</v>
      </c>
      <c r="B1241" s="44">
        <v>9</v>
      </c>
      <c r="C1241" s="44" t="s">
        <v>2535</v>
      </c>
      <c r="D1241" s="43" t="s">
        <v>2534</v>
      </c>
      <c r="E1241" s="107"/>
    </row>
    <row r="1242" spans="1:5" x14ac:dyDescent="0.35">
      <c r="A1242" s="43">
        <v>1241</v>
      </c>
      <c r="B1242" s="44">
        <v>9</v>
      </c>
      <c r="C1242" s="44" t="s">
        <v>2537</v>
      </c>
      <c r="D1242" s="43" t="s">
        <v>2536</v>
      </c>
      <c r="E1242" s="107"/>
    </row>
    <row r="1243" spans="1:5" x14ac:dyDescent="0.35">
      <c r="A1243" s="43">
        <v>1242</v>
      </c>
      <c r="B1243" s="44">
        <v>9</v>
      </c>
      <c r="C1243" s="44" t="s">
        <v>2538</v>
      </c>
      <c r="D1243" s="43" t="s">
        <v>1807</v>
      </c>
      <c r="E1243" s="107"/>
    </row>
    <row r="1244" spans="1:5" x14ac:dyDescent="0.35">
      <c r="A1244" s="43">
        <v>1243</v>
      </c>
      <c r="B1244" s="44">
        <v>9</v>
      </c>
      <c r="C1244" s="44" t="s">
        <v>2540</v>
      </c>
      <c r="D1244" s="43" t="s">
        <v>2539</v>
      </c>
      <c r="E1244" s="107"/>
    </row>
    <row r="1245" spans="1:5" x14ac:dyDescent="0.35">
      <c r="A1245" s="43">
        <v>1244</v>
      </c>
      <c r="B1245" s="44">
        <v>9</v>
      </c>
      <c r="C1245" s="44" t="s">
        <v>2542</v>
      </c>
      <c r="D1245" s="43" t="s">
        <v>2541</v>
      </c>
      <c r="E1245" s="107"/>
    </row>
    <row r="1246" spans="1:5" x14ac:dyDescent="0.35">
      <c r="A1246" s="43">
        <v>1245</v>
      </c>
      <c r="B1246" s="44">
        <v>9</v>
      </c>
      <c r="C1246" s="44" t="s">
        <v>2544</v>
      </c>
      <c r="D1246" s="43" t="s">
        <v>2543</v>
      </c>
      <c r="E1246" s="107"/>
    </row>
    <row r="1247" spans="1:5" x14ac:dyDescent="0.35">
      <c r="A1247" s="43">
        <v>1246</v>
      </c>
      <c r="B1247" s="44">
        <v>9</v>
      </c>
      <c r="C1247" s="44" t="s">
        <v>2546</v>
      </c>
      <c r="D1247" s="43" t="s">
        <v>2545</v>
      </c>
      <c r="E1247" s="107"/>
    </row>
    <row r="1248" spans="1:5" x14ac:dyDescent="0.35">
      <c r="A1248" s="43">
        <v>1247</v>
      </c>
      <c r="B1248" s="44">
        <v>9</v>
      </c>
      <c r="C1248" s="44" t="s">
        <v>2548</v>
      </c>
      <c r="D1248" s="43" t="s">
        <v>2547</v>
      </c>
      <c r="E1248" s="107"/>
    </row>
    <row r="1249" spans="1:5" x14ac:dyDescent="0.35">
      <c r="A1249" s="43">
        <v>1248</v>
      </c>
      <c r="B1249" s="42">
        <v>10</v>
      </c>
      <c r="C1249" s="42">
        <v>1</v>
      </c>
      <c r="D1249" s="45" t="s">
        <v>2549</v>
      </c>
      <c r="E1249" s="107"/>
    </row>
    <row r="1250" spans="1:5" x14ac:dyDescent="0.35">
      <c r="A1250" s="43">
        <v>1249</v>
      </c>
      <c r="B1250" s="42">
        <v>10</v>
      </c>
      <c r="C1250" s="42">
        <v>1</v>
      </c>
      <c r="D1250" s="45" t="s">
        <v>2550</v>
      </c>
      <c r="E1250" s="107"/>
    </row>
    <row r="1251" spans="1:5" x14ac:dyDescent="0.35">
      <c r="A1251" s="43">
        <v>1250</v>
      </c>
      <c r="B1251" s="42">
        <v>10</v>
      </c>
      <c r="C1251" s="42">
        <v>1</v>
      </c>
      <c r="D1251" s="45" t="s">
        <v>2551</v>
      </c>
      <c r="E1251" s="107"/>
    </row>
    <row r="1252" spans="1:5" x14ac:dyDescent="0.35">
      <c r="A1252" s="43">
        <v>1251</v>
      </c>
      <c r="B1252" s="42">
        <v>10</v>
      </c>
      <c r="C1252" s="42">
        <v>1</v>
      </c>
      <c r="D1252" s="45" t="s">
        <v>2160</v>
      </c>
      <c r="E1252" s="107"/>
    </row>
    <row r="1253" spans="1:5" x14ac:dyDescent="0.35">
      <c r="A1253" s="43">
        <v>1252</v>
      </c>
      <c r="B1253" s="42">
        <v>10</v>
      </c>
      <c r="C1253" s="42">
        <v>1</v>
      </c>
      <c r="D1253" s="45" t="s">
        <v>2552</v>
      </c>
      <c r="E1253" s="107"/>
    </row>
    <row r="1254" spans="1:5" x14ac:dyDescent="0.35">
      <c r="A1254" s="43">
        <v>1253</v>
      </c>
      <c r="B1254" s="42">
        <v>10</v>
      </c>
      <c r="C1254" s="42">
        <v>1</v>
      </c>
      <c r="D1254" s="45" t="s">
        <v>2553</v>
      </c>
      <c r="E1254" s="107"/>
    </row>
    <row r="1255" spans="1:5" x14ac:dyDescent="0.35">
      <c r="A1255" s="43">
        <v>1254</v>
      </c>
      <c r="B1255" s="42">
        <v>10</v>
      </c>
      <c r="C1255" s="42">
        <v>1</v>
      </c>
      <c r="D1255" s="45" t="s">
        <v>2554</v>
      </c>
      <c r="E1255" s="107"/>
    </row>
    <row r="1256" spans="1:5" x14ac:dyDescent="0.35">
      <c r="A1256" s="43">
        <v>1255</v>
      </c>
      <c r="B1256" s="42">
        <v>10</v>
      </c>
      <c r="C1256" s="42">
        <v>1</v>
      </c>
      <c r="D1256" s="45" t="s">
        <v>2555</v>
      </c>
      <c r="E1256" s="107"/>
    </row>
    <row r="1257" spans="1:5" x14ac:dyDescent="0.35">
      <c r="A1257" s="43">
        <v>1256</v>
      </c>
      <c r="B1257" s="42">
        <v>10</v>
      </c>
      <c r="C1257" s="42">
        <v>2</v>
      </c>
      <c r="D1257" s="45" t="s">
        <v>2556</v>
      </c>
      <c r="E1257" s="107"/>
    </row>
    <row r="1258" spans="1:5" x14ac:dyDescent="0.35">
      <c r="A1258" s="43">
        <v>1257</v>
      </c>
      <c r="B1258" s="42">
        <v>10</v>
      </c>
      <c r="C1258" s="42">
        <v>2</v>
      </c>
      <c r="D1258" s="45" t="s">
        <v>2157</v>
      </c>
      <c r="E1258" s="107"/>
    </row>
    <row r="1259" spans="1:5" x14ac:dyDescent="0.35">
      <c r="A1259" s="43">
        <v>1258</v>
      </c>
      <c r="B1259" s="42">
        <v>10</v>
      </c>
      <c r="C1259" s="42">
        <v>2</v>
      </c>
      <c r="D1259" s="45" t="s">
        <v>2557</v>
      </c>
      <c r="E1259" s="107"/>
    </row>
    <row r="1260" spans="1:5" x14ac:dyDescent="0.35">
      <c r="A1260" s="43">
        <v>1259</v>
      </c>
      <c r="B1260" s="42">
        <v>10</v>
      </c>
      <c r="C1260" s="42">
        <v>2</v>
      </c>
      <c r="D1260" s="45" t="s">
        <v>2558</v>
      </c>
      <c r="E1260" s="107"/>
    </row>
    <row r="1261" spans="1:5" x14ac:dyDescent="0.35">
      <c r="A1261" s="43">
        <v>1260</v>
      </c>
      <c r="B1261" s="42">
        <v>10</v>
      </c>
      <c r="C1261" s="42">
        <v>2</v>
      </c>
      <c r="D1261" s="45" t="s">
        <v>2559</v>
      </c>
      <c r="E1261" s="107"/>
    </row>
    <row r="1262" spans="1:5" x14ac:dyDescent="0.35">
      <c r="A1262" s="43">
        <v>1261</v>
      </c>
      <c r="B1262" s="42">
        <v>10</v>
      </c>
      <c r="C1262" s="42">
        <v>2</v>
      </c>
      <c r="D1262" s="45" t="s">
        <v>2560</v>
      </c>
      <c r="E1262" s="107"/>
    </row>
    <row r="1263" spans="1:5" x14ac:dyDescent="0.35">
      <c r="A1263" s="43">
        <v>1262</v>
      </c>
      <c r="B1263" s="42">
        <v>10</v>
      </c>
      <c r="C1263" s="42">
        <v>2</v>
      </c>
      <c r="D1263" s="45" t="s">
        <v>2561</v>
      </c>
      <c r="E1263" s="107"/>
    </row>
    <row r="1264" spans="1:5" x14ac:dyDescent="0.35">
      <c r="A1264" s="43">
        <v>1263</v>
      </c>
      <c r="B1264" s="42">
        <v>10</v>
      </c>
      <c r="C1264" s="42">
        <v>3</v>
      </c>
      <c r="D1264" s="45" t="s">
        <v>2562</v>
      </c>
      <c r="E1264" s="107"/>
    </row>
    <row r="1265" spans="1:5" x14ac:dyDescent="0.35">
      <c r="A1265" s="43">
        <v>1264</v>
      </c>
      <c r="B1265" s="42">
        <v>10</v>
      </c>
      <c r="C1265" s="42">
        <v>3</v>
      </c>
      <c r="D1265" s="45" t="s">
        <v>2563</v>
      </c>
      <c r="E1265" s="107"/>
    </row>
    <row r="1266" spans="1:5" x14ac:dyDescent="0.35">
      <c r="A1266" s="43">
        <v>1265</v>
      </c>
      <c r="B1266" s="42">
        <v>10</v>
      </c>
      <c r="C1266" s="42">
        <v>3</v>
      </c>
      <c r="D1266" s="45" t="s">
        <v>2564</v>
      </c>
      <c r="E1266" s="107"/>
    </row>
    <row r="1267" spans="1:5" x14ac:dyDescent="0.35">
      <c r="A1267" s="43">
        <v>1266</v>
      </c>
      <c r="B1267" s="42">
        <v>10</v>
      </c>
      <c r="C1267" s="42">
        <v>3</v>
      </c>
      <c r="D1267" s="45" t="s">
        <v>2565</v>
      </c>
      <c r="E1267" s="107"/>
    </row>
    <row r="1268" spans="1:5" x14ac:dyDescent="0.35">
      <c r="A1268" s="43">
        <v>1267</v>
      </c>
      <c r="B1268" s="42">
        <v>10</v>
      </c>
      <c r="C1268" s="42">
        <v>3</v>
      </c>
      <c r="D1268" s="45" t="s">
        <v>2566</v>
      </c>
      <c r="E1268" s="107"/>
    </row>
    <row r="1269" spans="1:5" x14ac:dyDescent="0.35">
      <c r="A1269" s="43">
        <v>1268</v>
      </c>
      <c r="B1269" s="42">
        <v>10</v>
      </c>
      <c r="C1269" s="42">
        <v>3</v>
      </c>
      <c r="D1269" s="45" t="s">
        <v>2567</v>
      </c>
      <c r="E1269" s="107"/>
    </row>
    <row r="1270" spans="1:5" x14ac:dyDescent="0.35">
      <c r="A1270" s="43">
        <v>1269</v>
      </c>
      <c r="B1270" s="42">
        <v>10</v>
      </c>
      <c r="C1270" s="42">
        <v>4</v>
      </c>
      <c r="D1270" s="45" t="s">
        <v>2568</v>
      </c>
      <c r="E1270" s="107"/>
    </row>
    <row r="1271" spans="1:5" x14ac:dyDescent="0.35">
      <c r="A1271" s="43">
        <v>1270</v>
      </c>
      <c r="B1271" s="42">
        <v>10</v>
      </c>
      <c r="C1271" s="42">
        <v>4</v>
      </c>
      <c r="D1271" s="45" t="s">
        <v>2569</v>
      </c>
      <c r="E1271" s="107"/>
    </row>
    <row r="1272" spans="1:5" x14ac:dyDescent="0.35">
      <c r="A1272" s="43">
        <v>1271</v>
      </c>
      <c r="B1272" s="42">
        <v>10</v>
      </c>
      <c r="C1272" s="42">
        <v>4</v>
      </c>
      <c r="D1272" s="45" t="s">
        <v>2570</v>
      </c>
      <c r="E1272" s="107"/>
    </row>
    <row r="1273" spans="1:5" x14ac:dyDescent="0.35">
      <c r="A1273" s="43">
        <v>1272</v>
      </c>
      <c r="B1273" s="42">
        <v>10</v>
      </c>
      <c r="C1273" s="42">
        <v>4</v>
      </c>
      <c r="D1273" s="45" t="s">
        <v>2571</v>
      </c>
      <c r="E1273" s="107"/>
    </row>
    <row r="1274" spans="1:5" x14ac:dyDescent="0.35">
      <c r="A1274" s="43">
        <v>1273</v>
      </c>
      <c r="B1274" s="42">
        <v>10</v>
      </c>
      <c r="C1274" s="42">
        <v>4</v>
      </c>
      <c r="D1274" s="45" t="s">
        <v>2572</v>
      </c>
      <c r="E1274" s="107"/>
    </row>
    <row r="1275" spans="1:5" x14ac:dyDescent="0.35">
      <c r="A1275" s="43">
        <v>1274</v>
      </c>
      <c r="B1275" s="42">
        <v>10</v>
      </c>
      <c r="C1275" s="42">
        <v>4</v>
      </c>
      <c r="D1275" s="45" t="s">
        <v>2573</v>
      </c>
      <c r="E1275" s="107"/>
    </row>
    <row r="1276" spans="1:5" x14ac:dyDescent="0.35">
      <c r="A1276" s="43">
        <v>1275</v>
      </c>
      <c r="B1276" s="42">
        <v>10</v>
      </c>
      <c r="C1276" s="42">
        <v>4</v>
      </c>
      <c r="D1276" s="45" t="s">
        <v>2574</v>
      </c>
      <c r="E1276" s="107"/>
    </row>
    <row r="1277" spans="1:5" x14ac:dyDescent="0.35">
      <c r="A1277" s="43">
        <v>1276</v>
      </c>
      <c r="B1277" s="42">
        <v>10</v>
      </c>
      <c r="C1277" s="42">
        <v>4</v>
      </c>
      <c r="D1277" s="45" t="s">
        <v>2575</v>
      </c>
      <c r="E1277" s="107"/>
    </row>
    <row r="1278" spans="1:5" x14ac:dyDescent="0.35">
      <c r="A1278" s="43">
        <v>1277</v>
      </c>
      <c r="B1278" s="42">
        <v>10</v>
      </c>
      <c r="C1278" s="42">
        <v>5</v>
      </c>
      <c r="D1278" s="45" t="s">
        <v>2576</v>
      </c>
      <c r="E1278" s="107"/>
    </row>
    <row r="1279" spans="1:5" x14ac:dyDescent="0.35">
      <c r="A1279" s="43">
        <v>1278</v>
      </c>
      <c r="B1279" s="42">
        <v>10</v>
      </c>
      <c r="C1279" s="42">
        <v>5</v>
      </c>
      <c r="D1279" s="45" t="s">
        <v>2577</v>
      </c>
      <c r="E1279" s="107"/>
    </row>
    <row r="1280" spans="1:5" x14ac:dyDescent="0.35">
      <c r="A1280" s="43">
        <v>1279</v>
      </c>
      <c r="B1280" s="42">
        <v>10</v>
      </c>
      <c r="C1280" s="42">
        <v>5</v>
      </c>
      <c r="D1280" s="45" t="s">
        <v>1427</v>
      </c>
      <c r="E1280" s="107"/>
    </row>
    <row r="1281" spans="1:5" x14ac:dyDescent="0.35">
      <c r="A1281" s="43">
        <v>1280</v>
      </c>
      <c r="B1281" s="42">
        <v>10</v>
      </c>
      <c r="C1281" s="42">
        <v>5</v>
      </c>
      <c r="D1281" s="45" t="s">
        <v>2578</v>
      </c>
      <c r="E1281" s="107"/>
    </row>
    <row r="1282" spans="1:5" x14ac:dyDescent="0.35">
      <c r="A1282" s="43">
        <v>1281</v>
      </c>
      <c r="B1282" s="42">
        <v>10</v>
      </c>
      <c r="C1282" s="42">
        <v>5</v>
      </c>
      <c r="D1282" s="45" t="s">
        <v>2579</v>
      </c>
      <c r="E1282" s="107"/>
    </row>
    <row r="1283" spans="1:5" x14ac:dyDescent="0.35">
      <c r="A1283" s="43">
        <v>1282</v>
      </c>
      <c r="B1283" s="42">
        <v>10</v>
      </c>
      <c r="C1283" s="42">
        <v>6</v>
      </c>
      <c r="D1283" s="45" t="s">
        <v>2580</v>
      </c>
      <c r="E1283" s="107"/>
    </row>
    <row r="1284" spans="1:5" x14ac:dyDescent="0.35">
      <c r="A1284" s="43">
        <v>1283</v>
      </c>
      <c r="B1284" s="42">
        <v>10</v>
      </c>
      <c r="C1284" s="42">
        <v>6</v>
      </c>
      <c r="D1284" s="45" t="s">
        <v>2157</v>
      </c>
      <c r="E1284" s="107"/>
    </row>
    <row r="1285" spans="1:5" x14ac:dyDescent="0.35">
      <c r="A1285" s="43">
        <v>1284</v>
      </c>
      <c r="B1285" s="42">
        <v>10</v>
      </c>
      <c r="C1285" s="42">
        <v>6</v>
      </c>
      <c r="D1285" s="45" t="s">
        <v>2581</v>
      </c>
      <c r="E1285" s="107"/>
    </row>
    <row r="1286" spans="1:5" x14ac:dyDescent="0.35">
      <c r="A1286" s="43">
        <v>1285</v>
      </c>
      <c r="B1286" s="42">
        <v>10</v>
      </c>
      <c r="C1286" s="42">
        <v>6</v>
      </c>
      <c r="D1286" s="45" t="s">
        <v>2582</v>
      </c>
      <c r="E1286" s="107"/>
    </row>
    <row r="1287" spans="1:5" x14ac:dyDescent="0.35">
      <c r="A1287" s="43">
        <v>1286</v>
      </c>
      <c r="B1287" s="42">
        <v>10</v>
      </c>
      <c r="C1287" s="42">
        <v>6</v>
      </c>
      <c r="D1287" s="45" t="s">
        <v>2583</v>
      </c>
      <c r="E1287" s="107"/>
    </row>
    <row r="1288" spans="1:5" x14ac:dyDescent="0.35">
      <c r="A1288" s="43">
        <v>1287</v>
      </c>
      <c r="B1288" s="42">
        <v>10</v>
      </c>
      <c r="C1288" s="42">
        <v>6</v>
      </c>
      <c r="D1288" s="45" t="s">
        <v>2584</v>
      </c>
      <c r="E1288" s="107"/>
    </row>
    <row r="1289" spans="1:5" x14ac:dyDescent="0.35">
      <c r="A1289" s="43">
        <v>1288</v>
      </c>
      <c r="B1289" s="42">
        <v>10</v>
      </c>
      <c r="C1289" s="42">
        <v>6</v>
      </c>
      <c r="D1289" s="45" t="s">
        <v>2585</v>
      </c>
      <c r="E1289" s="107"/>
    </row>
    <row r="1290" spans="1:5" x14ac:dyDescent="0.35">
      <c r="A1290" s="43">
        <v>1289</v>
      </c>
      <c r="B1290" s="42">
        <v>10</v>
      </c>
      <c r="C1290" s="42">
        <v>7</v>
      </c>
      <c r="D1290" s="45" t="s">
        <v>2586</v>
      </c>
      <c r="E1290" s="107"/>
    </row>
    <row r="1291" spans="1:5" x14ac:dyDescent="0.35">
      <c r="A1291" s="43">
        <v>1290</v>
      </c>
      <c r="B1291" s="42">
        <v>10</v>
      </c>
      <c r="C1291" s="42">
        <v>7</v>
      </c>
      <c r="D1291" s="45" t="s">
        <v>1538</v>
      </c>
      <c r="E1291" s="107"/>
    </row>
    <row r="1292" spans="1:5" x14ac:dyDescent="0.35">
      <c r="A1292" s="43">
        <v>1291</v>
      </c>
      <c r="B1292" s="42">
        <v>10</v>
      </c>
      <c r="C1292" s="42">
        <v>7</v>
      </c>
      <c r="D1292" s="45" t="s">
        <v>2587</v>
      </c>
      <c r="E1292" s="107"/>
    </row>
    <row r="1293" spans="1:5" x14ac:dyDescent="0.35">
      <c r="A1293" s="43">
        <v>1292</v>
      </c>
      <c r="B1293" s="42">
        <v>10</v>
      </c>
      <c r="C1293" s="42">
        <v>7</v>
      </c>
      <c r="D1293" s="45" t="s">
        <v>1401</v>
      </c>
      <c r="E1293" s="107"/>
    </row>
    <row r="1294" spans="1:5" x14ac:dyDescent="0.35">
      <c r="A1294" s="43">
        <v>1293</v>
      </c>
      <c r="B1294" s="42">
        <v>10</v>
      </c>
      <c r="C1294" s="42">
        <v>7</v>
      </c>
      <c r="D1294" s="45" t="s">
        <v>2588</v>
      </c>
      <c r="E1294" s="107"/>
    </row>
    <row r="1295" spans="1:5" x14ac:dyDescent="0.35">
      <c r="A1295" s="43">
        <v>1294</v>
      </c>
      <c r="B1295" s="42">
        <v>10</v>
      </c>
      <c r="C1295" s="42">
        <v>8</v>
      </c>
      <c r="D1295" s="45" t="s">
        <v>2589</v>
      </c>
      <c r="E1295" s="107"/>
    </row>
    <row r="1296" spans="1:5" x14ac:dyDescent="0.35">
      <c r="A1296" s="43">
        <v>1295</v>
      </c>
      <c r="B1296" s="42">
        <v>10</v>
      </c>
      <c r="C1296" s="42">
        <v>8</v>
      </c>
      <c r="D1296" s="45" t="s">
        <v>1859</v>
      </c>
      <c r="E1296" s="107"/>
    </row>
    <row r="1297" spans="1:5" x14ac:dyDescent="0.35">
      <c r="A1297" s="43">
        <v>1296</v>
      </c>
      <c r="B1297" s="42">
        <v>10</v>
      </c>
      <c r="C1297" s="42">
        <v>8</v>
      </c>
      <c r="D1297" s="45" t="s">
        <v>2590</v>
      </c>
      <c r="E1297" s="107"/>
    </row>
    <row r="1298" spans="1:5" x14ac:dyDescent="0.35">
      <c r="A1298" s="43">
        <v>1297</v>
      </c>
      <c r="B1298" s="42">
        <v>10</v>
      </c>
      <c r="C1298" s="42">
        <v>8</v>
      </c>
      <c r="D1298" s="45" t="s">
        <v>2591</v>
      </c>
      <c r="E1298" s="107"/>
    </row>
    <row r="1299" spans="1:5" x14ac:dyDescent="0.35">
      <c r="A1299" s="43">
        <v>1298</v>
      </c>
      <c r="B1299" s="42">
        <v>10</v>
      </c>
      <c r="C1299" s="42">
        <v>8</v>
      </c>
      <c r="D1299" s="45" t="s">
        <v>2592</v>
      </c>
      <c r="E1299" s="107"/>
    </row>
    <row r="1300" spans="1:5" ht="26" x14ac:dyDescent="0.35">
      <c r="A1300" s="43">
        <v>1299</v>
      </c>
      <c r="B1300" s="42">
        <v>10</v>
      </c>
      <c r="C1300" s="42">
        <v>8</v>
      </c>
      <c r="D1300" s="45" t="s">
        <v>2593</v>
      </c>
      <c r="E1300" s="107"/>
    </row>
    <row r="1301" spans="1:5" x14ac:dyDescent="0.35">
      <c r="A1301" s="43">
        <v>1300</v>
      </c>
      <c r="B1301" s="42">
        <v>10</v>
      </c>
      <c r="C1301" s="42">
        <v>8</v>
      </c>
      <c r="D1301" s="45" t="s">
        <v>2594</v>
      </c>
      <c r="E1301" s="107"/>
    </row>
    <row r="1302" spans="1:5" x14ac:dyDescent="0.35">
      <c r="A1302" s="43">
        <v>1301</v>
      </c>
      <c r="B1302" s="42">
        <v>10</v>
      </c>
      <c r="C1302" s="42">
        <v>8</v>
      </c>
      <c r="D1302" s="45" t="s">
        <v>2595</v>
      </c>
      <c r="E1302" s="107"/>
    </row>
    <row r="1303" spans="1:5" x14ac:dyDescent="0.35">
      <c r="A1303" s="43">
        <v>1302</v>
      </c>
      <c r="B1303" s="42">
        <v>10</v>
      </c>
      <c r="C1303" s="42">
        <v>9</v>
      </c>
      <c r="D1303" s="45" t="s">
        <v>2596</v>
      </c>
      <c r="E1303" s="107"/>
    </row>
    <row r="1304" spans="1:5" x14ac:dyDescent="0.35">
      <c r="A1304" s="43">
        <v>1303</v>
      </c>
      <c r="B1304" s="42">
        <v>10</v>
      </c>
      <c r="C1304" s="42">
        <v>9</v>
      </c>
      <c r="D1304" s="45" t="s">
        <v>2597</v>
      </c>
      <c r="E1304" s="107"/>
    </row>
    <row r="1305" spans="1:5" x14ac:dyDescent="0.35">
      <c r="A1305" s="43">
        <v>1304</v>
      </c>
      <c r="B1305" s="42">
        <v>10</v>
      </c>
      <c r="C1305" s="42">
        <v>9</v>
      </c>
      <c r="D1305" s="45" t="s">
        <v>1774</v>
      </c>
      <c r="E1305" s="107"/>
    </row>
    <row r="1306" spans="1:5" x14ac:dyDescent="0.35">
      <c r="A1306" s="43">
        <v>1305</v>
      </c>
      <c r="B1306" s="42">
        <v>10</v>
      </c>
      <c r="C1306" s="42">
        <v>9</v>
      </c>
      <c r="D1306" s="45" t="s">
        <v>2598</v>
      </c>
      <c r="E1306" s="107"/>
    </row>
    <row r="1307" spans="1:5" x14ac:dyDescent="0.35">
      <c r="A1307" s="43">
        <v>1306</v>
      </c>
      <c r="B1307" s="42">
        <v>10</v>
      </c>
      <c r="C1307" s="42">
        <v>9</v>
      </c>
      <c r="D1307" s="45" t="s">
        <v>1600</v>
      </c>
      <c r="E1307" s="107"/>
    </row>
    <row r="1308" spans="1:5" x14ac:dyDescent="0.35">
      <c r="A1308" s="43">
        <v>1307</v>
      </c>
      <c r="B1308" s="42">
        <v>10</v>
      </c>
      <c r="C1308" s="42">
        <v>9</v>
      </c>
      <c r="D1308" s="45" t="s">
        <v>1580</v>
      </c>
      <c r="E1308" s="107"/>
    </row>
    <row r="1309" spans="1:5" x14ac:dyDescent="0.35">
      <c r="A1309" s="43">
        <v>1308</v>
      </c>
      <c r="B1309" s="42">
        <v>10</v>
      </c>
      <c r="C1309" s="42">
        <v>9</v>
      </c>
      <c r="D1309" s="45" t="s">
        <v>2599</v>
      </c>
      <c r="E1309" s="107"/>
    </row>
    <row r="1310" spans="1:5" x14ac:dyDescent="0.35">
      <c r="A1310" s="43">
        <v>1309</v>
      </c>
      <c r="B1310" s="42">
        <v>10</v>
      </c>
      <c r="C1310" s="42">
        <v>9</v>
      </c>
      <c r="D1310" s="45" t="s">
        <v>2600</v>
      </c>
      <c r="E1310" s="107"/>
    </row>
    <row r="1311" spans="1:5" x14ac:dyDescent="0.35">
      <c r="A1311" s="43">
        <v>1310</v>
      </c>
      <c r="B1311" s="42">
        <v>10</v>
      </c>
      <c r="C1311" s="42">
        <v>10</v>
      </c>
      <c r="D1311" s="45" t="s">
        <v>2601</v>
      </c>
      <c r="E1311" s="107"/>
    </row>
    <row r="1312" spans="1:5" x14ac:dyDescent="0.35">
      <c r="A1312" s="43">
        <v>1311</v>
      </c>
      <c r="B1312" s="42">
        <v>10</v>
      </c>
      <c r="C1312" s="42">
        <v>10</v>
      </c>
      <c r="D1312" s="45" t="s">
        <v>2602</v>
      </c>
      <c r="E1312" s="107"/>
    </row>
    <row r="1313" spans="1:5" x14ac:dyDescent="0.35">
      <c r="A1313" s="43">
        <v>1312</v>
      </c>
      <c r="B1313" s="42">
        <v>10</v>
      </c>
      <c r="C1313" s="42">
        <v>10</v>
      </c>
      <c r="D1313" s="45" t="s">
        <v>2603</v>
      </c>
      <c r="E1313" s="107"/>
    </row>
    <row r="1314" spans="1:5" x14ac:dyDescent="0.35">
      <c r="A1314" s="43">
        <v>1313</v>
      </c>
      <c r="B1314" s="42">
        <v>10</v>
      </c>
      <c r="C1314" s="42">
        <v>10</v>
      </c>
      <c r="D1314" s="45" t="s">
        <v>2604</v>
      </c>
      <c r="E1314" s="107"/>
    </row>
    <row r="1315" spans="1:5" x14ac:dyDescent="0.35">
      <c r="A1315" s="43">
        <v>1314</v>
      </c>
      <c r="B1315" s="42">
        <v>10</v>
      </c>
      <c r="C1315" s="42">
        <v>10</v>
      </c>
      <c r="D1315" s="45" t="s">
        <v>1829</v>
      </c>
      <c r="E1315" s="107"/>
    </row>
    <row r="1316" spans="1:5" x14ac:dyDescent="0.35">
      <c r="A1316" s="43">
        <v>1315</v>
      </c>
      <c r="B1316" s="42">
        <v>10</v>
      </c>
      <c r="C1316" s="42">
        <v>10</v>
      </c>
      <c r="D1316" s="45" t="s">
        <v>2605</v>
      </c>
      <c r="E1316" s="107"/>
    </row>
    <row r="1317" spans="1:5" x14ac:dyDescent="0.35">
      <c r="A1317" s="43">
        <v>1316</v>
      </c>
      <c r="B1317" s="42">
        <v>10</v>
      </c>
      <c r="C1317" s="42">
        <v>10</v>
      </c>
      <c r="D1317" s="45" t="s">
        <v>2606</v>
      </c>
      <c r="E1317" s="107"/>
    </row>
    <row r="1318" spans="1:5" x14ac:dyDescent="0.35">
      <c r="A1318" s="43">
        <v>1317</v>
      </c>
      <c r="B1318" s="42">
        <v>10</v>
      </c>
      <c r="C1318" s="42">
        <v>11</v>
      </c>
      <c r="D1318" s="45" t="s">
        <v>2607</v>
      </c>
      <c r="E1318" s="107"/>
    </row>
    <row r="1319" spans="1:5" x14ac:dyDescent="0.35">
      <c r="A1319" s="43">
        <v>1318</v>
      </c>
      <c r="B1319" s="42">
        <v>10</v>
      </c>
      <c r="C1319" s="42">
        <v>11</v>
      </c>
      <c r="D1319" s="45" t="s">
        <v>2608</v>
      </c>
      <c r="E1319" s="107"/>
    </row>
    <row r="1320" spans="1:5" x14ac:dyDescent="0.35">
      <c r="A1320" s="43">
        <v>1319</v>
      </c>
      <c r="B1320" s="42">
        <v>10</v>
      </c>
      <c r="C1320" s="42">
        <v>11</v>
      </c>
      <c r="D1320" s="45" t="s">
        <v>2609</v>
      </c>
      <c r="E1320" s="107"/>
    </row>
    <row r="1321" spans="1:5" x14ac:dyDescent="0.35">
      <c r="A1321" s="43">
        <v>1320</v>
      </c>
      <c r="B1321" s="42">
        <v>10</v>
      </c>
      <c r="C1321" s="42">
        <v>11</v>
      </c>
      <c r="D1321" s="45" t="s">
        <v>2610</v>
      </c>
      <c r="E1321" s="107"/>
    </row>
    <row r="1322" spans="1:5" x14ac:dyDescent="0.35">
      <c r="A1322" s="43">
        <v>1321</v>
      </c>
      <c r="B1322" s="42">
        <v>10</v>
      </c>
      <c r="C1322" s="42">
        <v>11</v>
      </c>
      <c r="D1322" s="45" t="s">
        <v>2611</v>
      </c>
      <c r="E1322" s="107"/>
    </row>
    <row r="1323" spans="1:5" x14ac:dyDescent="0.35">
      <c r="A1323" s="43">
        <v>1322</v>
      </c>
      <c r="B1323" s="42">
        <v>10</v>
      </c>
      <c r="C1323" s="42">
        <v>11</v>
      </c>
      <c r="D1323" s="45" t="s">
        <v>2612</v>
      </c>
      <c r="E1323" s="107"/>
    </row>
    <row r="1324" spans="1:5" x14ac:dyDescent="0.35">
      <c r="A1324" s="43">
        <v>1323</v>
      </c>
      <c r="B1324" s="42">
        <v>10</v>
      </c>
      <c r="C1324" s="42">
        <v>12</v>
      </c>
      <c r="D1324" s="45" t="s">
        <v>2613</v>
      </c>
      <c r="E1324" s="107"/>
    </row>
    <row r="1325" spans="1:5" x14ac:dyDescent="0.35">
      <c r="A1325" s="43">
        <v>1324</v>
      </c>
      <c r="B1325" s="42">
        <v>10</v>
      </c>
      <c r="C1325" s="42">
        <v>12</v>
      </c>
      <c r="D1325" s="45" t="s">
        <v>2614</v>
      </c>
      <c r="E1325" s="107"/>
    </row>
    <row r="1326" spans="1:5" x14ac:dyDescent="0.35">
      <c r="A1326" s="43">
        <v>1325</v>
      </c>
      <c r="B1326" s="42">
        <v>10</v>
      </c>
      <c r="C1326" s="42">
        <v>12</v>
      </c>
      <c r="D1326" s="45" t="s">
        <v>2615</v>
      </c>
      <c r="E1326" s="107"/>
    </row>
    <row r="1327" spans="1:5" x14ac:dyDescent="0.35">
      <c r="A1327" s="43">
        <v>1326</v>
      </c>
      <c r="B1327" s="42">
        <v>10</v>
      </c>
      <c r="C1327" s="42">
        <v>12</v>
      </c>
      <c r="D1327" s="45" t="s">
        <v>2616</v>
      </c>
      <c r="E1327" s="107"/>
    </row>
    <row r="1328" spans="1:5" x14ac:dyDescent="0.35">
      <c r="A1328" s="43">
        <v>1327</v>
      </c>
      <c r="B1328" s="42">
        <v>10</v>
      </c>
      <c r="C1328" s="42">
        <v>12</v>
      </c>
      <c r="D1328" s="45" t="s">
        <v>2617</v>
      </c>
      <c r="E1328" s="107"/>
    </row>
    <row r="1329" spans="1:5" x14ac:dyDescent="0.35">
      <c r="A1329" s="43">
        <v>1328</v>
      </c>
      <c r="B1329" s="44">
        <v>10</v>
      </c>
      <c r="C1329" s="44" t="s">
        <v>2619</v>
      </c>
      <c r="D1329" s="43" t="s">
        <v>2618</v>
      </c>
      <c r="E1329" s="107"/>
    </row>
    <row r="1330" spans="1:5" x14ac:dyDescent="0.35">
      <c r="A1330" s="43">
        <v>1329</v>
      </c>
      <c r="B1330" s="44">
        <v>10</v>
      </c>
      <c r="C1330" s="44" t="s">
        <v>2621</v>
      </c>
      <c r="D1330" s="43" t="s">
        <v>2620</v>
      </c>
      <c r="E1330" s="107"/>
    </row>
    <row r="1331" spans="1:5" x14ac:dyDescent="0.35">
      <c r="A1331" s="43">
        <v>1330</v>
      </c>
      <c r="B1331" s="44">
        <v>10</v>
      </c>
      <c r="C1331" s="44" t="s">
        <v>2623</v>
      </c>
      <c r="D1331" s="43" t="s">
        <v>2622</v>
      </c>
      <c r="E1331" s="107"/>
    </row>
    <row r="1332" spans="1:5" x14ac:dyDescent="0.35">
      <c r="A1332" s="43">
        <v>1331</v>
      </c>
      <c r="B1332" s="44">
        <v>10</v>
      </c>
      <c r="C1332" s="44" t="s">
        <v>2625</v>
      </c>
      <c r="D1332" s="43" t="s">
        <v>2624</v>
      </c>
      <c r="E1332" s="107"/>
    </row>
    <row r="1333" spans="1:5" x14ac:dyDescent="0.35">
      <c r="A1333" s="43">
        <v>1332</v>
      </c>
      <c r="B1333" s="44">
        <v>10</v>
      </c>
      <c r="C1333" s="44" t="s">
        <v>2627</v>
      </c>
      <c r="D1333" s="43" t="s">
        <v>2626</v>
      </c>
      <c r="E1333" s="107"/>
    </row>
    <row r="1334" spans="1:5" x14ac:dyDescent="0.35">
      <c r="A1334" s="43">
        <v>1333</v>
      </c>
      <c r="B1334" s="44">
        <v>10</v>
      </c>
      <c r="C1334" s="44" t="s">
        <v>1317</v>
      </c>
      <c r="D1334" s="43" t="s">
        <v>2628</v>
      </c>
      <c r="E1334" s="107"/>
    </row>
    <row r="1335" spans="1:5" x14ac:dyDescent="0.35">
      <c r="A1335" s="43">
        <v>1334</v>
      </c>
      <c r="B1335" s="44">
        <v>10</v>
      </c>
      <c r="C1335" s="44" t="s">
        <v>2630</v>
      </c>
      <c r="D1335" s="43" t="s">
        <v>2629</v>
      </c>
      <c r="E1335" s="107"/>
    </row>
    <row r="1336" spans="1:5" x14ac:dyDescent="0.35">
      <c r="A1336" s="43">
        <v>1335</v>
      </c>
      <c r="B1336" s="44">
        <v>10</v>
      </c>
      <c r="C1336" s="44" t="s">
        <v>2632</v>
      </c>
      <c r="D1336" s="43" t="s">
        <v>2631</v>
      </c>
      <c r="E1336" s="107"/>
    </row>
    <row r="1337" spans="1:5" x14ac:dyDescent="0.35">
      <c r="A1337" s="43">
        <v>1336</v>
      </c>
      <c r="B1337" s="44">
        <v>10</v>
      </c>
      <c r="C1337" s="44" t="s">
        <v>131</v>
      </c>
      <c r="D1337" s="43" t="s">
        <v>2633</v>
      </c>
      <c r="E1337" s="107"/>
    </row>
    <row r="1338" spans="1:5" x14ac:dyDescent="0.35">
      <c r="A1338" s="43">
        <v>1337</v>
      </c>
      <c r="B1338" s="44">
        <v>10</v>
      </c>
      <c r="C1338" s="44" t="s">
        <v>2635</v>
      </c>
      <c r="D1338" s="43" t="s">
        <v>2634</v>
      </c>
      <c r="E1338" s="107"/>
    </row>
    <row r="1339" spans="1:5" x14ac:dyDescent="0.35">
      <c r="A1339" s="43">
        <v>1338</v>
      </c>
      <c r="B1339" s="44">
        <v>10</v>
      </c>
      <c r="C1339" s="44" t="s">
        <v>2637</v>
      </c>
      <c r="D1339" s="43" t="s">
        <v>2636</v>
      </c>
      <c r="E1339" s="107"/>
    </row>
    <row r="1340" spans="1:5" x14ac:dyDescent="0.35">
      <c r="A1340" s="43">
        <v>1339</v>
      </c>
      <c r="B1340" s="44">
        <v>10</v>
      </c>
      <c r="C1340" s="44" t="s">
        <v>2639</v>
      </c>
      <c r="D1340" s="43" t="s">
        <v>2638</v>
      </c>
      <c r="E1340" s="107"/>
    </row>
    <row r="1341" spans="1:5" x14ac:dyDescent="0.35">
      <c r="A1341" s="43">
        <v>1340</v>
      </c>
      <c r="B1341" s="44">
        <v>10</v>
      </c>
      <c r="C1341" s="44" t="s">
        <v>2641</v>
      </c>
      <c r="D1341" s="43" t="s">
        <v>2640</v>
      </c>
      <c r="E1341" s="107"/>
    </row>
    <row r="1342" spans="1:5" x14ac:dyDescent="0.35">
      <c r="A1342" s="43">
        <v>1341</v>
      </c>
      <c r="B1342" s="44">
        <v>10</v>
      </c>
      <c r="C1342" s="44" t="s">
        <v>2643</v>
      </c>
      <c r="D1342" s="43" t="s">
        <v>2642</v>
      </c>
      <c r="E1342" s="107"/>
    </row>
    <row r="1343" spans="1:5" x14ac:dyDescent="0.35">
      <c r="A1343" s="43">
        <v>1342</v>
      </c>
      <c r="B1343" s="44">
        <v>10</v>
      </c>
      <c r="C1343" s="44" t="s">
        <v>2645</v>
      </c>
      <c r="D1343" s="43" t="s">
        <v>2644</v>
      </c>
      <c r="E1343" s="107"/>
    </row>
    <row r="1344" spans="1:5" x14ac:dyDescent="0.35">
      <c r="A1344" s="43">
        <v>1343</v>
      </c>
      <c r="B1344" s="44">
        <v>10</v>
      </c>
      <c r="C1344" s="44" t="s">
        <v>2647</v>
      </c>
      <c r="D1344" s="43" t="s">
        <v>2646</v>
      </c>
      <c r="E1344" s="107"/>
    </row>
    <row r="1345" spans="1:5" x14ac:dyDescent="0.35">
      <c r="A1345" s="43">
        <v>1344</v>
      </c>
      <c r="B1345" s="44">
        <v>10</v>
      </c>
      <c r="C1345" s="44" t="s">
        <v>2649</v>
      </c>
      <c r="D1345" s="43" t="s">
        <v>2648</v>
      </c>
      <c r="E1345" s="107"/>
    </row>
    <row r="1346" spans="1:5" x14ac:dyDescent="0.35">
      <c r="A1346" s="43">
        <v>1345</v>
      </c>
      <c r="B1346" s="44">
        <v>10</v>
      </c>
      <c r="C1346" s="44" t="s">
        <v>2651</v>
      </c>
      <c r="D1346" s="43" t="s">
        <v>2650</v>
      </c>
      <c r="E1346" s="107"/>
    </row>
    <row r="1347" spans="1:5" x14ac:dyDescent="0.35">
      <c r="A1347" s="43">
        <v>1346</v>
      </c>
      <c r="B1347" s="44">
        <v>10</v>
      </c>
      <c r="C1347" s="44" t="s">
        <v>2653</v>
      </c>
      <c r="D1347" s="43" t="s">
        <v>2652</v>
      </c>
      <c r="E1347" s="107"/>
    </row>
    <row r="1348" spans="1:5" x14ac:dyDescent="0.35">
      <c r="A1348" s="43">
        <v>1347</v>
      </c>
      <c r="B1348" s="44">
        <v>10</v>
      </c>
      <c r="C1348" s="44" t="s">
        <v>2655</v>
      </c>
      <c r="D1348" s="43" t="s">
        <v>2654</v>
      </c>
      <c r="E1348" s="107"/>
    </row>
    <row r="1349" spans="1:5" x14ac:dyDescent="0.35">
      <c r="A1349" s="43">
        <v>1348</v>
      </c>
      <c r="B1349" s="44">
        <v>10</v>
      </c>
      <c r="C1349" s="44" t="s">
        <v>2657</v>
      </c>
      <c r="D1349" s="43" t="s">
        <v>2656</v>
      </c>
      <c r="E1349" s="107"/>
    </row>
    <row r="1350" spans="1:5" x14ac:dyDescent="0.35">
      <c r="A1350" s="43">
        <v>1349</v>
      </c>
      <c r="B1350" s="44">
        <v>10</v>
      </c>
      <c r="C1350" s="44" t="s">
        <v>2659</v>
      </c>
      <c r="D1350" s="43" t="s">
        <v>2658</v>
      </c>
      <c r="E1350" s="107"/>
    </row>
    <row r="1351" spans="1:5" x14ac:dyDescent="0.35">
      <c r="A1351" s="43">
        <v>1350</v>
      </c>
      <c r="B1351" s="44">
        <v>10</v>
      </c>
      <c r="C1351" s="44" t="s">
        <v>2661</v>
      </c>
      <c r="D1351" s="43" t="s">
        <v>2660</v>
      </c>
      <c r="E1351" s="107"/>
    </row>
    <row r="1352" spans="1:5" x14ac:dyDescent="0.35">
      <c r="A1352" s="43">
        <v>1351</v>
      </c>
      <c r="B1352" s="44">
        <v>10</v>
      </c>
      <c r="C1352" s="44" t="s">
        <v>2663</v>
      </c>
      <c r="D1352" s="43" t="s">
        <v>2662</v>
      </c>
      <c r="E1352" s="107"/>
    </row>
    <row r="1353" spans="1:5" x14ac:dyDescent="0.35">
      <c r="A1353" s="43">
        <v>1352</v>
      </c>
      <c r="B1353" s="44">
        <v>10</v>
      </c>
      <c r="C1353" s="44" t="s">
        <v>2665</v>
      </c>
      <c r="D1353" s="43" t="s">
        <v>2664</v>
      </c>
      <c r="E1353" s="107"/>
    </row>
    <row r="1354" spans="1:5" x14ac:dyDescent="0.35">
      <c r="A1354" s="43">
        <v>1353</v>
      </c>
      <c r="B1354" s="44">
        <v>10</v>
      </c>
      <c r="C1354" s="44" t="s">
        <v>1317</v>
      </c>
      <c r="D1354" s="43" t="s">
        <v>1556</v>
      </c>
      <c r="E1354" s="107"/>
    </row>
    <row r="1355" spans="1:5" x14ac:dyDescent="0.35">
      <c r="A1355" s="43">
        <v>1354</v>
      </c>
      <c r="B1355" s="44">
        <v>10</v>
      </c>
      <c r="C1355" s="44" t="s">
        <v>2667</v>
      </c>
      <c r="D1355" s="43" t="s">
        <v>2666</v>
      </c>
      <c r="E1355" s="107"/>
    </row>
    <row r="1356" spans="1:5" x14ac:dyDescent="0.35">
      <c r="A1356" s="43">
        <v>1355</v>
      </c>
      <c r="B1356" s="44">
        <v>10</v>
      </c>
      <c r="C1356" s="44" t="s">
        <v>2669</v>
      </c>
      <c r="D1356" s="43" t="s">
        <v>2668</v>
      </c>
      <c r="E1356" s="107"/>
    </row>
    <row r="1357" spans="1:5" x14ac:dyDescent="0.35">
      <c r="A1357" s="43">
        <v>1356</v>
      </c>
      <c r="B1357" s="44">
        <v>10</v>
      </c>
      <c r="C1357" s="44" t="s">
        <v>2671</v>
      </c>
      <c r="D1357" s="43" t="s">
        <v>2670</v>
      </c>
      <c r="E1357" s="107"/>
    </row>
    <row r="1358" spans="1:5" x14ac:dyDescent="0.35">
      <c r="A1358" s="43">
        <v>1357</v>
      </c>
      <c r="B1358" s="44">
        <v>10</v>
      </c>
      <c r="C1358" s="44" t="s">
        <v>2673</v>
      </c>
      <c r="D1358" s="43" t="s">
        <v>2672</v>
      </c>
      <c r="E1358" s="107"/>
    </row>
    <row r="1359" spans="1:5" x14ac:dyDescent="0.35">
      <c r="A1359" s="43">
        <v>1358</v>
      </c>
      <c r="B1359" s="44">
        <v>10</v>
      </c>
      <c r="C1359" s="44" t="s">
        <v>2675</v>
      </c>
      <c r="D1359" s="43" t="s">
        <v>2674</v>
      </c>
      <c r="E1359" s="107"/>
    </row>
    <row r="1360" spans="1:5" x14ac:dyDescent="0.35">
      <c r="A1360" s="43">
        <v>1359</v>
      </c>
      <c r="B1360" s="44">
        <v>10</v>
      </c>
      <c r="C1360" s="44" t="s">
        <v>2677</v>
      </c>
      <c r="D1360" s="43" t="s">
        <v>2676</v>
      </c>
      <c r="E1360" s="107"/>
    </row>
    <row r="1361" spans="1:5" x14ac:dyDescent="0.35">
      <c r="A1361" s="43">
        <v>1360</v>
      </c>
      <c r="B1361" s="44">
        <v>10</v>
      </c>
      <c r="C1361" s="44" t="s">
        <v>2679</v>
      </c>
      <c r="D1361" s="43" t="s">
        <v>2678</v>
      </c>
      <c r="E1361" s="107"/>
    </row>
    <row r="1362" spans="1:5" x14ac:dyDescent="0.35">
      <c r="A1362" s="43">
        <v>1361</v>
      </c>
      <c r="B1362" s="44">
        <v>10</v>
      </c>
      <c r="C1362" s="44" t="s">
        <v>2681</v>
      </c>
      <c r="D1362" s="43" t="s">
        <v>2680</v>
      </c>
      <c r="E1362" s="107"/>
    </row>
    <row r="1363" spans="1:5" x14ac:dyDescent="0.35">
      <c r="A1363" s="43">
        <v>1362</v>
      </c>
      <c r="B1363" s="44">
        <v>10</v>
      </c>
      <c r="C1363" s="44" t="s">
        <v>2683</v>
      </c>
      <c r="D1363" s="43" t="s">
        <v>2682</v>
      </c>
      <c r="E1363" s="107"/>
    </row>
    <row r="1364" spans="1:5" x14ac:dyDescent="0.35">
      <c r="A1364" s="43">
        <v>1363</v>
      </c>
      <c r="B1364" s="44">
        <v>10</v>
      </c>
      <c r="C1364" s="44" t="s">
        <v>2685</v>
      </c>
      <c r="D1364" s="43" t="s">
        <v>2684</v>
      </c>
      <c r="E1364" s="107"/>
    </row>
    <row r="1365" spans="1:5" x14ac:dyDescent="0.35">
      <c r="A1365" s="43">
        <v>1364</v>
      </c>
      <c r="B1365" s="44">
        <v>10</v>
      </c>
      <c r="C1365" s="44" t="s">
        <v>2687</v>
      </c>
      <c r="D1365" s="43" t="s">
        <v>2686</v>
      </c>
      <c r="E1365" s="107"/>
    </row>
    <row r="1366" spans="1:5" x14ac:dyDescent="0.35">
      <c r="A1366" s="43">
        <v>1365</v>
      </c>
      <c r="B1366" s="44">
        <v>10</v>
      </c>
      <c r="C1366" s="44" t="s">
        <v>2689</v>
      </c>
      <c r="D1366" s="43" t="s">
        <v>2688</v>
      </c>
      <c r="E1366" s="107"/>
    </row>
    <row r="1367" spans="1:5" x14ac:dyDescent="0.35">
      <c r="A1367" s="43">
        <v>1366</v>
      </c>
      <c r="B1367" s="44">
        <v>10</v>
      </c>
      <c r="C1367" s="44" t="s">
        <v>2691</v>
      </c>
      <c r="D1367" s="43" t="s">
        <v>2690</v>
      </c>
      <c r="E1367" s="107"/>
    </row>
    <row r="1368" spans="1:5" x14ac:dyDescent="0.35">
      <c r="A1368" s="43">
        <v>1367</v>
      </c>
      <c r="B1368" s="44">
        <v>10</v>
      </c>
      <c r="C1368" s="44" t="s">
        <v>2693</v>
      </c>
      <c r="D1368" s="43" t="s">
        <v>2692</v>
      </c>
      <c r="E1368" s="107"/>
    </row>
    <row r="1369" spans="1:5" x14ac:dyDescent="0.35">
      <c r="A1369" s="43">
        <v>1368</v>
      </c>
      <c r="B1369" s="44">
        <v>10</v>
      </c>
      <c r="C1369" s="44" t="s">
        <v>2695</v>
      </c>
      <c r="D1369" s="43" t="s">
        <v>2694</v>
      </c>
      <c r="E1369" s="107"/>
    </row>
    <row r="1370" spans="1:5" x14ac:dyDescent="0.35">
      <c r="A1370" s="43">
        <v>1369</v>
      </c>
      <c r="B1370" s="44">
        <v>10</v>
      </c>
      <c r="C1370" s="44" t="s">
        <v>2697</v>
      </c>
      <c r="D1370" s="43" t="s">
        <v>2696</v>
      </c>
      <c r="E1370" s="107"/>
    </row>
    <row r="1371" spans="1:5" x14ac:dyDescent="0.35">
      <c r="A1371" s="43">
        <v>1370</v>
      </c>
      <c r="B1371" s="44">
        <v>10</v>
      </c>
      <c r="C1371" s="44" t="s">
        <v>2699</v>
      </c>
      <c r="D1371" s="43" t="s">
        <v>2698</v>
      </c>
      <c r="E1371" s="107"/>
    </row>
    <row r="1372" spans="1:5" x14ac:dyDescent="0.35">
      <c r="A1372" s="43">
        <v>1371</v>
      </c>
      <c r="B1372" s="44">
        <v>10</v>
      </c>
      <c r="C1372" s="44" t="s">
        <v>2701</v>
      </c>
      <c r="D1372" s="43" t="s">
        <v>2700</v>
      </c>
      <c r="E1372" s="107"/>
    </row>
    <row r="1373" spans="1:5" x14ac:dyDescent="0.35">
      <c r="A1373" s="43">
        <v>1372</v>
      </c>
      <c r="B1373" s="42">
        <v>11</v>
      </c>
      <c r="C1373" s="42">
        <v>1</v>
      </c>
      <c r="D1373" s="45" t="s">
        <v>2702</v>
      </c>
      <c r="E1373" s="107"/>
    </row>
    <row r="1374" spans="1:5" x14ac:dyDescent="0.35">
      <c r="A1374" s="43">
        <v>1373</v>
      </c>
      <c r="B1374" s="42">
        <v>11</v>
      </c>
      <c r="C1374" s="42">
        <v>1</v>
      </c>
      <c r="D1374" s="45" t="s">
        <v>1735</v>
      </c>
      <c r="E1374" s="107"/>
    </row>
    <row r="1375" spans="1:5" x14ac:dyDescent="0.35">
      <c r="A1375" s="43">
        <v>1374</v>
      </c>
      <c r="B1375" s="42">
        <v>11</v>
      </c>
      <c r="C1375" s="42">
        <v>1</v>
      </c>
      <c r="D1375" s="45" t="s">
        <v>2375</v>
      </c>
      <c r="E1375" s="107"/>
    </row>
    <row r="1376" spans="1:5" x14ac:dyDescent="0.35">
      <c r="A1376" s="43">
        <v>1375</v>
      </c>
      <c r="B1376" s="42">
        <v>11</v>
      </c>
      <c r="C1376" s="42">
        <v>1</v>
      </c>
      <c r="D1376" s="45" t="s">
        <v>2703</v>
      </c>
      <c r="E1376" s="107"/>
    </row>
    <row r="1377" spans="1:5" x14ac:dyDescent="0.35">
      <c r="A1377" s="43">
        <v>1376</v>
      </c>
      <c r="B1377" s="42">
        <v>11</v>
      </c>
      <c r="C1377" s="42">
        <v>1</v>
      </c>
      <c r="D1377" s="45" t="s">
        <v>2704</v>
      </c>
      <c r="E1377" s="107"/>
    </row>
    <row r="1378" spans="1:5" x14ac:dyDescent="0.35">
      <c r="A1378" s="43">
        <v>1377</v>
      </c>
      <c r="B1378" s="42">
        <v>11</v>
      </c>
      <c r="C1378" s="42">
        <v>1</v>
      </c>
      <c r="D1378" s="45" t="s">
        <v>2705</v>
      </c>
      <c r="E1378" s="107"/>
    </row>
    <row r="1379" spans="1:5" x14ac:dyDescent="0.35">
      <c r="A1379" s="43">
        <v>1378</v>
      </c>
      <c r="B1379" s="42">
        <v>11</v>
      </c>
      <c r="C1379" s="42">
        <v>1</v>
      </c>
      <c r="D1379" s="45" t="s">
        <v>2395</v>
      </c>
      <c r="E1379" s="107"/>
    </row>
    <row r="1380" spans="1:5" x14ac:dyDescent="0.35">
      <c r="A1380" s="43">
        <v>1379</v>
      </c>
      <c r="B1380" s="42">
        <v>11</v>
      </c>
      <c r="C1380" s="42">
        <v>1</v>
      </c>
      <c r="D1380" s="45" t="s">
        <v>2706</v>
      </c>
      <c r="E1380" s="107"/>
    </row>
    <row r="1381" spans="1:5" x14ac:dyDescent="0.35">
      <c r="A1381" s="43">
        <v>1380</v>
      </c>
      <c r="B1381" s="42">
        <v>11</v>
      </c>
      <c r="C1381" s="42">
        <v>1</v>
      </c>
      <c r="D1381" s="45" t="s">
        <v>1960</v>
      </c>
      <c r="E1381" s="107"/>
    </row>
    <row r="1382" spans="1:5" x14ac:dyDescent="0.35">
      <c r="A1382" s="43">
        <v>1381</v>
      </c>
      <c r="B1382" s="42">
        <v>11</v>
      </c>
      <c r="C1382" s="42">
        <v>1</v>
      </c>
      <c r="D1382" s="45" t="s">
        <v>2707</v>
      </c>
      <c r="E1382" s="107"/>
    </row>
    <row r="1383" spans="1:5" x14ac:dyDescent="0.35">
      <c r="A1383" s="43">
        <v>1382</v>
      </c>
      <c r="B1383" s="42">
        <v>11</v>
      </c>
      <c r="C1383" s="42">
        <v>2</v>
      </c>
      <c r="D1383" s="45" t="s">
        <v>2708</v>
      </c>
      <c r="E1383" s="107"/>
    </row>
    <row r="1384" spans="1:5" x14ac:dyDescent="0.35">
      <c r="A1384" s="43">
        <v>1383</v>
      </c>
      <c r="B1384" s="42">
        <v>11</v>
      </c>
      <c r="C1384" s="42">
        <v>2</v>
      </c>
      <c r="D1384" s="45" t="s">
        <v>2709</v>
      </c>
      <c r="E1384" s="107"/>
    </row>
    <row r="1385" spans="1:5" x14ac:dyDescent="0.35">
      <c r="A1385" s="43">
        <v>1384</v>
      </c>
      <c r="B1385" s="42">
        <v>11</v>
      </c>
      <c r="C1385" s="42">
        <v>2</v>
      </c>
      <c r="D1385" s="45" t="s">
        <v>2710</v>
      </c>
      <c r="E1385" s="107"/>
    </row>
    <row r="1386" spans="1:5" x14ac:dyDescent="0.35">
      <c r="A1386" s="43">
        <v>1385</v>
      </c>
      <c r="B1386" s="42">
        <v>11</v>
      </c>
      <c r="C1386" s="42">
        <v>2</v>
      </c>
      <c r="D1386" s="45" t="s">
        <v>1401</v>
      </c>
      <c r="E1386" s="107"/>
    </row>
    <row r="1387" spans="1:5" x14ac:dyDescent="0.35">
      <c r="A1387" s="43">
        <v>1386</v>
      </c>
      <c r="B1387" s="42">
        <v>11</v>
      </c>
      <c r="C1387" s="42">
        <v>2</v>
      </c>
      <c r="D1387" s="45" t="s">
        <v>2711</v>
      </c>
      <c r="E1387" s="107"/>
    </row>
    <row r="1388" spans="1:5" x14ac:dyDescent="0.35">
      <c r="A1388" s="43">
        <v>1387</v>
      </c>
      <c r="B1388" s="42">
        <v>11</v>
      </c>
      <c r="C1388" s="42">
        <v>2</v>
      </c>
      <c r="D1388" s="45" t="s">
        <v>2712</v>
      </c>
      <c r="E1388" s="107"/>
    </row>
    <row r="1389" spans="1:5" x14ac:dyDescent="0.35">
      <c r="A1389" s="43">
        <v>1388</v>
      </c>
      <c r="B1389" s="42">
        <v>11</v>
      </c>
      <c r="C1389" s="42">
        <v>2</v>
      </c>
      <c r="D1389" s="45" t="s">
        <v>2713</v>
      </c>
      <c r="E1389" s="107"/>
    </row>
    <row r="1390" spans="1:5" x14ac:dyDescent="0.35">
      <c r="A1390" s="43">
        <v>1389</v>
      </c>
      <c r="B1390" s="42">
        <v>11</v>
      </c>
      <c r="C1390" s="42">
        <v>2</v>
      </c>
      <c r="D1390" s="45" t="s">
        <v>2714</v>
      </c>
      <c r="E1390" s="107"/>
    </row>
    <row r="1391" spans="1:5" x14ac:dyDescent="0.35">
      <c r="A1391" s="43">
        <v>1390</v>
      </c>
      <c r="B1391" s="42">
        <v>11</v>
      </c>
      <c r="C1391" s="42">
        <v>3</v>
      </c>
      <c r="D1391" s="45" t="s">
        <v>2715</v>
      </c>
      <c r="E1391" s="107"/>
    </row>
    <row r="1392" spans="1:5" x14ac:dyDescent="0.35">
      <c r="A1392" s="43">
        <v>1391</v>
      </c>
      <c r="B1392" s="42">
        <v>11</v>
      </c>
      <c r="C1392" s="42">
        <v>3</v>
      </c>
      <c r="D1392" s="45" t="s">
        <v>2716</v>
      </c>
      <c r="E1392" s="107"/>
    </row>
    <row r="1393" spans="1:5" x14ac:dyDescent="0.35">
      <c r="A1393" s="43">
        <v>1392</v>
      </c>
      <c r="B1393" s="42">
        <v>11</v>
      </c>
      <c r="C1393" s="42">
        <v>3</v>
      </c>
      <c r="D1393" s="45" t="s">
        <v>2717</v>
      </c>
      <c r="E1393" s="107"/>
    </row>
    <row r="1394" spans="1:5" x14ac:dyDescent="0.35">
      <c r="A1394" s="43">
        <v>1393</v>
      </c>
      <c r="B1394" s="42">
        <v>11</v>
      </c>
      <c r="C1394" s="42">
        <v>3</v>
      </c>
      <c r="D1394" s="45" t="s">
        <v>2385</v>
      </c>
      <c r="E1394" s="107"/>
    </row>
    <row r="1395" spans="1:5" x14ac:dyDescent="0.35">
      <c r="A1395" s="43">
        <v>1394</v>
      </c>
      <c r="B1395" s="42">
        <v>11</v>
      </c>
      <c r="C1395" s="42">
        <v>3</v>
      </c>
      <c r="D1395" s="45" t="s">
        <v>2718</v>
      </c>
      <c r="E1395" s="107"/>
    </row>
    <row r="1396" spans="1:5" x14ac:dyDescent="0.35">
      <c r="A1396" s="43">
        <v>1395</v>
      </c>
      <c r="B1396" s="42">
        <v>11</v>
      </c>
      <c r="C1396" s="42">
        <v>3</v>
      </c>
      <c r="D1396" s="45" t="s">
        <v>2719</v>
      </c>
      <c r="E1396" s="107"/>
    </row>
    <row r="1397" spans="1:5" x14ac:dyDescent="0.35">
      <c r="A1397" s="43">
        <v>1396</v>
      </c>
      <c r="B1397" s="42">
        <v>11</v>
      </c>
      <c r="C1397" s="42">
        <v>3</v>
      </c>
      <c r="D1397" s="45" t="s">
        <v>2478</v>
      </c>
      <c r="E1397" s="107"/>
    </row>
    <row r="1398" spans="1:5" x14ac:dyDescent="0.35">
      <c r="A1398" s="43">
        <v>1397</v>
      </c>
      <c r="B1398" s="42">
        <v>11</v>
      </c>
      <c r="C1398" s="42">
        <v>3</v>
      </c>
      <c r="D1398" s="45" t="s">
        <v>2720</v>
      </c>
      <c r="E1398" s="107"/>
    </row>
    <row r="1399" spans="1:5" x14ac:dyDescent="0.35">
      <c r="A1399" s="43">
        <v>1398</v>
      </c>
      <c r="B1399" s="42">
        <v>11</v>
      </c>
      <c r="C1399" s="42">
        <v>3</v>
      </c>
      <c r="D1399" s="45" t="s">
        <v>2721</v>
      </c>
      <c r="E1399" s="107"/>
    </row>
    <row r="1400" spans="1:5" x14ac:dyDescent="0.35">
      <c r="A1400" s="43">
        <v>1399</v>
      </c>
      <c r="B1400" s="42">
        <v>11</v>
      </c>
      <c r="C1400" s="42">
        <v>3</v>
      </c>
      <c r="D1400" s="45" t="s">
        <v>2722</v>
      </c>
      <c r="E1400" s="107"/>
    </row>
    <row r="1401" spans="1:5" x14ac:dyDescent="0.35">
      <c r="A1401" s="43">
        <v>1400</v>
      </c>
      <c r="B1401" s="42">
        <v>11</v>
      </c>
      <c r="C1401" s="42">
        <v>4</v>
      </c>
      <c r="D1401" s="45" t="s">
        <v>2723</v>
      </c>
      <c r="E1401" s="107"/>
    </row>
    <row r="1402" spans="1:5" x14ac:dyDescent="0.35">
      <c r="A1402" s="43">
        <v>1401</v>
      </c>
      <c r="B1402" s="42">
        <v>11</v>
      </c>
      <c r="C1402" s="42">
        <v>4</v>
      </c>
      <c r="D1402" s="45" t="s">
        <v>2724</v>
      </c>
      <c r="E1402" s="107"/>
    </row>
    <row r="1403" spans="1:5" x14ac:dyDescent="0.35">
      <c r="A1403" s="43">
        <v>1402</v>
      </c>
      <c r="B1403" s="42">
        <v>11</v>
      </c>
      <c r="C1403" s="42">
        <v>4</v>
      </c>
      <c r="D1403" s="45" t="s">
        <v>2725</v>
      </c>
      <c r="E1403" s="107"/>
    </row>
    <row r="1404" spans="1:5" x14ac:dyDescent="0.35">
      <c r="A1404" s="43">
        <v>1403</v>
      </c>
      <c r="B1404" s="42">
        <v>11</v>
      </c>
      <c r="C1404" s="42">
        <v>4</v>
      </c>
      <c r="D1404" s="45" t="s">
        <v>2726</v>
      </c>
      <c r="E1404" s="107"/>
    </row>
    <row r="1405" spans="1:5" x14ac:dyDescent="0.35">
      <c r="A1405" s="43">
        <v>1404</v>
      </c>
      <c r="B1405" s="42">
        <v>11</v>
      </c>
      <c r="C1405" s="42">
        <v>4</v>
      </c>
      <c r="D1405" s="45" t="s">
        <v>2129</v>
      </c>
      <c r="E1405" s="107"/>
    </row>
    <row r="1406" spans="1:5" x14ac:dyDescent="0.35">
      <c r="A1406" s="43">
        <v>1405</v>
      </c>
      <c r="B1406" s="42">
        <v>11</v>
      </c>
      <c r="C1406" s="42">
        <v>5</v>
      </c>
      <c r="D1406" s="45" t="s">
        <v>2727</v>
      </c>
      <c r="E1406" s="107"/>
    </row>
    <row r="1407" spans="1:5" x14ac:dyDescent="0.35">
      <c r="A1407" s="43">
        <v>1406</v>
      </c>
      <c r="B1407" s="42">
        <v>11</v>
      </c>
      <c r="C1407" s="42">
        <v>5</v>
      </c>
      <c r="D1407" s="45" t="s">
        <v>2009</v>
      </c>
      <c r="E1407" s="107"/>
    </row>
    <row r="1408" spans="1:5" x14ac:dyDescent="0.35">
      <c r="A1408" s="43">
        <v>1407</v>
      </c>
      <c r="B1408" s="42">
        <v>11</v>
      </c>
      <c r="C1408" s="42">
        <v>5</v>
      </c>
      <c r="D1408" s="45" t="s">
        <v>2728</v>
      </c>
      <c r="E1408" s="107"/>
    </row>
    <row r="1409" spans="1:5" x14ac:dyDescent="0.35">
      <c r="A1409" s="43">
        <v>1408</v>
      </c>
      <c r="B1409" s="42">
        <v>11</v>
      </c>
      <c r="C1409" s="42">
        <v>5</v>
      </c>
      <c r="D1409" s="45" t="s">
        <v>2729</v>
      </c>
      <c r="E1409" s="107"/>
    </row>
    <row r="1410" spans="1:5" x14ac:dyDescent="0.35">
      <c r="A1410" s="43">
        <v>1409</v>
      </c>
      <c r="B1410" s="42">
        <v>11</v>
      </c>
      <c r="C1410" s="42">
        <v>5</v>
      </c>
      <c r="D1410" s="45" t="s">
        <v>2730</v>
      </c>
      <c r="E1410" s="107"/>
    </row>
    <row r="1411" spans="1:5" x14ac:dyDescent="0.35">
      <c r="A1411" s="43">
        <v>1410</v>
      </c>
      <c r="B1411" s="42">
        <v>11</v>
      </c>
      <c r="C1411" s="42">
        <v>5</v>
      </c>
      <c r="D1411" s="45" t="s">
        <v>2731</v>
      </c>
      <c r="E1411" s="107"/>
    </row>
    <row r="1412" spans="1:5" x14ac:dyDescent="0.35">
      <c r="A1412" s="43">
        <v>1411</v>
      </c>
      <c r="B1412" s="42">
        <v>11</v>
      </c>
      <c r="C1412" s="42">
        <v>5</v>
      </c>
      <c r="D1412" s="45" t="s">
        <v>2732</v>
      </c>
      <c r="E1412" s="107"/>
    </row>
    <row r="1413" spans="1:5" x14ac:dyDescent="0.35">
      <c r="A1413" s="43">
        <v>1412</v>
      </c>
      <c r="B1413" s="42">
        <v>11</v>
      </c>
      <c r="C1413" s="42">
        <v>5</v>
      </c>
      <c r="D1413" s="45" t="s">
        <v>1960</v>
      </c>
      <c r="E1413" s="107"/>
    </row>
    <row r="1414" spans="1:5" x14ac:dyDescent="0.35">
      <c r="A1414" s="43">
        <v>1413</v>
      </c>
      <c r="B1414" s="42">
        <v>11</v>
      </c>
      <c r="C1414" s="42">
        <v>5</v>
      </c>
      <c r="D1414" s="45" t="s">
        <v>2733</v>
      </c>
      <c r="E1414" s="107"/>
    </row>
    <row r="1415" spans="1:5" x14ac:dyDescent="0.35">
      <c r="A1415" s="43">
        <v>1414</v>
      </c>
      <c r="B1415" s="42">
        <v>11</v>
      </c>
      <c r="C1415" s="42">
        <v>5</v>
      </c>
      <c r="D1415" s="45" t="s">
        <v>2734</v>
      </c>
      <c r="E1415" s="107"/>
    </row>
    <row r="1416" spans="1:5" x14ac:dyDescent="0.35">
      <c r="A1416" s="43">
        <v>1415</v>
      </c>
      <c r="B1416" s="42">
        <v>11</v>
      </c>
      <c r="C1416" s="42">
        <v>6</v>
      </c>
      <c r="D1416" s="45" t="s">
        <v>2702</v>
      </c>
      <c r="E1416" s="107"/>
    </row>
    <row r="1417" spans="1:5" x14ac:dyDescent="0.35">
      <c r="A1417" s="43">
        <v>1416</v>
      </c>
      <c r="B1417" s="42">
        <v>11</v>
      </c>
      <c r="C1417" s="42">
        <v>6</v>
      </c>
      <c r="D1417" s="45" t="s">
        <v>1735</v>
      </c>
      <c r="E1417" s="107"/>
    </row>
    <row r="1418" spans="1:5" x14ac:dyDescent="0.35">
      <c r="A1418" s="43">
        <v>1417</v>
      </c>
      <c r="B1418" s="42">
        <v>11</v>
      </c>
      <c r="C1418" s="42">
        <v>6</v>
      </c>
      <c r="D1418" s="45" t="s">
        <v>2375</v>
      </c>
      <c r="E1418" s="107"/>
    </row>
    <row r="1419" spans="1:5" x14ac:dyDescent="0.35">
      <c r="A1419" s="43">
        <v>1418</v>
      </c>
      <c r="B1419" s="42">
        <v>11</v>
      </c>
      <c r="C1419" s="42">
        <v>6</v>
      </c>
      <c r="D1419" s="45" t="s">
        <v>2703</v>
      </c>
      <c r="E1419" s="107"/>
    </row>
    <row r="1420" spans="1:5" x14ac:dyDescent="0.35">
      <c r="A1420" s="43">
        <v>1419</v>
      </c>
      <c r="B1420" s="42">
        <v>11</v>
      </c>
      <c r="C1420" s="42">
        <v>6</v>
      </c>
      <c r="D1420" s="45" t="s">
        <v>2704</v>
      </c>
      <c r="E1420" s="107"/>
    </row>
    <row r="1421" spans="1:5" x14ac:dyDescent="0.35">
      <c r="A1421" s="43">
        <v>1420</v>
      </c>
      <c r="B1421" s="42">
        <v>11</v>
      </c>
      <c r="C1421" s="42">
        <v>6</v>
      </c>
      <c r="D1421" s="45" t="s">
        <v>2705</v>
      </c>
      <c r="E1421" s="107"/>
    </row>
    <row r="1422" spans="1:5" x14ac:dyDescent="0.35">
      <c r="A1422" s="43">
        <v>1421</v>
      </c>
      <c r="B1422" s="42">
        <v>11</v>
      </c>
      <c r="C1422" s="42">
        <v>6</v>
      </c>
      <c r="D1422" s="45" t="s">
        <v>2395</v>
      </c>
      <c r="E1422" s="107"/>
    </row>
    <row r="1423" spans="1:5" x14ac:dyDescent="0.35">
      <c r="A1423" s="43">
        <v>1422</v>
      </c>
      <c r="B1423" s="42">
        <v>11</v>
      </c>
      <c r="C1423" s="42">
        <v>6</v>
      </c>
      <c r="D1423" s="45" t="s">
        <v>2706</v>
      </c>
      <c r="E1423" s="107"/>
    </row>
    <row r="1424" spans="1:5" x14ac:dyDescent="0.35">
      <c r="A1424" s="43">
        <v>1423</v>
      </c>
      <c r="B1424" s="42">
        <v>11</v>
      </c>
      <c r="C1424" s="42">
        <v>6</v>
      </c>
      <c r="D1424" s="45" t="s">
        <v>1960</v>
      </c>
      <c r="E1424" s="107"/>
    </row>
    <row r="1425" spans="1:5" x14ac:dyDescent="0.35">
      <c r="A1425" s="43">
        <v>1424</v>
      </c>
      <c r="B1425" s="42">
        <v>11</v>
      </c>
      <c r="C1425" s="42">
        <v>6</v>
      </c>
      <c r="D1425" s="45" t="s">
        <v>2707</v>
      </c>
      <c r="E1425" s="107"/>
    </row>
    <row r="1426" spans="1:5" x14ac:dyDescent="0.35">
      <c r="A1426" s="43">
        <v>1425</v>
      </c>
      <c r="B1426" s="42">
        <v>11</v>
      </c>
      <c r="C1426" s="42">
        <v>7</v>
      </c>
      <c r="D1426" s="45" t="s">
        <v>2735</v>
      </c>
      <c r="E1426" s="107"/>
    </row>
    <row r="1427" spans="1:5" x14ac:dyDescent="0.35">
      <c r="A1427" s="43">
        <v>1426</v>
      </c>
      <c r="B1427" s="42">
        <v>11</v>
      </c>
      <c r="C1427" s="42">
        <v>7</v>
      </c>
      <c r="D1427" s="45" t="s">
        <v>2736</v>
      </c>
      <c r="E1427" s="107"/>
    </row>
    <row r="1428" spans="1:5" x14ac:dyDescent="0.35">
      <c r="A1428" s="43">
        <v>1427</v>
      </c>
      <c r="B1428" s="42">
        <v>11</v>
      </c>
      <c r="C1428" s="42">
        <v>7</v>
      </c>
      <c r="D1428" s="45" t="s">
        <v>2737</v>
      </c>
      <c r="E1428" s="107"/>
    </row>
    <row r="1429" spans="1:5" x14ac:dyDescent="0.35">
      <c r="A1429" s="43">
        <v>1428</v>
      </c>
      <c r="B1429" s="42">
        <v>11</v>
      </c>
      <c r="C1429" s="42">
        <v>7</v>
      </c>
      <c r="D1429" s="45" t="s">
        <v>2738</v>
      </c>
      <c r="E1429" s="107"/>
    </row>
    <row r="1430" spans="1:5" x14ac:dyDescent="0.35">
      <c r="A1430" s="43">
        <v>1429</v>
      </c>
      <c r="B1430" s="42">
        <v>11</v>
      </c>
      <c r="C1430" s="42">
        <v>7</v>
      </c>
      <c r="D1430" s="45" t="s">
        <v>2739</v>
      </c>
      <c r="E1430" s="107"/>
    </row>
    <row r="1431" spans="1:5" x14ac:dyDescent="0.35">
      <c r="A1431" s="43">
        <v>1430</v>
      </c>
      <c r="B1431" s="42">
        <v>11</v>
      </c>
      <c r="C1431" s="42">
        <v>7</v>
      </c>
      <c r="D1431" s="45" t="s">
        <v>2740</v>
      </c>
      <c r="E1431" s="107"/>
    </row>
    <row r="1432" spans="1:5" x14ac:dyDescent="0.35">
      <c r="A1432" s="43">
        <v>1431</v>
      </c>
      <c r="B1432" s="42">
        <v>11</v>
      </c>
      <c r="C1432" s="42">
        <v>8</v>
      </c>
      <c r="D1432" s="45" t="s">
        <v>2741</v>
      </c>
      <c r="E1432" s="107"/>
    </row>
    <row r="1433" spans="1:5" x14ac:dyDescent="0.35">
      <c r="A1433" s="43">
        <v>1432</v>
      </c>
      <c r="B1433" s="42">
        <v>11</v>
      </c>
      <c r="C1433" s="42">
        <v>8</v>
      </c>
      <c r="D1433" s="45" t="s">
        <v>2742</v>
      </c>
      <c r="E1433" s="107"/>
    </row>
    <row r="1434" spans="1:5" x14ac:dyDescent="0.35">
      <c r="A1434" s="43">
        <v>1433</v>
      </c>
      <c r="B1434" s="42">
        <v>11</v>
      </c>
      <c r="C1434" s="42">
        <v>8</v>
      </c>
      <c r="D1434" s="45" t="s">
        <v>2743</v>
      </c>
      <c r="E1434" s="107"/>
    </row>
    <row r="1435" spans="1:5" x14ac:dyDescent="0.35">
      <c r="A1435" s="43">
        <v>1434</v>
      </c>
      <c r="B1435" s="42">
        <v>11</v>
      </c>
      <c r="C1435" s="42">
        <v>8</v>
      </c>
      <c r="D1435" s="45" t="s">
        <v>2744</v>
      </c>
      <c r="E1435" s="107"/>
    </row>
    <row r="1436" spans="1:5" x14ac:dyDescent="0.35">
      <c r="A1436" s="43">
        <v>1435</v>
      </c>
      <c r="B1436" s="42">
        <v>11</v>
      </c>
      <c r="C1436" s="42">
        <v>8</v>
      </c>
      <c r="D1436" s="45" t="s">
        <v>2745</v>
      </c>
      <c r="E1436" s="107"/>
    </row>
    <row r="1437" spans="1:5" x14ac:dyDescent="0.35">
      <c r="A1437" s="43">
        <v>1436</v>
      </c>
      <c r="B1437" s="42">
        <v>11</v>
      </c>
      <c r="C1437" s="42">
        <v>9</v>
      </c>
      <c r="D1437" s="45" t="s">
        <v>2746</v>
      </c>
      <c r="E1437" s="107"/>
    </row>
    <row r="1438" spans="1:5" x14ac:dyDescent="0.35">
      <c r="A1438" s="43">
        <v>1437</v>
      </c>
      <c r="B1438" s="42">
        <v>11</v>
      </c>
      <c r="C1438" s="42">
        <v>9</v>
      </c>
      <c r="D1438" s="45" t="s">
        <v>2747</v>
      </c>
      <c r="E1438" s="107"/>
    </row>
    <row r="1439" spans="1:5" x14ac:dyDescent="0.35">
      <c r="A1439" s="43">
        <v>1438</v>
      </c>
      <c r="B1439" s="42">
        <v>11</v>
      </c>
      <c r="C1439" s="42">
        <v>9</v>
      </c>
      <c r="D1439" s="45" t="s">
        <v>2748</v>
      </c>
      <c r="E1439" s="107"/>
    </row>
    <row r="1440" spans="1:5" x14ac:dyDescent="0.35">
      <c r="A1440" s="43">
        <v>1439</v>
      </c>
      <c r="B1440" s="42">
        <v>11</v>
      </c>
      <c r="C1440" s="42">
        <v>9</v>
      </c>
      <c r="D1440" s="45" t="s">
        <v>2749</v>
      </c>
      <c r="E1440" s="107"/>
    </row>
    <row r="1441" spans="1:5" x14ac:dyDescent="0.35">
      <c r="A1441" s="43">
        <v>1440</v>
      </c>
      <c r="B1441" s="42">
        <v>11</v>
      </c>
      <c r="C1441" s="42">
        <v>9</v>
      </c>
      <c r="D1441" s="45" t="s">
        <v>2750</v>
      </c>
      <c r="E1441" s="107"/>
    </row>
    <row r="1442" spans="1:5" x14ac:dyDescent="0.35">
      <c r="A1442" s="43">
        <v>1441</v>
      </c>
      <c r="B1442" s="42">
        <v>11</v>
      </c>
      <c r="C1442" s="42">
        <v>10</v>
      </c>
      <c r="D1442" s="45" t="s">
        <v>2751</v>
      </c>
      <c r="E1442" s="107"/>
    </row>
    <row r="1443" spans="1:5" x14ac:dyDescent="0.35">
      <c r="A1443" s="43">
        <v>1442</v>
      </c>
      <c r="B1443" s="42">
        <v>11</v>
      </c>
      <c r="C1443" s="42">
        <v>10</v>
      </c>
      <c r="D1443" s="45" t="s">
        <v>2752</v>
      </c>
      <c r="E1443" s="107"/>
    </row>
    <row r="1444" spans="1:5" x14ac:dyDescent="0.35">
      <c r="A1444" s="43">
        <v>1443</v>
      </c>
      <c r="B1444" s="42">
        <v>11</v>
      </c>
      <c r="C1444" s="42">
        <v>10</v>
      </c>
      <c r="D1444" s="45" t="s">
        <v>2753</v>
      </c>
      <c r="E1444" s="107"/>
    </row>
    <row r="1445" spans="1:5" x14ac:dyDescent="0.35">
      <c r="A1445" s="43">
        <v>1444</v>
      </c>
      <c r="B1445" s="42">
        <v>11</v>
      </c>
      <c r="C1445" s="42">
        <v>10</v>
      </c>
      <c r="D1445" s="45" t="s">
        <v>2754</v>
      </c>
      <c r="E1445" s="107"/>
    </row>
    <row r="1446" spans="1:5" x14ac:dyDescent="0.35">
      <c r="A1446" s="43">
        <v>1445</v>
      </c>
      <c r="B1446" s="42">
        <v>11</v>
      </c>
      <c r="C1446" s="42">
        <v>10</v>
      </c>
      <c r="D1446" s="45" t="s">
        <v>2755</v>
      </c>
      <c r="E1446" s="107"/>
    </row>
    <row r="1447" spans="1:5" x14ac:dyDescent="0.35">
      <c r="A1447" s="43">
        <v>1446</v>
      </c>
      <c r="B1447" s="42">
        <v>11</v>
      </c>
      <c r="C1447" s="42">
        <v>11</v>
      </c>
      <c r="D1447" s="45" t="s">
        <v>2756</v>
      </c>
      <c r="E1447" s="107"/>
    </row>
    <row r="1448" spans="1:5" x14ac:dyDescent="0.35">
      <c r="A1448" s="43">
        <v>1447</v>
      </c>
      <c r="B1448" s="42">
        <v>11</v>
      </c>
      <c r="C1448" s="42">
        <v>11</v>
      </c>
      <c r="D1448" s="45" t="s">
        <v>2757</v>
      </c>
      <c r="E1448" s="107"/>
    </row>
    <row r="1449" spans="1:5" x14ac:dyDescent="0.35">
      <c r="A1449" s="43">
        <v>1448</v>
      </c>
      <c r="B1449" s="42">
        <v>11</v>
      </c>
      <c r="C1449" s="42">
        <v>11</v>
      </c>
      <c r="D1449" s="45" t="s">
        <v>2758</v>
      </c>
      <c r="E1449" s="107"/>
    </row>
    <row r="1450" spans="1:5" x14ac:dyDescent="0.35">
      <c r="A1450" s="43">
        <v>1449</v>
      </c>
      <c r="B1450" s="42">
        <v>11</v>
      </c>
      <c r="C1450" s="42">
        <v>11</v>
      </c>
      <c r="D1450" s="45" t="s">
        <v>2759</v>
      </c>
      <c r="E1450" s="107"/>
    </row>
    <row r="1451" spans="1:5" x14ac:dyDescent="0.35">
      <c r="A1451" s="43">
        <v>1450</v>
      </c>
      <c r="B1451" s="42">
        <v>11</v>
      </c>
      <c r="C1451" s="42">
        <v>11</v>
      </c>
      <c r="D1451" s="45" t="s">
        <v>2760</v>
      </c>
      <c r="E1451" s="107"/>
    </row>
    <row r="1452" spans="1:5" x14ac:dyDescent="0.35">
      <c r="A1452" s="43">
        <v>1451</v>
      </c>
      <c r="B1452" s="42">
        <v>11</v>
      </c>
      <c r="C1452" s="42">
        <v>11</v>
      </c>
      <c r="D1452" s="45" t="s">
        <v>2761</v>
      </c>
      <c r="E1452" s="107"/>
    </row>
    <row r="1453" spans="1:5" x14ac:dyDescent="0.35">
      <c r="A1453" s="43">
        <v>1452</v>
      </c>
      <c r="B1453" s="42">
        <v>11</v>
      </c>
      <c r="C1453" s="42">
        <v>11</v>
      </c>
      <c r="D1453" s="45" t="s">
        <v>2762</v>
      </c>
      <c r="E1453" s="107"/>
    </row>
    <row r="1454" spans="1:5" x14ac:dyDescent="0.35">
      <c r="A1454" s="43">
        <v>1453</v>
      </c>
      <c r="B1454" s="42">
        <v>11</v>
      </c>
      <c r="C1454" s="42">
        <v>11</v>
      </c>
      <c r="D1454" s="45" t="s">
        <v>2763</v>
      </c>
      <c r="E1454" s="107"/>
    </row>
    <row r="1455" spans="1:5" x14ac:dyDescent="0.35">
      <c r="A1455" s="43">
        <v>1454</v>
      </c>
      <c r="B1455" s="42">
        <v>11</v>
      </c>
      <c r="C1455" s="42">
        <v>11</v>
      </c>
      <c r="D1455" s="45" t="s">
        <v>2764</v>
      </c>
      <c r="E1455" s="107"/>
    </row>
    <row r="1456" spans="1:5" x14ac:dyDescent="0.35">
      <c r="A1456" s="43">
        <v>1455</v>
      </c>
      <c r="B1456" s="42">
        <v>11</v>
      </c>
      <c r="C1456" s="42">
        <v>12</v>
      </c>
      <c r="D1456" s="45" t="s">
        <v>2765</v>
      </c>
      <c r="E1456" s="107"/>
    </row>
    <row r="1457" spans="1:5" x14ac:dyDescent="0.35">
      <c r="A1457" s="43">
        <v>1456</v>
      </c>
      <c r="B1457" s="42">
        <v>11</v>
      </c>
      <c r="C1457" s="42">
        <v>12</v>
      </c>
      <c r="D1457" s="45" t="s">
        <v>2766</v>
      </c>
      <c r="E1457" s="107"/>
    </row>
    <row r="1458" spans="1:5" x14ac:dyDescent="0.35">
      <c r="A1458" s="43">
        <v>1457</v>
      </c>
      <c r="B1458" s="42">
        <v>11</v>
      </c>
      <c r="C1458" s="42">
        <v>12</v>
      </c>
      <c r="D1458" s="45" t="s">
        <v>2767</v>
      </c>
      <c r="E1458" s="107"/>
    </row>
    <row r="1459" spans="1:5" x14ac:dyDescent="0.35">
      <c r="A1459" s="43">
        <v>1458</v>
      </c>
      <c r="B1459" s="42">
        <v>11</v>
      </c>
      <c r="C1459" s="42">
        <v>12</v>
      </c>
      <c r="D1459" s="45" t="s">
        <v>2768</v>
      </c>
      <c r="E1459" s="107"/>
    </row>
    <row r="1460" spans="1:5" x14ac:dyDescent="0.35">
      <c r="A1460" s="43">
        <v>1459</v>
      </c>
      <c r="B1460" s="42">
        <v>11</v>
      </c>
      <c r="C1460" s="42">
        <v>12</v>
      </c>
      <c r="D1460" s="45" t="s">
        <v>2769</v>
      </c>
      <c r="E1460" s="107"/>
    </row>
    <row r="1461" spans="1:5" x14ac:dyDescent="0.35">
      <c r="A1461" s="43">
        <v>1460</v>
      </c>
      <c r="B1461" s="42">
        <v>11</v>
      </c>
      <c r="C1461" s="42">
        <v>12</v>
      </c>
      <c r="D1461" s="45" t="s">
        <v>2770</v>
      </c>
      <c r="E1461" s="107"/>
    </row>
    <row r="1462" spans="1:5" x14ac:dyDescent="0.35">
      <c r="A1462" s="43">
        <v>1461</v>
      </c>
      <c r="B1462" s="44">
        <v>11</v>
      </c>
      <c r="C1462" s="44" t="s">
        <v>1320</v>
      </c>
      <c r="D1462" s="43" t="s">
        <v>2771</v>
      </c>
      <c r="E1462" s="107"/>
    </row>
    <row r="1463" spans="1:5" x14ac:dyDescent="0.35">
      <c r="A1463" s="43">
        <v>1462</v>
      </c>
      <c r="B1463" s="44">
        <v>11</v>
      </c>
      <c r="C1463" s="44" t="s">
        <v>1320</v>
      </c>
      <c r="D1463" s="43" t="s">
        <v>2772</v>
      </c>
      <c r="E1463" s="107"/>
    </row>
    <row r="1464" spans="1:5" x14ac:dyDescent="0.35">
      <c r="A1464" s="43">
        <v>1463</v>
      </c>
      <c r="B1464" s="44">
        <v>11</v>
      </c>
      <c r="C1464" s="44" t="s">
        <v>2205</v>
      </c>
      <c r="D1464" s="43" t="s">
        <v>2773</v>
      </c>
      <c r="E1464" s="107"/>
    </row>
    <row r="1465" spans="1:5" x14ac:dyDescent="0.35">
      <c r="A1465" s="43">
        <v>1464</v>
      </c>
      <c r="B1465" s="44">
        <v>11</v>
      </c>
      <c r="C1465" s="44" t="s">
        <v>2775</v>
      </c>
      <c r="D1465" s="43" t="s">
        <v>2774</v>
      </c>
      <c r="E1465" s="107"/>
    </row>
    <row r="1466" spans="1:5" x14ac:dyDescent="0.35">
      <c r="A1466" s="43">
        <v>1465</v>
      </c>
      <c r="B1466" s="44">
        <v>11</v>
      </c>
      <c r="C1466" s="44" t="s">
        <v>2298</v>
      </c>
      <c r="D1466" s="43" t="s">
        <v>2776</v>
      </c>
      <c r="E1466" s="107"/>
    </row>
    <row r="1467" spans="1:5" x14ac:dyDescent="0.35">
      <c r="A1467" s="43">
        <v>1466</v>
      </c>
      <c r="B1467" s="44">
        <v>11</v>
      </c>
      <c r="C1467" s="44" t="s">
        <v>1650</v>
      </c>
      <c r="D1467" s="43" t="s">
        <v>2777</v>
      </c>
      <c r="E1467" s="107"/>
    </row>
    <row r="1468" spans="1:5" x14ac:dyDescent="0.35">
      <c r="A1468" s="43">
        <v>1467</v>
      </c>
      <c r="B1468" s="44">
        <v>11</v>
      </c>
      <c r="C1468" s="44" t="s">
        <v>1353</v>
      </c>
      <c r="D1468" s="43" t="s">
        <v>2778</v>
      </c>
      <c r="E1468" s="107"/>
    </row>
    <row r="1469" spans="1:5" x14ac:dyDescent="0.35">
      <c r="A1469" s="43">
        <v>1468</v>
      </c>
      <c r="B1469" s="44">
        <v>11</v>
      </c>
      <c r="C1469" s="44" t="s">
        <v>126</v>
      </c>
      <c r="D1469" s="43" t="s">
        <v>2779</v>
      </c>
      <c r="E1469" s="107"/>
    </row>
    <row r="1470" spans="1:5" x14ac:dyDescent="0.35">
      <c r="A1470" s="43">
        <v>1469</v>
      </c>
      <c r="B1470" s="44">
        <v>11</v>
      </c>
      <c r="C1470" s="44" t="s">
        <v>1317</v>
      </c>
      <c r="D1470" s="43" t="s">
        <v>2780</v>
      </c>
      <c r="E1470" s="107"/>
    </row>
    <row r="1471" spans="1:5" x14ac:dyDescent="0.35">
      <c r="A1471" s="43">
        <v>1470</v>
      </c>
      <c r="B1471" s="44">
        <v>11</v>
      </c>
      <c r="C1471" s="44" t="s">
        <v>2782</v>
      </c>
      <c r="D1471" s="43" t="s">
        <v>2781</v>
      </c>
      <c r="E1471" s="107"/>
    </row>
    <row r="1472" spans="1:5" x14ac:dyDescent="0.35">
      <c r="A1472" s="43">
        <v>1471</v>
      </c>
      <c r="B1472" s="44">
        <v>11</v>
      </c>
      <c r="C1472" s="44" t="s">
        <v>2784</v>
      </c>
      <c r="D1472" s="43" t="s">
        <v>2783</v>
      </c>
      <c r="E1472" s="107"/>
    </row>
    <row r="1473" spans="1:5" x14ac:dyDescent="0.35">
      <c r="A1473" s="43">
        <v>1472</v>
      </c>
      <c r="B1473" s="44">
        <v>11</v>
      </c>
      <c r="C1473" s="44" t="s">
        <v>124</v>
      </c>
      <c r="D1473" s="43" t="s">
        <v>2785</v>
      </c>
      <c r="E1473" s="107"/>
    </row>
    <row r="1474" spans="1:5" x14ac:dyDescent="0.35">
      <c r="A1474" s="43">
        <v>1473</v>
      </c>
      <c r="B1474" s="44">
        <v>11</v>
      </c>
      <c r="C1474" s="44" t="s">
        <v>2787</v>
      </c>
      <c r="D1474" s="43" t="s">
        <v>2786</v>
      </c>
      <c r="E1474" s="107"/>
    </row>
    <row r="1475" spans="1:5" ht="25" x14ac:dyDescent="0.35">
      <c r="A1475" s="43">
        <v>1474</v>
      </c>
      <c r="B1475" s="44">
        <v>11</v>
      </c>
      <c r="C1475" s="44" t="s">
        <v>2789</v>
      </c>
      <c r="D1475" s="43" t="s">
        <v>2788</v>
      </c>
      <c r="E1475" s="107"/>
    </row>
    <row r="1476" spans="1:5" x14ac:dyDescent="0.35">
      <c r="A1476" s="43">
        <v>1475</v>
      </c>
      <c r="B1476" s="44">
        <v>11</v>
      </c>
      <c r="C1476" s="44" t="s">
        <v>2791</v>
      </c>
      <c r="D1476" s="43" t="s">
        <v>2790</v>
      </c>
      <c r="E1476" s="107"/>
    </row>
    <row r="1477" spans="1:5" x14ac:dyDescent="0.35">
      <c r="A1477" s="43">
        <v>1476</v>
      </c>
      <c r="B1477" s="44">
        <v>11</v>
      </c>
      <c r="C1477" s="44" t="s">
        <v>128</v>
      </c>
      <c r="D1477" s="43" t="s">
        <v>2792</v>
      </c>
      <c r="E1477" s="107"/>
    </row>
    <row r="1478" spans="1:5" x14ac:dyDescent="0.35">
      <c r="A1478" s="43">
        <v>1477</v>
      </c>
      <c r="B1478" s="44">
        <v>11</v>
      </c>
      <c r="C1478" s="44" t="s">
        <v>2794</v>
      </c>
      <c r="D1478" s="43" t="s">
        <v>2793</v>
      </c>
      <c r="E1478" s="107"/>
    </row>
    <row r="1479" spans="1:5" x14ac:dyDescent="0.35">
      <c r="A1479" s="43">
        <v>1478</v>
      </c>
      <c r="B1479" s="44">
        <v>11</v>
      </c>
      <c r="C1479" s="44" t="s">
        <v>128</v>
      </c>
      <c r="D1479" s="43" t="s">
        <v>2795</v>
      </c>
      <c r="E1479" s="107"/>
    </row>
    <row r="1480" spans="1:5" x14ac:dyDescent="0.35">
      <c r="A1480" s="43">
        <v>1479</v>
      </c>
      <c r="B1480" s="44">
        <v>11</v>
      </c>
      <c r="C1480" s="44" t="s">
        <v>2797</v>
      </c>
      <c r="D1480" s="43" t="s">
        <v>2796</v>
      </c>
      <c r="E1480" s="107"/>
    </row>
    <row r="1481" spans="1:5" x14ac:dyDescent="0.35">
      <c r="A1481" s="43">
        <v>1480</v>
      </c>
      <c r="B1481" s="44">
        <v>11</v>
      </c>
      <c r="C1481" s="44" t="s">
        <v>2799</v>
      </c>
      <c r="D1481" s="43" t="s">
        <v>2798</v>
      </c>
      <c r="E1481" s="107"/>
    </row>
    <row r="1482" spans="1:5" x14ac:dyDescent="0.35">
      <c r="A1482" s="43">
        <v>1481</v>
      </c>
      <c r="B1482" s="44">
        <v>11</v>
      </c>
      <c r="C1482" s="44" t="s">
        <v>1317</v>
      </c>
      <c r="D1482" s="43" t="s">
        <v>2800</v>
      </c>
      <c r="E1482" s="107"/>
    </row>
    <row r="1483" spans="1:5" x14ac:dyDescent="0.35">
      <c r="A1483" s="43">
        <v>1482</v>
      </c>
      <c r="B1483" s="44">
        <v>11</v>
      </c>
      <c r="C1483" s="44" t="s">
        <v>2802</v>
      </c>
      <c r="D1483" s="43" t="s">
        <v>2801</v>
      </c>
      <c r="E1483" s="107"/>
    </row>
    <row r="1484" spans="1:5" x14ac:dyDescent="0.35">
      <c r="A1484" s="43">
        <v>1483</v>
      </c>
      <c r="B1484" s="44">
        <v>11</v>
      </c>
      <c r="C1484" s="44" t="s">
        <v>2804</v>
      </c>
      <c r="D1484" s="43" t="s">
        <v>2803</v>
      </c>
      <c r="E1484" s="107"/>
    </row>
    <row r="1485" spans="1:5" x14ac:dyDescent="0.35">
      <c r="A1485" s="43">
        <v>1484</v>
      </c>
      <c r="B1485" s="44">
        <v>11</v>
      </c>
      <c r="C1485" s="44" t="s">
        <v>2056</v>
      </c>
      <c r="D1485" s="43" t="s">
        <v>2805</v>
      </c>
      <c r="E1485" s="107"/>
    </row>
    <row r="1486" spans="1:5" x14ac:dyDescent="0.35">
      <c r="A1486" s="43">
        <v>1485</v>
      </c>
      <c r="B1486" s="44">
        <v>11</v>
      </c>
      <c r="C1486" s="44" t="s">
        <v>1656</v>
      </c>
      <c r="D1486" s="43" t="s">
        <v>2806</v>
      </c>
      <c r="E1486" s="107"/>
    </row>
    <row r="1487" spans="1:5" x14ac:dyDescent="0.35">
      <c r="A1487" s="43">
        <v>1486</v>
      </c>
      <c r="B1487" s="44">
        <v>11</v>
      </c>
      <c r="C1487" s="44" t="s">
        <v>2808</v>
      </c>
      <c r="D1487" s="43" t="s">
        <v>2807</v>
      </c>
      <c r="E1487" s="107"/>
    </row>
    <row r="1488" spans="1:5" x14ac:dyDescent="0.35">
      <c r="A1488" s="43">
        <v>1487</v>
      </c>
      <c r="B1488" s="44">
        <v>11</v>
      </c>
      <c r="C1488" s="44" t="s">
        <v>2810</v>
      </c>
      <c r="D1488" s="43" t="s">
        <v>2809</v>
      </c>
      <c r="E1488" s="107"/>
    </row>
    <row r="1489" spans="1:5" x14ac:dyDescent="0.35">
      <c r="A1489" s="43">
        <v>1488</v>
      </c>
      <c r="B1489" s="44">
        <v>11</v>
      </c>
      <c r="C1489" s="44" t="s">
        <v>2812</v>
      </c>
      <c r="D1489" s="43" t="s">
        <v>2811</v>
      </c>
      <c r="E1489" s="107"/>
    </row>
    <row r="1490" spans="1:5" x14ac:dyDescent="0.35">
      <c r="A1490" s="43">
        <v>1489</v>
      </c>
      <c r="B1490" s="44">
        <v>11</v>
      </c>
      <c r="C1490" s="44" t="s">
        <v>2814</v>
      </c>
      <c r="D1490" s="43" t="s">
        <v>2813</v>
      </c>
      <c r="E1490" s="107"/>
    </row>
    <row r="1491" spans="1:5" x14ac:dyDescent="0.35">
      <c r="A1491" s="43">
        <v>1490</v>
      </c>
      <c r="B1491" s="44">
        <v>11</v>
      </c>
      <c r="C1491" s="44" t="s">
        <v>128</v>
      </c>
      <c r="D1491" s="43" t="s">
        <v>2815</v>
      </c>
      <c r="E1491" s="107"/>
    </row>
    <row r="1492" spans="1:5" x14ac:dyDescent="0.35">
      <c r="A1492" s="43">
        <v>1491</v>
      </c>
      <c r="B1492" s="44">
        <v>11</v>
      </c>
      <c r="C1492" s="44" t="s">
        <v>2817</v>
      </c>
      <c r="D1492" s="43" t="s">
        <v>2816</v>
      </c>
      <c r="E1492" s="107"/>
    </row>
    <row r="1493" spans="1:5" x14ac:dyDescent="0.35">
      <c r="A1493" s="43">
        <v>1492</v>
      </c>
      <c r="B1493" s="44">
        <v>11</v>
      </c>
      <c r="C1493" s="44" t="s">
        <v>2818</v>
      </c>
      <c r="D1493" s="43" t="s">
        <v>1574</v>
      </c>
      <c r="E1493" s="107"/>
    </row>
    <row r="1494" spans="1:5" x14ac:dyDescent="0.35">
      <c r="A1494" s="43">
        <v>1493</v>
      </c>
      <c r="B1494" s="44">
        <v>11</v>
      </c>
      <c r="C1494" s="44" t="s">
        <v>2820</v>
      </c>
      <c r="D1494" s="43" t="s">
        <v>2819</v>
      </c>
      <c r="E1494" s="107"/>
    </row>
    <row r="1495" spans="1:5" x14ac:dyDescent="0.35">
      <c r="A1495" s="43">
        <v>1494</v>
      </c>
      <c r="B1495" s="44">
        <v>11</v>
      </c>
      <c r="C1495" s="44" t="s">
        <v>2822</v>
      </c>
      <c r="D1495" s="43" t="s">
        <v>2821</v>
      </c>
      <c r="E1495" s="107"/>
    </row>
    <row r="1496" spans="1:5" x14ac:dyDescent="0.35">
      <c r="A1496" s="43">
        <v>1495</v>
      </c>
      <c r="B1496" s="44">
        <v>11</v>
      </c>
      <c r="C1496" s="44" t="s">
        <v>2824</v>
      </c>
      <c r="D1496" s="43" t="s">
        <v>2823</v>
      </c>
      <c r="E1496" s="107"/>
    </row>
    <row r="1497" spans="1:5" x14ac:dyDescent="0.35">
      <c r="A1497" s="43">
        <v>1496</v>
      </c>
      <c r="B1497" s="44">
        <v>11</v>
      </c>
      <c r="C1497" s="44" t="s">
        <v>2826</v>
      </c>
      <c r="D1497" s="43" t="s">
        <v>2825</v>
      </c>
      <c r="E1497" s="107"/>
    </row>
    <row r="1498" spans="1:5" x14ac:dyDescent="0.35">
      <c r="A1498" s="43">
        <v>1497</v>
      </c>
      <c r="B1498" s="44">
        <v>11</v>
      </c>
      <c r="C1498" s="44" t="s">
        <v>2828</v>
      </c>
      <c r="D1498" s="43" t="s">
        <v>2827</v>
      </c>
      <c r="E1498" s="107"/>
    </row>
    <row r="1499" spans="1:5" x14ac:dyDescent="0.35">
      <c r="A1499" s="43">
        <v>1498</v>
      </c>
      <c r="B1499" s="44">
        <v>11</v>
      </c>
      <c r="C1499" s="44" t="s">
        <v>2830</v>
      </c>
      <c r="D1499" s="43" t="s">
        <v>2829</v>
      </c>
      <c r="E1499" s="107"/>
    </row>
    <row r="1500" spans="1:5" x14ac:dyDescent="0.35">
      <c r="A1500" s="43">
        <v>1499</v>
      </c>
      <c r="B1500" s="44">
        <v>11</v>
      </c>
      <c r="C1500" s="44" t="s">
        <v>2302</v>
      </c>
      <c r="D1500" s="43" t="s">
        <v>2831</v>
      </c>
      <c r="E1500" s="107"/>
    </row>
    <row r="1501" spans="1:5" x14ac:dyDescent="0.35">
      <c r="A1501" s="43">
        <v>1500</v>
      </c>
      <c r="B1501" s="42">
        <v>12</v>
      </c>
      <c r="C1501" s="42">
        <v>1</v>
      </c>
      <c r="D1501" s="45" t="s">
        <v>2832</v>
      </c>
      <c r="E1501" s="107"/>
    </row>
    <row r="1502" spans="1:5" x14ac:dyDescent="0.35">
      <c r="A1502" s="43">
        <v>1501</v>
      </c>
      <c r="B1502" s="42">
        <v>12</v>
      </c>
      <c r="C1502" s="42">
        <v>1</v>
      </c>
      <c r="D1502" s="45" t="s">
        <v>2833</v>
      </c>
      <c r="E1502" s="107"/>
    </row>
    <row r="1503" spans="1:5" x14ac:dyDescent="0.35">
      <c r="A1503" s="43">
        <v>1502</v>
      </c>
      <c r="B1503" s="42">
        <v>12</v>
      </c>
      <c r="C1503" s="42">
        <v>1</v>
      </c>
      <c r="D1503" s="45" t="s">
        <v>1384</v>
      </c>
      <c r="E1503" s="107"/>
    </row>
    <row r="1504" spans="1:5" x14ac:dyDescent="0.35">
      <c r="A1504" s="43">
        <v>1503</v>
      </c>
      <c r="B1504" s="42">
        <v>12</v>
      </c>
      <c r="C1504" s="42">
        <v>1</v>
      </c>
      <c r="D1504" s="45" t="s">
        <v>2834</v>
      </c>
      <c r="E1504" s="107"/>
    </row>
    <row r="1505" spans="1:5" x14ac:dyDescent="0.35">
      <c r="A1505" s="43">
        <v>1504</v>
      </c>
      <c r="B1505" s="42">
        <v>12</v>
      </c>
      <c r="C1505" s="42">
        <v>1</v>
      </c>
      <c r="D1505" s="45" t="s">
        <v>1735</v>
      </c>
      <c r="E1505" s="107"/>
    </row>
    <row r="1506" spans="1:5" x14ac:dyDescent="0.35">
      <c r="A1506" s="43">
        <v>1505</v>
      </c>
      <c r="B1506" s="42">
        <v>12</v>
      </c>
      <c r="C1506" s="42">
        <v>1</v>
      </c>
      <c r="D1506" s="45" t="s">
        <v>2835</v>
      </c>
      <c r="E1506" s="107"/>
    </row>
    <row r="1507" spans="1:5" x14ac:dyDescent="0.35">
      <c r="A1507" s="43">
        <v>1506</v>
      </c>
      <c r="B1507" s="42">
        <v>12</v>
      </c>
      <c r="C1507" s="42">
        <v>2</v>
      </c>
      <c r="D1507" s="45" t="s">
        <v>2836</v>
      </c>
      <c r="E1507" s="107"/>
    </row>
    <row r="1508" spans="1:5" x14ac:dyDescent="0.35">
      <c r="A1508" s="43">
        <v>1507</v>
      </c>
      <c r="B1508" s="42">
        <v>12</v>
      </c>
      <c r="C1508" s="42">
        <v>2</v>
      </c>
      <c r="D1508" s="45" t="s">
        <v>2837</v>
      </c>
      <c r="E1508" s="107"/>
    </row>
    <row r="1509" spans="1:5" x14ac:dyDescent="0.35">
      <c r="A1509" s="43">
        <v>1508</v>
      </c>
      <c r="B1509" s="42">
        <v>12</v>
      </c>
      <c r="C1509" s="42">
        <v>2</v>
      </c>
      <c r="D1509" s="45" t="s">
        <v>1800</v>
      </c>
      <c r="E1509" s="107"/>
    </row>
    <row r="1510" spans="1:5" x14ac:dyDescent="0.35">
      <c r="A1510" s="43">
        <v>1509</v>
      </c>
      <c r="B1510" s="42">
        <v>12</v>
      </c>
      <c r="C1510" s="42">
        <v>2</v>
      </c>
      <c r="D1510" s="45" t="s">
        <v>2838</v>
      </c>
      <c r="E1510" s="107"/>
    </row>
    <row r="1511" spans="1:5" x14ac:dyDescent="0.35">
      <c r="A1511" s="43">
        <v>1510</v>
      </c>
      <c r="B1511" s="42">
        <v>12</v>
      </c>
      <c r="C1511" s="42">
        <v>2</v>
      </c>
      <c r="D1511" s="45" t="s">
        <v>2839</v>
      </c>
      <c r="E1511" s="107"/>
    </row>
    <row r="1512" spans="1:5" x14ac:dyDescent="0.35">
      <c r="A1512" s="43">
        <v>1511</v>
      </c>
      <c r="B1512" s="42">
        <v>12</v>
      </c>
      <c r="C1512" s="42">
        <v>2</v>
      </c>
      <c r="D1512" s="45" t="s">
        <v>2840</v>
      </c>
      <c r="E1512" s="107"/>
    </row>
    <row r="1513" spans="1:5" x14ac:dyDescent="0.35">
      <c r="A1513" s="43">
        <v>1512</v>
      </c>
      <c r="B1513" s="42">
        <v>12</v>
      </c>
      <c r="C1513" s="42">
        <v>3</v>
      </c>
      <c r="D1513" s="45" t="s">
        <v>2477</v>
      </c>
      <c r="E1513" s="107"/>
    </row>
    <row r="1514" spans="1:5" x14ac:dyDescent="0.35">
      <c r="A1514" s="43">
        <v>1513</v>
      </c>
      <c r="B1514" s="42">
        <v>12</v>
      </c>
      <c r="C1514" s="42">
        <v>3</v>
      </c>
      <c r="D1514" s="45" t="s">
        <v>2841</v>
      </c>
      <c r="E1514" s="107"/>
    </row>
    <row r="1515" spans="1:5" x14ac:dyDescent="0.35">
      <c r="A1515" s="43">
        <v>1514</v>
      </c>
      <c r="B1515" s="42">
        <v>12</v>
      </c>
      <c r="C1515" s="42">
        <v>3</v>
      </c>
      <c r="D1515" s="45" t="s">
        <v>2842</v>
      </c>
      <c r="E1515" s="107"/>
    </row>
    <row r="1516" spans="1:5" x14ac:dyDescent="0.35">
      <c r="A1516" s="43">
        <v>1515</v>
      </c>
      <c r="B1516" s="42">
        <v>12</v>
      </c>
      <c r="C1516" s="42">
        <v>3</v>
      </c>
      <c r="D1516" s="45" t="s">
        <v>2843</v>
      </c>
      <c r="E1516" s="107"/>
    </row>
    <row r="1517" spans="1:5" x14ac:dyDescent="0.35">
      <c r="A1517" s="43">
        <v>1516</v>
      </c>
      <c r="B1517" s="42">
        <v>12</v>
      </c>
      <c r="C1517" s="42">
        <v>4</v>
      </c>
      <c r="D1517" s="45" t="s">
        <v>2844</v>
      </c>
      <c r="E1517" s="107"/>
    </row>
    <row r="1518" spans="1:5" x14ac:dyDescent="0.35">
      <c r="A1518" s="43">
        <v>1517</v>
      </c>
      <c r="B1518" s="42">
        <v>12</v>
      </c>
      <c r="C1518" s="42">
        <v>4</v>
      </c>
      <c r="D1518" s="45" t="s">
        <v>2845</v>
      </c>
      <c r="E1518" s="107"/>
    </row>
    <row r="1519" spans="1:5" x14ac:dyDescent="0.35">
      <c r="A1519" s="43">
        <v>1518</v>
      </c>
      <c r="B1519" s="42">
        <v>12</v>
      </c>
      <c r="C1519" s="42">
        <v>4</v>
      </c>
      <c r="D1519" s="45" t="s">
        <v>2846</v>
      </c>
      <c r="E1519" s="107"/>
    </row>
    <row r="1520" spans="1:5" x14ac:dyDescent="0.35">
      <c r="A1520" s="43">
        <v>1519</v>
      </c>
      <c r="B1520" s="42">
        <v>12</v>
      </c>
      <c r="C1520" s="42">
        <v>5</v>
      </c>
      <c r="D1520" s="45" t="s">
        <v>1987</v>
      </c>
      <c r="E1520" s="107"/>
    </row>
    <row r="1521" spans="1:5" x14ac:dyDescent="0.35">
      <c r="A1521" s="43">
        <v>1520</v>
      </c>
      <c r="B1521" s="42">
        <v>12</v>
      </c>
      <c r="C1521" s="42">
        <v>5</v>
      </c>
      <c r="D1521" s="45" t="s">
        <v>2847</v>
      </c>
      <c r="E1521" s="107"/>
    </row>
    <row r="1522" spans="1:5" x14ac:dyDescent="0.35">
      <c r="A1522" s="43">
        <v>1521</v>
      </c>
      <c r="B1522" s="42">
        <v>12</v>
      </c>
      <c r="C1522" s="42">
        <v>5</v>
      </c>
      <c r="D1522" s="45" t="s">
        <v>2848</v>
      </c>
      <c r="E1522" s="107"/>
    </row>
    <row r="1523" spans="1:5" x14ac:dyDescent="0.35">
      <c r="A1523" s="43">
        <v>1522</v>
      </c>
      <c r="B1523" s="42">
        <v>12</v>
      </c>
      <c r="C1523" s="42">
        <v>5</v>
      </c>
      <c r="D1523" s="45" t="s">
        <v>2849</v>
      </c>
      <c r="E1523" s="107"/>
    </row>
    <row r="1524" spans="1:5" x14ac:dyDescent="0.35">
      <c r="A1524" s="43">
        <v>1523</v>
      </c>
      <c r="B1524" s="42">
        <v>12</v>
      </c>
      <c r="C1524" s="42">
        <v>5</v>
      </c>
      <c r="D1524" s="45" t="s">
        <v>2850</v>
      </c>
      <c r="E1524" s="107"/>
    </row>
    <row r="1525" spans="1:5" x14ac:dyDescent="0.35">
      <c r="A1525" s="43">
        <v>1524</v>
      </c>
      <c r="B1525" s="42">
        <v>12</v>
      </c>
      <c r="C1525" s="42">
        <v>5</v>
      </c>
      <c r="D1525" s="45" t="s">
        <v>1955</v>
      </c>
      <c r="E1525" s="107"/>
    </row>
    <row r="1526" spans="1:5" x14ac:dyDescent="0.35">
      <c r="A1526" s="43">
        <v>1525</v>
      </c>
      <c r="B1526" s="42">
        <v>12</v>
      </c>
      <c r="C1526" s="42">
        <v>5</v>
      </c>
      <c r="D1526" s="45" t="s">
        <v>1989</v>
      </c>
      <c r="E1526" s="107"/>
    </row>
    <row r="1527" spans="1:5" x14ac:dyDescent="0.35">
      <c r="A1527" s="43">
        <v>1526</v>
      </c>
      <c r="B1527" s="42">
        <v>12</v>
      </c>
      <c r="C1527" s="42">
        <v>6</v>
      </c>
      <c r="D1527" s="45" t="s">
        <v>2851</v>
      </c>
      <c r="E1527" s="107"/>
    </row>
    <row r="1528" spans="1:5" x14ac:dyDescent="0.35">
      <c r="A1528" s="43">
        <v>1527</v>
      </c>
      <c r="B1528" s="42">
        <v>12</v>
      </c>
      <c r="C1528" s="42">
        <v>6</v>
      </c>
      <c r="D1528" s="45" t="s">
        <v>2852</v>
      </c>
      <c r="E1528" s="107"/>
    </row>
    <row r="1529" spans="1:5" x14ac:dyDescent="0.35">
      <c r="A1529" s="43">
        <v>1528</v>
      </c>
      <c r="B1529" s="42">
        <v>12</v>
      </c>
      <c r="C1529" s="42">
        <v>6</v>
      </c>
      <c r="D1529" s="45" t="s">
        <v>2853</v>
      </c>
      <c r="E1529" s="107"/>
    </row>
    <row r="1530" spans="1:5" x14ac:dyDescent="0.35">
      <c r="A1530" s="43">
        <v>1529</v>
      </c>
      <c r="B1530" s="42">
        <v>12</v>
      </c>
      <c r="C1530" s="42">
        <v>6</v>
      </c>
      <c r="D1530" s="45" t="s">
        <v>2854</v>
      </c>
      <c r="E1530" s="107"/>
    </row>
    <row r="1531" spans="1:5" x14ac:dyDescent="0.35">
      <c r="A1531" s="43">
        <v>1530</v>
      </c>
      <c r="B1531" s="42">
        <v>12</v>
      </c>
      <c r="C1531" s="42">
        <v>7</v>
      </c>
      <c r="D1531" s="45" t="s">
        <v>2855</v>
      </c>
      <c r="E1531" s="107"/>
    </row>
    <row r="1532" spans="1:5" x14ac:dyDescent="0.35">
      <c r="A1532" s="43">
        <v>1531</v>
      </c>
      <c r="B1532" s="42">
        <v>12</v>
      </c>
      <c r="C1532" s="42">
        <v>7</v>
      </c>
      <c r="D1532" s="45" t="s">
        <v>2856</v>
      </c>
      <c r="E1532" s="107"/>
    </row>
    <row r="1533" spans="1:5" x14ac:dyDescent="0.35">
      <c r="A1533" s="43">
        <v>1532</v>
      </c>
      <c r="B1533" s="42">
        <v>12</v>
      </c>
      <c r="C1533" s="42">
        <v>7</v>
      </c>
      <c r="D1533" s="45" t="s">
        <v>2400</v>
      </c>
      <c r="E1533" s="107"/>
    </row>
    <row r="1534" spans="1:5" x14ac:dyDescent="0.35">
      <c r="A1534" s="43">
        <v>1533</v>
      </c>
      <c r="B1534" s="42">
        <v>12</v>
      </c>
      <c r="C1534" s="42">
        <v>7</v>
      </c>
      <c r="D1534" s="45" t="s">
        <v>2857</v>
      </c>
      <c r="E1534" s="107"/>
    </row>
    <row r="1535" spans="1:5" x14ac:dyDescent="0.35">
      <c r="A1535" s="43">
        <v>1534</v>
      </c>
      <c r="B1535" s="42">
        <v>12</v>
      </c>
      <c r="C1535" s="42">
        <v>7</v>
      </c>
      <c r="D1535" s="45" t="s">
        <v>2858</v>
      </c>
      <c r="E1535" s="107"/>
    </row>
    <row r="1536" spans="1:5" x14ac:dyDescent="0.35">
      <c r="A1536" s="43">
        <v>1535</v>
      </c>
      <c r="B1536" s="42">
        <v>12</v>
      </c>
      <c r="C1536" s="42">
        <v>8</v>
      </c>
      <c r="D1536" s="45" t="s">
        <v>2859</v>
      </c>
      <c r="E1536" s="107"/>
    </row>
    <row r="1537" spans="1:5" x14ac:dyDescent="0.35">
      <c r="A1537" s="43">
        <v>1536</v>
      </c>
      <c r="B1537" s="42">
        <v>12</v>
      </c>
      <c r="C1537" s="42">
        <v>8</v>
      </c>
      <c r="D1537" s="45" t="s">
        <v>1846</v>
      </c>
      <c r="E1537" s="107"/>
    </row>
    <row r="1538" spans="1:5" x14ac:dyDescent="0.35">
      <c r="A1538" s="43">
        <v>1537</v>
      </c>
      <c r="B1538" s="42">
        <v>12</v>
      </c>
      <c r="C1538" s="42">
        <v>8</v>
      </c>
      <c r="D1538" s="45" t="s">
        <v>2860</v>
      </c>
      <c r="E1538" s="107"/>
    </row>
    <row r="1539" spans="1:5" x14ac:dyDescent="0.35">
      <c r="A1539" s="43">
        <v>1538</v>
      </c>
      <c r="B1539" s="42">
        <v>12</v>
      </c>
      <c r="C1539" s="42">
        <v>8</v>
      </c>
      <c r="D1539" s="45" t="s">
        <v>2861</v>
      </c>
      <c r="E1539" s="107"/>
    </row>
    <row r="1540" spans="1:5" x14ac:dyDescent="0.35">
      <c r="A1540" s="43">
        <v>1539</v>
      </c>
      <c r="B1540" s="42">
        <v>12</v>
      </c>
      <c r="C1540" s="42">
        <v>8</v>
      </c>
      <c r="D1540" s="45" t="s">
        <v>2862</v>
      </c>
      <c r="E1540" s="107"/>
    </row>
    <row r="1541" spans="1:5" x14ac:dyDescent="0.35">
      <c r="A1541" s="43">
        <v>1540</v>
      </c>
      <c r="B1541" s="42">
        <v>12</v>
      </c>
      <c r="C1541" s="42">
        <v>8</v>
      </c>
      <c r="D1541" s="45" t="s">
        <v>2863</v>
      </c>
      <c r="E1541" s="107"/>
    </row>
    <row r="1542" spans="1:5" x14ac:dyDescent="0.35">
      <c r="A1542" s="43">
        <v>1541</v>
      </c>
      <c r="B1542" s="42">
        <v>12</v>
      </c>
      <c r="C1542" s="42">
        <v>9</v>
      </c>
      <c r="D1542" s="45" t="s">
        <v>2477</v>
      </c>
      <c r="E1542" s="107"/>
    </row>
    <row r="1543" spans="1:5" x14ac:dyDescent="0.35">
      <c r="A1543" s="43">
        <v>1542</v>
      </c>
      <c r="B1543" s="42">
        <v>12</v>
      </c>
      <c r="C1543" s="42">
        <v>9</v>
      </c>
      <c r="D1543" s="45" t="s">
        <v>2864</v>
      </c>
      <c r="E1543" s="107"/>
    </row>
    <row r="1544" spans="1:5" x14ac:dyDescent="0.35">
      <c r="A1544" s="43">
        <v>1543</v>
      </c>
      <c r="B1544" s="42">
        <v>12</v>
      </c>
      <c r="C1544" s="42">
        <v>9</v>
      </c>
      <c r="D1544" s="45" t="s">
        <v>2865</v>
      </c>
      <c r="E1544" s="107"/>
    </row>
    <row r="1545" spans="1:5" x14ac:dyDescent="0.35">
      <c r="A1545" s="43">
        <v>1544</v>
      </c>
      <c r="B1545" s="42">
        <v>12</v>
      </c>
      <c r="C1545" s="42">
        <v>9</v>
      </c>
      <c r="D1545" s="45" t="s">
        <v>2866</v>
      </c>
      <c r="E1545" s="107"/>
    </row>
    <row r="1546" spans="1:5" x14ac:dyDescent="0.35">
      <c r="A1546" s="43">
        <v>1545</v>
      </c>
      <c r="B1546" s="42">
        <v>12</v>
      </c>
      <c r="C1546" s="42">
        <v>9</v>
      </c>
      <c r="D1546" s="45" t="s">
        <v>2867</v>
      </c>
      <c r="E1546" s="107"/>
    </row>
    <row r="1547" spans="1:5" x14ac:dyDescent="0.35">
      <c r="A1547" s="43">
        <v>1546</v>
      </c>
      <c r="B1547" s="42">
        <v>12</v>
      </c>
      <c r="C1547" s="42">
        <v>10</v>
      </c>
      <c r="D1547" s="45" t="s">
        <v>2868</v>
      </c>
      <c r="E1547" s="107"/>
    </row>
    <row r="1548" spans="1:5" x14ac:dyDescent="0.35">
      <c r="A1548" s="43">
        <v>1547</v>
      </c>
      <c r="B1548" s="42">
        <v>12</v>
      </c>
      <c r="C1548" s="42">
        <v>10</v>
      </c>
      <c r="D1548" s="45" t="s">
        <v>1445</v>
      </c>
      <c r="E1548" s="107"/>
    </row>
    <row r="1549" spans="1:5" x14ac:dyDescent="0.35">
      <c r="A1549" s="43">
        <v>1548</v>
      </c>
      <c r="B1549" s="42">
        <v>12</v>
      </c>
      <c r="C1549" s="42">
        <v>10</v>
      </c>
      <c r="D1549" s="45" t="s">
        <v>2869</v>
      </c>
      <c r="E1549" s="107"/>
    </row>
    <row r="1550" spans="1:5" x14ac:dyDescent="0.35">
      <c r="A1550" s="43">
        <v>1549</v>
      </c>
      <c r="B1550" s="42">
        <v>12</v>
      </c>
      <c r="C1550" s="42">
        <v>10</v>
      </c>
      <c r="D1550" s="45" t="s">
        <v>2870</v>
      </c>
      <c r="E1550" s="107"/>
    </row>
    <row r="1551" spans="1:5" x14ac:dyDescent="0.35">
      <c r="A1551" s="43">
        <v>1550</v>
      </c>
      <c r="B1551" s="42">
        <v>12</v>
      </c>
      <c r="C1551" s="42">
        <v>11</v>
      </c>
      <c r="D1551" s="45" t="s">
        <v>2871</v>
      </c>
      <c r="E1551" s="107"/>
    </row>
    <row r="1552" spans="1:5" x14ac:dyDescent="0.35">
      <c r="A1552" s="43">
        <v>1551</v>
      </c>
      <c r="B1552" s="42">
        <v>12</v>
      </c>
      <c r="C1552" s="42">
        <v>11</v>
      </c>
      <c r="D1552" s="45" t="s">
        <v>2872</v>
      </c>
      <c r="E1552" s="107"/>
    </row>
    <row r="1553" spans="1:5" x14ac:dyDescent="0.35">
      <c r="A1553" s="43">
        <v>1552</v>
      </c>
      <c r="B1553" s="42">
        <v>12</v>
      </c>
      <c r="C1553" s="42">
        <v>11</v>
      </c>
      <c r="D1553" s="45" t="s">
        <v>2012</v>
      </c>
      <c r="E1553" s="107"/>
    </row>
    <row r="1554" spans="1:5" x14ac:dyDescent="0.35">
      <c r="A1554" s="43">
        <v>1553</v>
      </c>
      <c r="B1554" s="42">
        <v>12</v>
      </c>
      <c r="C1554" s="42">
        <v>11</v>
      </c>
      <c r="D1554" s="45" t="s">
        <v>2558</v>
      </c>
      <c r="E1554" s="107"/>
    </row>
    <row r="1555" spans="1:5" x14ac:dyDescent="0.35">
      <c r="A1555" s="43">
        <v>1554</v>
      </c>
      <c r="B1555" s="42">
        <v>12</v>
      </c>
      <c r="C1555" s="42">
        <v>11</v>
      </c>
      <c r="D1555" s="45" t="s">
        <v>2873</v>
      </c>
      <c r="E1555" s="107"/>
    </row>
    <row r="1556" spans="1:5" x14ac:dyDescent="0.35">
      <c r="A1556" s="43">
        <v>1555</v>
      </c>
      <c r="B1556" s="42">
        <v>12</v>
      </c>
      <c r="C1556" s="42">
        <v>11</v>
      </c>
      <c r="D1556" s="45" t="s">
        <v>2874</v>
      </c>
      <c r="E1556" s="107"/>
    </row>
    <row r="1557" spans="1:5" x14ac:dyDescent="0.35">
      <c r="A1557" s="43">
        <v>1556</v>
      </c>
      <c r="B1557" s="42">
        <v>12</v>
      </c>
      <c r="C1557" s="42">
        <v>12</v>
      </c>
      <c r="D1557" s="45" t="s">
        <v>2875</v>
      </c>
      <c r="E1557" s="107"/>
    </row>
    <row r="1558" spans="1:5" x14ac:dyDescent="0.35">
      <c r="A1558" s="43">
        <v>1557</v>
      </c>
      <c r="B1558" s="42">
        <v>12</v>
      </c>
      <c r="C1558" s="42">
        <v>12</v>
      </c>
      <c r="D1558" s="45" t="s">
        <v>2850</v>
      </c>
      <c r="E1558" s="107"/>
    </row>
    <row r="1559" spans="1:5" x14ac:dyDescent="0.35">
      <c r="A1559" s="43">
        <v>1558</v>
      </c>
      <c r="B1559" s="42">
        <v>12</v>
      </c>
      <c r="C1559" s="42">
        <v>12</v>
      </c>
      <c r="D1559" s="45" t="s">
        <v>2876</v>
      </c>
      <c r="E1559" s="107"/>
    </row>
    <row r="1560" spans="1:5" x14ac:dyDescent="0.35">
      <c r="A1560" s="43">
        <v>1559</v>
      </c>
      <c r="B1560" s="42">
        <v>12</v>
      </c>
      <c r="C1560" s="42">
        <v>12</v>
      </c>
      <c r="D1560" s="45" t="s">
        <v>2877</v>
      </c>
      <c r="E1560" s="107"/>
    </row>
    <row r="1561" spans="1:5" x14ac:dyDescent="0.35">
      <c r="A1561" s="43">
        <v>1560</v>
      </c>
      <c r="B1561" s="42">
        <v>12</v>
      </c>
      <c r="C1561" s="42">
        <v>12</v>
      </c>
      <c r="D1561" s="45" t="s">
        <v>2878</v>
      </c>
      <c r="E1561" s="107"/>
    </row>
    <row r="1562" spans="1:5" x14ac:dyDescent="0.35">
      <c r="A1562" s="43">
        <v>1561</v>
      </c>
      <c r="B1562" s="42">
        <v>12</v>
      </c>
      <c r="C1562" s="42">
        <v>12</v>
      </c>
      <c r="D1562" s="45" t="s">
        <v>2879</v>
      </c>
      <c r="E1562" s="107"/>
    </row>
    <row r="1563" spans="1:5" x14ac:dyDescent="0.35">
      <c r="A1563" s="43">
        <v>1562</v>
      </c>
      <c r="B1563" s="44">
        <v>12</v>
      </c>
      <c r="C1563" s="44" t="s">
        <v>2881</v>
      </c>
      <c r="D1563" s="43" t="s">
        <v>2880</v>
      </c>
      <c r="E1563" s="107"/>
    </row>
    <row r="1564" spans="1:5" x14ac:dyDescent="0.35">
      <c r="A1564" s="43">
        <v>1563</v>
      </c>
      <c r="B1564" s="44">
        <v>12</v>
      </c>
      <c r="C1564" s="44" t="s">
        <v>1320</v>
      </c>
      <c r="D1564" s="43" t="s">
        <v>2882</v>
      </c>
      <c r="E1564" s="107"/>
    </row>
    <row r="1565" spans="1:5" x14ac:dyDescent="0.35">
      <c r="A1565" s="43">
        <v>1564</v>
      </c>
      <c r="B1565" s="44">
        <v>12</v>
      </c>
      <c r="C1565" s="44" t="s">
        <v>2884</v>
      </c>
      <c r="D1565" s="43" t="s">
        <v>2883</v>
      </c>
      <c r="E1565" s="107"/>
    </row>
    <row r="1566" spans="1:5" x14ac:dyDescent="0.35">
      <c r="A1566" s="43">
        <v>1565</v>
      </c>
      <c r="B1566" s="44">
        <v>12</v>
      </c>
      <c r="C1566" s="44" t="s">
        <v>2886</v>
      </c>
      <c r="D1566" s="43" t="s">
        <v>2885</v>
      </c>
      <c r="E1566" s="107"/>
    </row>
    <row r="1567" spans="1:5" x14ac:dyDescent="0.35">
      <c r="A1567" s="43">
        <v>1566</v>
      </c>
      <c r="B1567" s="44">
        <v>12</v>
      </c>
      <c r="C1567" s="44" t="s">
        <v>1713</v>
      </c>
      <c r="D1567" s="43" t="s">
        <v>2887</v>
      </c>
      <c r="E1567" s="107"/>
    </row>
    <row r="1568" spans="1:5" x14ac:dyDescent="0.35">
      <c r="A1568" s="43">
        <v>1567</v>
      </c>
      <c r="B1568" s="44">
        <v>12</v>
      </c>
      <c r="C1568" s="44" t="s">
        <v>2889</v>
      </c>
      <c r="D1568" s="43" t="s">
        <v>2888</v>
      </c>
      <c r="E1568" s="107"/>
    </row>
    <row r="1569" spans="1:5" x14ac:dyDescent="0.35">
      <c r="A1569" s="43">
        <v>1568</v>
      </c>
      <c r="B1569" s="44">
        <v>12</v>
      </c>
      <c r="C1569" s="44" t="s">
        <v>2891</v>
      </c>
      <c r="D1569" s="43" t="s">
        <v>2890</v>
      </c>
      <c r="E1569" s="107"/>
    </row>
    <row r="1570" spans="1:5" x14ac:dyDescent="0.35">
      <c r="A1570" s="43">
        <v>1569</v>
      </c>
      <c r="B1570" s="44">
        <v>12</v>
      </c>
      <c r="C1570" s="44">
        <v>9</v>
      </c>
      <c r="D1570" s="43" t="s">
        <v>2892</v>
      </c>
      <c r="E1570" s="107"/>
    </row>
    <row r="1571" spans="1:5" x14ac:dyDescent="0.35">
      <c r="A1571" s="43">
        <v>1570</v>
      </c>
      <c r="B1571" s="44">
        <v>12</v>
      </c>
      <c r="C1571" s="44" t="s">
        <v>2894</v>
      </c>
      <c r="D1571" s="43" t="s">
        <v>2893</v>
      </c>
      <c r="E1571" s="107"/>
    </row>
    <row r="1572" spans="1:5" x14ac:dyDescent="0.35">
      <c r="A1572" s="43">
        <v>1571</v>
      </c>
      <c r="B1572" s="44">
        <v>12</v>
      </c>
      <c r="C1572" s="44" t="s">
        <v>2896</v>
      </c>
      <c r="D1572" s="43" t="s">
        <v>2895</v>
      </c>
      <c r="E1572" s="107"/>
    </row>
    <row r="1573" spans="1:5" x14ac:dyDescent="0.35">
      <c r="A1573" s="43">
        <v>1572</v>
      </c>
      <c r="B1573" s="44">
        <v>12</v>
      </c>
      <c r="C1573" s="44" t="s">
        <v>2898</v>
      </c>
      <c r="D1573" s="43" t="s">
        <v>2897</v>
      </c>
      <c r="E1573" s="107"/>
    </row>
    <row r="1574" spans="1:5" x14ac:dyDescent="0.35">
      <c r="A1574" s="43">
        <v>1573</v>
      </c>
      <c r="B1574" s="44">
        <v>12</v>
      </c>
      <c r="C1574" s="44" t="s">
        <v>121</v>
      </c>
      <c r="D1574" s="43" t="s">
        <v>2899</v>
      </c>
      <c r="E1574" s="107"/>
    </row>
    <row r="1575" spans="1:5" x14ac:dyDescent="0.35">
      <c r="A1575" s="43">
        <v>1574</v>
      </c>
      <c r="B1575" s="44">
        <v>12</v>
      </c>
      <c r="C1575" s="44" t="s">
        <v>2901</v>
      </c>
      <c r="D1575" s="43" t="s">
        <v>2900</v>
      </c>
      <c r="E1575" s="107"/>
    </row>
    <row r="1576" spans="1:5" x14ac:dyDescent="0.35">
      <c r="A1576" s="43">
        <v>1575</v>
      </c>
      <c r="B1576" s="44">
        <v>12</v>
      </c>
      <c r="C1576" s="44" t="s">
        <v>2903</v>
      </c>
      <c r="D1576" s="43" t="s">
        <v>2902</v>
      </c>
      <c r="E1576" s="107"/>
    </row>
    <row r="1577" spans="1:5" x14ac:dyDescent="0.35">
      <c r="A1577" s="43">
        <v>1576</v>
      </c>
      <c r="B1577" s="44">
        <v>12</v>
      </c>
      <c r="C1577" s="44" t="s">
        <v>2905</v>
      </c>
      <c r="D1577" s="43" t="s">
        <v>2904</v>
      </c>
      <c r="E1577" s="107"/>
    </row>
    <row r="1578" spans="1:5" x14ac:dyDescent="0.35">
      <c r="A1578" s="43">
        <v>1577</v>
      </c>
      <c r="B1578" s="44">
        <v>12</v>
      </c>
      <c r="C1578" s="44" t="s">
        <v>126</v>
      </c>
      <c r="D1578" s="43" t="s">
        <v>2906</v>
      </c>
      <c r="E1578" s="107"/>
    </row>
    <row r="1579" spans="1:5" x14ac:dyDescent="0.35">
      <c r="A1579" s="43">
        <v>1578</v>
      </c>
      <c r="B1579" s="44">
        <v>12</v>
      </c>
      <c r="C1579" s="44" t="s">
        <v>2908</v>
      </c>
      <c r="D1579" s="43" t="s">
        <v>2907</v>
      </c>
      <c r="E1579" s="107"/>
    </row>
    <row r="1580" spans="1:5" x14ac:dyDescent="0.35">
      <c r="A1580" s="43">
        <v>1579</v>
      </c>
      <c r="B1580" s="44">
        <v>12</v>
      </c>
      <c r="C1580" s="44" t="s">
        <v>2910</v>
      </c>
      <c r="D1580" s="43" t="s">
        <v>2909</v>
      </c>
      <c r="E1580" s="107"/>
    </row>
    <row r="1581" spans="1:5" x14ac:dyDescent="0.35">
      <c r="A1581" s="43">
        <v>1580</v>
      </c>
      <c r="B1581" s="44">
        <v>12</v>
      </c>
      <c r="C1581" s="44" t="s">
        <v>2912</v>
      </c>
      <c r="D1581" s="43" t="s">
        <v>2911</v>
      </c>
      <c r="E1581" s="107"/>
    </row>
    <row r="1582" spans="1:5" x14ac:dyDescent="0.35">
      <c r="A1582" s="43">
        <v>1581</v>
      </c>
      <c r="B1582" s="44">
        <v>12</v>
      </c>
      <c r="C1582" s="44" t="s">
        <v>2914</v>
      </c>
      <c r="D1582" s="43" t="s">
        <v>2913</v>
      </c>
      <c r="E1582" s="107"/>
    </row>
    <row r="1583" spans="1:5" x14ac:dyDescent="0.35">
      <c r="A1583" s="43">
        <v>1582</v>
      </c>
      <c r="B1583" s="44">
        <v>12</v>
      </c>
      <c r="C1583" s="44" t="s">
        <v>2916</v>
      </c>
      <c r="D1583" s="43" t="s">
        <v>2915</v>
      </c>
      <c r="E1583" s="107"/>
    </row>
    <row r="1584" spans="1:5" x14ac:dyDescent="0.35">
      <c r="A1584" s="43">
        <v>1583</v>
      </c>
      <c r="B1584" s="44">
        <v>12</v>
      </c>
      <c r="C1584" s="44" t="s">
        <v>128</v>
      </c>
      <c r="D1584" s="43" t="s">
        <v>2917</v>
      </c>
      <c r="E1584" s="107"/>
    </row>
    <row r="1585" spans="1:5" x14ac:dyDescent="0.35">
      <c r="A1585" s="43">
        <v>1584</v>
      </c>
      <c r="B1585" s="44">
        <v>12</v>
      </c>
      <c r="C1585" s="44" t="s">
        <v>2435</v>
      </c>
      <c r="D1585" s="43" t="s">
        <v>2918</v>
      </c>
      <c r="E1585" s="107"/>
    </row>
    <row r="1586" spans="1:5" x14ac:dyDescent="0.35">
      <c r="A1586" s="43">
        <v>1585</v>
      </c>
      <c r="B1586" s="44">
        <v>12</v>
      </c>
      <c r="C1586" s="44" t="s">
        <v>2920</v>
      </c>
      <c r="D1586" s="43" t="s">
        <v>2919</v>
      </c>
      <c r="E1586" s="107"/>
    </row>
    <row r="1587" spans="1:5" x14ac:dyDescent="0.35">
      <c r="A1587" s="43">
        <v>1586</v>
      </c>
      <c r="B1587" s="44">
        <v>12</v>
      </c>
      <c r="C1587" s="44" t="s">
        <v>2922</v>
      </c>
      <c r="D1587" s="43" t="s">
        <v>2921</v>
      </c>
      <c r="E1587" s="107"/>
    </row>
    <row r="1588" spans="1:5" x14ac:dyDescent="0.35">
      <c r="A1588" s="43">
        <v>1587</v>
      </c>
      <c r="B1588" s="44">
        <v>12</v>
      </c>
      <c r="C1588" s="44" t="s">
        <v>1925</v>
      </c>
      <c r="D1588" s="43" t="s">
        <v>2923</v>
      </c>
      <c r="E1588" s="107"/>
    </row>
    <row r="1589" spans="1:5" x14ac:dyDescent="0.35">
      <c r="A1589" s="43">
        <v>1588</v>
      </c>
      <c r="B1589" s="44">
        <v>12</v>
      </c>
      <c r="C1589" s="44" t="s">
        <v>2925</v>
      </c>
      <c r="D1589" s="43" t="s">
        <v>2924</v>
      </c>
      <c r="E1589" s="107"/>
    </row>
    <row r="1590" spans="1:5" x14ac:dyDescent="0.35">
      <c r="A1590" s="43">
        <v>1589</v>
      </c>
      <c r="B1590" s="44">
        <v>12</v>
      </c>
      <c r="C1590" s="44" t="s">
        <v>2927</v>
      </c>
      <c r="D1590" s="43" t="s">
        <v>2926</v>
      </c>
      <c r="E1590" s="107"/>
    </row>
    <row r="1591" spans="1:5" ht="25" x14ac:dyDescent="0.35">
      <c r="A1591" s="43">
        <v>1590</v>
      </c>
      <c r="B1591" s="44">
        <v>12</v>
      </c>
      <c r="C1591" s="44" t="s">
        <v>2929</v>
      </c>
      <c r="D1591" s="43" t="s">
        <v>2928</v>
      </c>
      <c r="E1591" s="107"/>
    </row>
    <row r="1592" spans="1:5" x14ac:dyDescent="0.35">
      <c r="A1592" s="43">
        <v>1591</v>
      </c>
      <c r="B1592" s="44">
        <v>12</v>
      </c>
      <c r="C1592" s="44" t="s">
        <v>2901</v>
      </c>
      <c r="D1592" s="43" t="s">
        <v>2930</v>
      </c>
      <c r="E1592" s="107"/>
    </row>
    <row r="1593" spans="1:5" x14ac:dyDescent="0.35">
      <c r="A1593" s="43">
        <v>1592</v>
      </c>
      <c r="B1593" s="44">
        <v>12</v>
      </c>
      <c r="C1593" s="44" t="s">
        <v>2932</v>
      </c>
      <c r="D1593" s="43" t="s">
        <v>2931</v>
      </c>
      <c r="E1593" s="107"/>
    </row>
    <row r="1594" spans="1:5" x14ac:dyDescent="0.35">
      <c r="A1594" s="43">
        <v>1593</v>
      </c>
      <c r="B1594" s="44">
        <v>12</v>
      </c>
      <c r="C1594" s="44" t="s">
        <v>2933</v>
      </c>
      <c r="D1594" s="43" t="s">
        <v>2547</v>
      </c>
      <c r="E1594" s="107"/>
    </row>
    <row r="1595" spans="1:5" x14ac:dyDescent="0.35">
      <c r="A1595" s="43">
        <v>1594</v>
      </c>
      <c r="B1595" s="42">
        <v>12</v>
      </c>
      <c r="C1595" s="42" t="s">
        <v>2935</v>
      </c>
      <c r="D1595" s="45" t="s">
        <v>2934</v>
      </c>
      <c r="E1595" s="107"/>
    </row>
    <row r="1596" spans="1:5" x14ac:dyDescent="0.35">
      <c r="A1596" s="43">
        <v>1595</v>
      </c>
      <c r="B1596" s="42">
        <v>12</v>
      </c>
      <c r="C1596" s="42" t="s">
        <v>133</v>
      </c>
      <c r="D1596" s="45" t="s">
        <v>2936</v>
      </c>
      <c r="E1596" s="107"/>
    </row>
    <row r="1597" spans="1:5" x14ac:dyDescent="0.35">
      <c r="A1597" s="43">
        <v>1596</v>
      </c>
      <c r="B1597" s="42">
        <v>12</v>
      </c>
      <c r="C1597" s="42" t="s">
        <v>2938</v>
      </c>
      <c r="D1597" s="45" t="s">
        <v>2937</v>
      </c>
      <c r="E1597" s="107"/>
    </row>
    <row r="1598" spans="1:5" x14ac:dyDescent="0.35">
      <c r="A1598" s="43">
        <v>1597</v>
      </c>
      <c r="B1598" s="42">
        <v>12</v>
      </c>
      <c r="C1598" s="42" t="s">
        <v>2940</v>
      </c>
      <c r="D1598" s="45" t="s">
        <v>2939</v>
      </c>
      <c r="E1598" s="107"/>
    </row>
    <row r="1599" spans="1:5" x14ac:dyDescent="0.35">
      <c r="A1599" s="43">
        <v>1598</v>
      </c>
      <c r="B1599" s="44" t="s">
        <v>2942</v>
      </c>
      <c r="C1599" s="44" t="s">
        <v>2943</v>
      </c>
      <c r="D1599" s="43" t="s">
        <v>2941</v>
      </c>
      <c r="E1599" s="107"/>
    </row>
    <row r="1600" spans="1:5" x14ac:dyDescent="0.35">
      <c r="A1600" s="43">
        <v>1599</v>
      </c>
      <c r="B1600" s="44" t="s">
        <v>2945</v>
      </c>
      <c r="C1600" s="44" t="s">
        <v>2946</v>
      </c>
      <c r="D1600" s="43" t="s">
        <v>2944</v>
      </c>
      <c r="E1600" s="107"/>
    </row>
    <row r="1601" spans="1:5" x14ac:dyDescent="0.35">
      <c r="A1601" s="43">
        <v>1600</v>
      </c>
      <c r="B1601" s="44" t="s">
        <v>2948</v>
      </c>
      <c r="C1601" s="44" t="s">
        <v>2949</v>
      </c>
      <c r="D1601" s="43" t="s">
        <v>2947</v>
      </c>
      <c r="E1601" s="107"/>
    </row>
    <row r="1602" spans="1:5" x14ac:dyDescent="0.35">
      <c r="A1602" s="43">
        <v>1601</v>
      </c>
      <c r="B1602" s="44" t="s">
        <v>2951</v>
      </c>
      <c r="C1602" s="44" t="s">
        <v>2952</v>
      </c>
      <c r="D1602" s="43" t="s">
        <v>2950</v>
      </c>
      <c r="E1602" s="107"/>
    </row>
    <row r="1603" spans="1:5" x14ac:dyDescent="0.35">
      <c r="A1603" s="43">
        <v>1602</v>
      </c>
      <c r="B1603" s="44" t="s">
        <v>2954</v>
      </c>
      <c r="C1603" s="44" t="s">
        <v>2955</v>
      </c>
      <c r="D1603" s="43" t="s">
        <v>2953</v>
      </c>
      <c r="E1603" s="107"/>
    </row>
    <row r="1604" spans="1:5" ht="25" x14ac:dyDescent="0.35">
      <c r="A1604" s="43">
        <v>1603</v>
      </c>
      <c r="B1604" s="44">
        <v>2</v>
      </c>
      <c r="C1604" s="44" t="s">
        <v>2957</v>
      </c>
      <c r="D1604" s="43" t="s">
        <v>2956</v>
      </c>
      <c r="E1604" s="107"/>
    </row>
    <row r="1605" spans="1:5" x14ac:dyDescent="0.35">
      <c r="A1605" s="43">
        <v>1604</v>
      </c>
      <c r="B1605" s="44" t="s">
        <v>2959</v>
      </c>
      <c r="C1605" s="44" t="s">
        <v>2960</v>
      </c>
      <c r="D1605" s="43" t="s">
        <v>2958</v>
      </c>
      <c r="E1605" s="107"/>
    </row>
    <row r="1606" spans="1:5" ht="25" x14ac:dyDescent="0.35">
      <c r="A1606" s="43">
        <v>1605</v>
      </c>
      <c r="B1606" s="44" t="s">
        <v>2962</v>
      </c>
      <c r="C1606" s="44" t="s">
        <v>2963</v>
      </c>
      <c r="D1606" s="43" t="s">
        <v>2961</v>
      </c>
      <c r="E1606" s="107"/>
    </row>
    <row r="1607" spans="1:5" x14ac:dyDescent="0.35">
      <c r="A1607" s="43">
        <v>1606</v>
      </c>
      <c r="B1607" s="44"/>
      <c r="C1607" s="44"/>
      <c r="D1607" s="43" t="s">
        <v>2964</v>
      </c>
      <c r="E1607" s="107"/>
    </row>
    <row r="1608" spans="1:5" x14ac:dyDescent="0.35">
      <c r="A1608" s="43">
        <v>1607</v>
      </c>
      <c r="B1608" s="44"/>
      <c r="C1608" s="44"/>
      <c r="D1608" s="43" t="s">
        <v>2965</v>
      </c>
      <c r="E1608" s="107"/>
    </row>
    <row r="1609" spans="1:5" x14ac:dyDescent="0.35">
      <c r="A1609" s="43">
        <v>1608</v>
      </c>
      <c r="B1609" s="44"/>
      <c r="C1609" s="44"/>
      <c r="D1609" s="43" t="s">
        <v>2966</v>
      </c>
      <c r="E1609" s="107"/>
    </row>
    <row r="1610" spans="1:5" x14ac:dyDescent="0.35">
      <c r="A1610" s="43">
        <v>1609</v>
      </c>
      <c r="B1610" s="44"/>
      <c r="C1610" s="44"/>
      <c r="D1610" s="43" t="s">
        <v>2967</v>
      </c>
      <c r="E1610" s="107"/>
    </row>
    <row r="1611" spans="1:5" ht="112.5" x14ac:dyDescent="0.35">
      <c r="A1611" s="43">
        <v>1610</v>
      </c>
      <c r="B1611" s="44"/>
      <c r="C1611" s="250" t="s">
        <v>3856</v>
      </c>
      <c r="D1611" s="45" t="s">
        <v>2968</v>
      </c>
      <c r="E1611" s="107"/>
    </row>
    <row r="1612" spans="1:5" ht="45" x14ac:dyDescent="0.35">
      <c r="A1612" s="43">
        <v>1611</v>
      </c>
      <c r="B1612" s="42"/>
      <c r="C1612" s="251" t="s">
        <v>3857</v>
      </c>
      <c r="D1612" s="43" t="s">
        <v>3858</v>
      </c>
      <c r="E1612" s="107"/>
    </row>
    <row r="1618" spans="3:11" ht="26" x14ac:dyDescent="0.6">
      <c r="C1618" s="264" t="s">
        <v>4343</v>
      </c>
      <c r="D1618" s="59"/>
      <c r="E1618" s="59"/>
      <c r="F1618" s="59"/>
      <c r="G1618" s="59"/>
      <c r="H1618" s="59"/>
      <c r="I1618" s="59"/>
      <c r="J1618" s="59"/>
      <c r="K1618" s="59"/>
    </row>
    <row r="1619" spans="3:11" ht="26" x14ac:dyDescent="0.6">
      <c r="C1619" s="264" t="s">
        <v>4345</v>
      </c>
      <c r="D1619" s="59"/>
      <c r="E1619" s="59"/>
      <c r="F1619" s="59"/>
      <c r="G1619" s="59"/>
      <c r="H1619" s="59"/>
      <c r="I1619" s="59"/>
      <c r="J1619" s="59"/>
      <c r="K1619" s="59"/>
    </row>
    <row r="1620" spans="3:11" ht="26" x14ac:dyDescent="0.6">
      <c r="C1620" s="264" t="s">
        <v>4346</v>
      </c>
      <c r="D1620" s="59"/>
      <c r="E1620" s="59"/>
      <c r="F1620" s="59"/>
      <c r="G1620" s="59"/>
      <c r="H1620" s="59"/>
      <c r="I1620" s="59"/>
      <c r="J1620" s="59"/>
      <c r="K1620" s="59"/>
    </row>
    <row r="1621" spans="3:11" ht="26" x14ac:dyDescent="0.6">
      <c r="C1621" s="264" t="s">
        <v>4344</v>
      </c>
      <c r="D1621" s="59"/>
      <c r="E1621" s="59"/>
      <c r="F1621" s="59"/>
      <c r="G1621" s="59"/>
      <c r="H1621" s="59"/>
      <c r="I1621" s="59"/>
      <c r="J1621" s="59"/>
      <c r="K1621" s="59"/>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DCDE-612E-46F2-B97E-E8E72CAEA3C9}">
  <dimension ref="A1:D169"/>
  <sheetViews>
    <sheetView topLeftCell="A62" workbookViewId="0">
      <selection activeCell="B9" sqref="B9"/>
    </sheetView>
  </sheetViews>
  <sheetFormatPr defaultRowHeight="14.5" x14ac:dyDescent="0.35"/>
  <cols>
    <col min="1" max="1" width="9.453125" bestFit="1" customWidth="1"/>
    <col min="2" max="2" width="70.54296875" customWidth="1"/>
    <col min="3" max="3" width="15.1796875" style="51" customWidth="1"/>
    <col min="4" max="4" width="44.7265625" style="51" customWidth="1"/>
  </cols>
  <sheetData>
    <row r="1" spans="1:4" x14ac:dyDescent="0.35">
      <c r="A1" s="48" t="s">
        <v>2969</v>
      </c>
      <c r="B1" s="52" t="s">
        <v>4</v>
      </c>
      <c r="C1" s="49" t="s">
        <v>2970</v>
      </c>
      <c r="D1" s="49" t="s">
        <v>1127</v>
      </c>
    </row>
    <row r="2" spans="1:4" x14ac:dyDescent="0.35">
      <c r="A2" s="45" t="s">
        <v>2971</v>
      </c>
      <c r="B2" s="45" t="s">
        <v>2972</v>
      </c>
      <c r="C2" s="42">
        <v>1</v>
      </c>
      <c r="D2" s="42" t="s">
        <v>126</v>
      </c>
    </row>
    <row r="3" spans="1:4" ht="26" x14ac:dyDescent="0.35">
      <c r="A3" s="45" t="s">
        <v>2971</v>
      </c>
      <c r="B3" s="45" t="s">
        <v>2973</v>
      </c>
      <c r="C3" s="42">
        <v>2</v>
      </c>
      <c r="D3" s="42" t="s">
        <v>126</v>
      </c>
    </row>
    <row r="4" spans="1:4" ht="38.5" x14ac:dyDescent="0.35">
      <c r="A4" s="45" t="s">
        <v>2971</v>
      </c>
      <c r="B4" s="45" t="s">
        <v>2974</v>
      </c>
      <c r="C4" s="42">
        <v>3</v>
      </c>
      <c r="D4" s="42" t="s">
        <v>126</v>
      </c>
    </row>
    <row r="5" spans="1:4" ht="26" x14ac:dyDescent="0.35">
      <c r="A5" s="45" t="s">
        <v>2971</v>
      </c>
      <c r="B5" s="45" t="s">
        <v>2975</v>
      </c>
      <c r="C5" s="42">
        <v>4</v>
      </c>
      <c r="D5" s="42" t="s">
        <v>126</v>
      </c>
    </row>
    <row r="6" spans="1:4" ht="63.5" x14ac:dyDescent="0.35">
      <c r="A6" s="45" t="s">
        <v>2971</v>
      </c>
      <c r="B6" s="45" t="s">
        <v>2976</v>
      </c>
      <c r="C6" s="42">
        <v>5</v>
      </c>
      <c r="D6" s="42" t="s">
        <v>126</v>
      </c>
    </row>
    <row r="7" spans="1:4" x14ac:dyDescent="0.35">
      <c r="A7" s="45" t="s">
        <v>2971</v>
      </c>
      <c r="B7" s="45" t="s">
        <v>2977</v>
      </c>
      <c r="C7" s="42">
        <v>6</v>
      </c>
      <c r="D7" s="42" t="s">
        <v>126</v>
      </c>
    </row>
    <row r="8" spans="1:4" x14ac:dyDescent="0.35">
      <c r="A8" s="45" t="s">
        <v>2971</v>
      </c>
      <c r="B8" s="45" t="s">
        <v>2978</v>
      </c>
      <c r="C8" s="42">
        <v>7</v>
      </c>
      <c r="D8" s="42" t="s">
        <v>126</v>
      </c>
    </row>
    <row r="9" spans="1:4" ht="38.5" x14ac:dyDescent="0.35">
      <c r="A9" s="45" t="s">
        <v>2971</v>
      </c>
      <c r="B9" s="45" t="s">
        <v>2979</v>
      </c>
      <c r="C9" s="42">
        <v>8</v>
      </c>
      <c r="D9" s="42" t="s">
        <v>126</v>
      </c>
    </row>
    <row r="10" spans="1:4" ht="63.5" x14ac:dyDescent="0.35">
      <c r="A10" s="45" t="s">
        <v>2971</v>
      </c>
      <c r="B10" s="45" t="s">
        <v>2980</v>
      </c>
      <c r="C10" s="42">
        <v>9</v>
      </c>
      <c r="D10" s="42" t="s">
        <v>126</v>
      </c>
    </row>
    <row r="11" spans="1:4" ht="51" x14ac:dyDescent="0.35">
      <c r="A11" s="45" t="s">
        <v>2971</v>
      </c>
      <c r="B11" s="45" t="s">
        <v>2981</v>
      </c>
      <c r="C11" s="42">
        <v>10</v>
      </c>
      <c r="D11" s="42" t="s">
        <v>126</v>
      </c>
    </row>
    <row r="12" spans="1:4" x14ac:dyDescent="0.35">
      <c r="A12" s="45" t="s">
        <v>2971</v>
      </c>
      <c r="B12" s="45" t="s">
        <v>2982</v>
      </c>
      <c r="C12" s="42">
        <v>11</v>
      </c>
      <c r="D12" s="42" t="s">
        <v>126</v>
      </c>
    </row>
    <row r="13" spans="1:4" ht="51" x14ac:dyDescent="0.35">
      <c r="A13" s="45" t="s">
        <v>2971</v>
      </c>
      <c r="B13" s="45" t="s">
        <v>2983</v>
      </c>
      <c r="C13" s="42">
        <v>12</v>
      </c>
      <c r="D13" s="42" t="s">
        <v>126</v>
      </c>
    </row>
    <row r="14" spans="1:4" x14ac:dyDescent="0.35">
      <c r="A14" s="45" t="s">
        <v>2971</v>
      </c>
      <c r="B14" s="45" t="s">
        <v>1325</v>
      </c>
      <c r="C14" s="42">
        <v>2</v>
      </c>
      <c r="D14" s="42" t="s">
        <v>2984</v>
      </c>
    </row>
    <row r="15" spans="1:4" x14ac:dyDescent="0.35">
      <c r="A15" s="45" t="s">
        <v>2971</v>
      </c>
      <c r="B15" s="45" t="s">
        <v>2985</v>
      </c>
      <c r="C15" s="42">
        <v>2</v>
      </c>
      <c r="D15" s="42" t="s">
        <v>1334</v>
      </c>
    </row>
    <row r="16" spans="1:4" x14ac:dyDescent="0.35">
      <c r="A16" s="45" t="s">
        <v>2971</v>
      </c>
      <c r="B16" s="45" t="s">
        <v>2986</v>
      </c>
      <c r="C16" s="42">
        <v>2</v>
      </c>
      <c r="D16" s="42" t="s">
        <v>2987</v>
      </c>
    </row>
    <row r="17" spans="1:4" x14ac:dyDescent="0.35">
      <c r="A17" s="45" t="s">
        <v>2971</v>
      </c>
      <c r="B17" s="45" t="s">
        <v>2988</v>
      </c>
      <c r="C17" s="42">
        <v>2</v>
      </c>
      <c r="D17" s="42" t="s">
        <v>2989</v>
      </c>
    </row>
    <row r="18" spans="1:4" x14ac:dyDescent="0.35">
      <c r="A18" s="45" t="s">
        <v>2971</v>
      </c>
      <c r="B18" s="45" t="s">
        <v>2990</v>
      </c>
      <c r="C18" s="42">
        <v>2</v>
      </c>
      <c r="D18" s="42" t="s">
        <v>1326</v>
      </c>
    </row>
    <row r="19" spans="1:4" x14ac:dyDescent="0.35">
      <c r="A19" s="45" t="s">
        <v>2971</v>
      </c>
      <c r="B19" s="45" t="s">
        <v>2991</v>
      </c>
      <c r="C19" s="42">
        <v>3</v>
      </c>
      <c r="D19" s="42" t="s">
        <v>1717</v>
      </c>
    </row>
    <row r="20" spans="1:4" x14ac:dyDescent="0.35">
      <c r="A20" s="45" t="s">
        <v>2971</v>
      </c>
      <c r="B20" s="45" t="s">
        <v>2992</v>
      </c>
      <c r="C20" s="42">
        <v>3</v>
      </c>
      <c r="D20" s="42" t="s">
        <v>2993</v>
      </c>
    </row>
    <row r="21" spans="1:4" x14ac:dyDescent="0.35">
      <c r="A21" s="45" t="s">
        <v>2971</v>
      </c>
      <c r="B21" s="45" t="s">
        <v>2994</v>
      </c>
      <c r="C21" s="42">
        <v>3</v>
      </c>
      <c r="D21" s="42" t="s">
        <v>2995</v>
      </c>
    </row>
    <row r="22" spans="1:4" x14ac:dyDescent="0.35">
      <c r="A22" s="45" t="s">
        <v>2971</v>
      </c>
      <c r="B22" s="45" t="s">
        <v>2996</v>
      </c>
      <c r="C22" s="42">
        <v>5</v>
      </c>
      <c r="D22" s="42" t="s">
        <v>2997</v>
      </c>
    </row>
    <row r="23" spans="1:4" x14ac:dyDescent="0.35">
      <c r="A23" s="45" t="s">
        <v>2971</v>
      </c>
      <c r="B23" s="45" t="s">
        <v>2220</v>
      </c>
      <c r="C23" s="42">
        <v>6</v>
      </c>
      <c r="D23" s="42" t="s">
        <v>128</v>
      </c>
    </row>
    <row r="24" spans="1:4" x14ac:dyDescent="0.35">
      <c r="A24" s="45" t="s">
        <v>2971</v>
      </c>
      <c r="B24" s="45" t="s">
        <v>2998</v>
      </c>
      <c r="C24" s="42">
        <v>6</v>
      </c>
      <c r="D24" s="42" t="s">
        <v>2999</v>
      </c>
    </row>
    <row r="25" spans="1:4" x14ac:dyDescent="0.35">
      <c r="A25" s="45" t="s">
        <v>2971</v>
      </c>
      <c r="B25" s="45" t="s">
        <v>3000</v>
      </c>
      <c r="C25" s="42">
        <v>8</v>
      </c>
      <c r="D25" s="42" t="s">
        <v>126</v>
      </c>
    </row>
    <row r="26" spans="1:4" x14ac:dyDescent="0.35">
      <c r="A26" s="45" t="s">
        <v>2971</v>
      </c>
      <c r="B26" s="45" t="s">
        <v>3001</v>
      </c>
      <c r="C26" s="42">
        <v>8</v>
      </c>
      <c r="D26" s="42" t="s">
        <v>3002</v>
      </c>
    </row>
    <row r="27" spans="1:4" x14ac:dyDescent="0.35">
      <c r="A27" s="45" t="s">
        <v>2971</v>
      </c>
      <c r="B27" s="45" t="s">
        <v>3003</v>
      </c>
      <c r="C27" s="42">
        <v>8</v>
      </c>
      <c r="D27" s="42" t="s">
        <v>1631</v>
      </c>
    </row>
    <row r="28" spans="1:4" x14ac:dyDescent="0.35">
      <c r="A28" s="45" t="s">
        <v>2971</v>
      </c>
      <c r="B28" s="45" t="s">
        <v>2453</v>
      </c>
      <c r="C28" s="42">
        <v>8</v>
      </c>
      <c r="D28" s="42" t="s">
        <v>1353</v>
      </c>
    </row>
    <row r="29" spans="1:4" x14ac:dyDescent="0.35">
      <c r="A29" s="45" t="s">
        <v>2971</v>
      </c>
      <c r="B29" s="45" t="s">
        <v>3004</v>
      </c>
      <c r="C29" s="42">
        <v>12</v>
      </c>
      <c r="D29" s="42" t="s">
        <v>2886</v>
      </c>
    </row>
    <row r="30" spans="1:4" x14ac:dyDescent="0.35">
      <c r="A30" s="45" t="s">
        <v>2971</v>
      </c>
      <c r="B30" s="45" t="s">
        <v>106</v>
      </c>
      <c r="C30" s="42">
        <v>9</v>
      </c>
      <c r="D30" s="42" t="s">
        <v>3005</v>
      </c>
    </row>
    <row r="31" spans="1:4" x14ac:dyDescent="0.35">
      <c r="A31" s="45" t="s">
        <v>2971</v>
      </c>
      <c r="B31" s="45" t="s">
        <v>1556</v>
      </c>
      <c r="C31" s="42">
        <v>6</v>
      </c>
      <c r="D31" s="42" t="s">
        <v>1317</v>
      </c>
    </row>
    <row r="32" spans="1:4" x14ac:dyDescent="0.35">
      <c r="A32" s="45" t="s">
        <v>2971</v>
      </c>
      <c r="B32" s="45" t="s">
        <v>3006</v>
      </c>
      <c r="C32" s="42">
        <v>10</v>
      </c>
      <c r="D32" s="50">
        <v>6</v>
      </c>
    </row>
    <row r="33" spans="1:4" x14ac:dyDescent="0.35">
      <c r="A33" s="45" t="s">
        <v>2971</v>
      </c>
      <c r="B33" s="45" t="s">
        <v>3007</v>
      </c>
      <c r="C33" s="42">
        <v>6</v>
      </c>
      <c r="D33" s="42" t="s">
        <v>1317</v>
      </c>
    </row>
    <row r="34" spans="1:4" x14ac:dyDescent="0.35">
      <c r="A34" s="45" t="s">
        <v>3008</v>
      </c>
      <c r="B34" s="45" t="s">
        <v>2198</v>
      </c>
      <c r="C34" s="42">
        <v>6</v>
      </c>
      <c r="D34" s="42" t="s">
        <v>128</v>
      </c>
    </row>
    <row r="35" spans="1:4" x14ac:dyDescent="0.35">
      <c r="A35" s="45" t="s">
        <v>3008</v>
      </c>
      <c r="B35" s="45" t="s">
        <v>3009</v>
      </c>
      <c r="C35" s="42" t="s">
        <v>3010</v>
      </c>
      <c r="D35" s="42" t="s">
        <v>128</v>
      </c>
    </row>
    <row r="36" spans="1:4" x14ac:dyDescent="0.35">
      <c r="A36" s="45" t="s">
        <v>3008</v>
      </c>
      <c r="B36" s="45" t="s">
        <v>3011</v>
      </c>
      <c r="C36" s="42">
        <v>1</v>
      </c>
      <c r="D36" s="42" t="s">
        <v>128</v>
      </c>
    </row>
    <row r="37" spans="1:4" x14ac:dyDescent="0.35">
      <c r="A37" s="45" t="s">
        <v>3008</v>
      </c>
      <c r="B37" s="45" t="s">
        <v>2792</v>
      </c>
      <c r="C37" s="42">
        <v>2</v>
      </c>
      <c r="D37" s="42" t="s">
        <v>128</v>
      </c>
    </row>
    <row r="38" spans="1:4" x14ac:dyDescent="0.35">
      <c r="A38" s="45" t="s">
        <v>3008</v>
      </c>
      <c r="B38" s="45" t="s">
        <v>1366</v>
      </c>
      <c r="C38" s="42">
        <v>2</v>
      </c>
      <c r="D38" s="42" t="s">
        <v>128</v>
      </c>
    </row>
    <row r="39" spans="1:4" x14ac:dyDescent="0.35">
      <c r="A39" s="45" t="s">
        <v>3008</v>
      </c>
      <c r="B39" s="45" t="s">
        <v>1354</v>
      </c>
      <c r="C39" s="42">
        <v>2</v>
      </c>
      <c r="D39" s="42" t="s">
        <v>128</v>
      </c>
    </row>
    <row r="40" spans="1:4" x14ac:dyDescent="0.35">
      <c r="A40" s="45" t="s">
        <v>3008</v>
      </c>
      <c r="B40" s="45" t="s">
        <v>3012</v>
      </c>
      <c r="C40" s="42">
        <v>6</v>
      </c>
      <c r="D40" s="42" t="s">
        <v>128</v>
      </c>
    </row>
    <row r="41" spans="1:4" x14ac:dyDescent="0.35">
      <c r="A41" s="45" t="s">
        <v>3008</v>
      </c>
      <c r="B41" s="45" t="s">
        <v>3013</v>
      </c>
      <c r="C41" s="42">
        <v>6</v>
      </c>
      <c r="D41" s="42" t="s">
        <v>127</v>
      </c>
    </row>
    <row r="42" spans="1:4" x14ac:dyDescent="0.35">
      <c r="A42" s="45" t="s">
        <v>3008</v>
      </c>
      <c r="B42" s="45" t="s">
        <v>2790</v>
      </c>
      <c r="C42" s="42">
        <v>11</v>
      </c>
      <c r="D42" s="42" t="s">
        <v>2791</v>
      </c>
    </row>
    <row r="43" spans="1:4" x14ac:dyDescent="0.35">
      <c r="A43" s="45" t="s">
        <v>3008</v>
      </c>
      <c r="B43" s="45" t="s">
        <v>2792</v>
      </c>
      <c r="C43" s="42">
        <v>11</v>
      </c>
      <c r="D43" s="42" t="s">
        <v>128</v>
      </c>
    </row>
    <row r="44" spans="1:4" x14ac:dyDescent="0.35">
      <c r="A44" s="45" t="s">
        <v>3008</v>
      </c>
      <c r="B44" s="45" t="s">
        <v>3014</v>
      </c>
      <c r="C44" s="42">
        <v>12</v>
      </c>
      <c r="D44" s="42" t="s">
        <v>2435</v>
      </c>
    </row>
    <row r="45" spans="1:4" x14ac:dyDescent="0.35">
      <c r="A45" s="45" t="s">
        <v>3015</v>
      </c>
      <c r="B45" s="45" t="s">
        <v>3016</v>
      </c>
      <c r="C45" s="42">
        <v>5</v>
      </c>
      <c r="D45" s="42" t="s">
        <v>1320</v>
      </c>
    </row>
    <row r="46" spans="1:4" x14ac:dyDescent="0.35">
      <c r="A46" s="45" t="s">
        <v>3015</v>
      </c>
      <c r="B46" s="45" t="s">
        <v>3017</v>
      </c>
      <c r="C46" s="42">
        <v>7</v>
      </c>
      <c r="D46" s="42" t="s">
        <v>1320</v>
      </c>
    </row>
    <row r="47" spans="1:4" x14ac:dyDescent="0.35">
      <c r="A47" s="45" t="s">
        <v>3015</v>
      </c>
      <c r="B47" s="45" t="s">
        <v>3018</v>
      </c>
      <c r="C47" s="42">
        <v>9</v>
      </c>
      <c r="D47" s="42" t="s">
        <v>1320</v>
      </c>
    </row>
    <row r="48" spans="1:4" x14ac:dyDescent="0.35">
      <c r="A48" s="45" t="s">
        <v>3015</v>
      </c>
      <c r="B48" s="45" t="s">
        <v>3019</v>
      </c>
      <c r="C48" s="42">
        <v>11</v>
      </c>
      <c r="D48" s="42" t="s">
        <v>1320</v>
      </c>
    </row>
    <row r="49" spans="1:4" x14ac:dyDescent="0.35">
      <c r="A49" s="45" t="s">
        <v>3015</v>
      </c>
      <c r="B49" s="45" t="s">
        <v>3020</v>
      </c>
      <c r="C49" s="42">
        <v>2</v>
      </c>
      <c r="D49" s="42" t="s">
        <v>1320</v>
      </c>
    </row>
    <row r="50" spans="1:4" x14ac:dyDescent="0.35">
      <c r="A50" s="45" t="s">
        <v>3015</v>
      </c>
      <c r="B50" s="45" t="s">
        <v>3021</v>
      </c>
      <c r="C50" s="42"/>
      <c r="D50" s="42" t="s">
        <v>1320</v>
      </c>
    </row>
    <row r="51" spans="1:4" x14ac:dyDescent="0.35">
      <c r="A51" s="45" t="s">
        <v>3015</v>
      </c>
      <c r="B51" s="45" t="s">
        <v>3022</v>
      </c>
      <c r="C51" s="42">
        <v>11</v>
      </c>
      <c r="D51" s="42" t="s">
        <v>1320</v>
      </c>
    </row>
    <row r="52" spans="1:4" ht="26" x14ac:dyDescent="0.35">
      <c r="A52" s="45" t="s">
        <v>3015</v>
      </c>
      <c r="B52" s="45" t="s">
        <v>3023</v>
      </c>
      <c r="C52" s="42"/>
      <c r="D52" s="42" t="s">
        <v>3024</v>
      </c>
    </row>
    <row r="53" spans="1:4" ht="26" x14ac:dyDescent="0.35">
      <c r="A53" s="45" t="s">
        <v>3015</v>
      </c>
      <c r="B53" s="45" t="s">
        <v>3025</v>
      </c>
      <c r="C53" s="42"/>
      <c r="D53" s="42" t="s">
        <v>3026</v>
      </c>
    </row>
    <row r="54" spans="1:4" ht="26" x14ac:dyDescent="0.35">
      <c r="A54" s="45" t="s">
        <v>3015</v>
      </c>
      <c r="B54" s="45" t="s">
        <v>3027</v>
      </c>
      <c r="C54" s="42"/>
      <c r="D54" s="42" t="s">
        <v>3028</v>
      </c>
    </row>
    <row r="55" spans="1:4" x14ac:dyDescent="0.35">
      <c r="A55" s="45" t="s">
        <v>3015</v>
      </c>
      <c r="B55" s="45" t="s">
        <v>3029</v>
      </c>
      <c r="C55" s="42"/>
      <c r="D55" s="42" t="s">
        <v>3030</v>
      </c>
    </row>
    <row r="56" spans="1:4" ht="26" x14ac:dyDescent="0.35">
      <c r="A56" s="45" t="s">
        <v>3015</v>
      </c>
      <c r="B56" s="45" t="s">
        <v>3031</v>
      </c>
      <c r="C56" s="42"/>
      <c r="D56" s="42" t="s">
        <v>3032</v>
      </c>
    </row>
    <row r="57" spans="1:4" x14ac:dyDescent="0.35">
      <c r="A57" s="45" t="s">
        <v>3015</v>
      </c>
      <c r="B57" s="45" t="s">
        <v>3033</v>
      </c>
      <c r="C57" s="42"/>
      <c r="D57" s="42"/>
    </row>
    <row r="58" spans="1:4" x14ac:dyDescent="0.35">
      <c r="A58" s="45" t="s">
        <v>3015</v>
      </c>
      <c r="B58" s="45" t="s">
        <v>3034</v>
      </c>
      <c r="C58" s="42"/>
      <c r="D58" s="42"/>
    </row>
    <row r="59" spans="1:4" x14ac:dyDescent="0.35">
      <c r="A59" s="45" t="s">
        <v>3015</v>
      </c>
      <c r="B59" s="45" t="s">
        <v>3035</v>
      </c>
      <c r="C59" s="42"/>
      <c r="D59" s="42" t="s">
        <v>3036</v>
      </c>
    </row>
    <row r="60" spans="1:4" x14ac:dyDescent="0.35">
      <c r="A60" s="45" t="s">
        <v>3015</v>
      </c>
      <c r="B60" s="45" t="s">
        <v>3037</v>
      </c>
      <c r="C60" s="42">
        <v>5</v>
      </c>
      <c r="D60" s="42" t="s">
        <v>2775</v>
      </c>
    </row>
    <row r="61" spans="1:4" ht="26" x14ac:dyDescent="0.35">
      <c r="A61" s="45" t="s">
        <v>3015</v>
      </c>
      <c r="B61" s="45" t="s">
        <v>3038</v>
      </c>
      <c r="C61" s="42"/>
      <c r="D61" s="42" t="s">
        <v>3039</v>
      </c>
    </row>
    <row r="62" spans="1:4" ht="26" x14ac:dyDescent="0.35">
      <c r="A62" s="45" t="s">
        <v>3015</v>
      </c>
      <c r="B62" s="45" t="s">
        <v>3040</v>
      </c>
      <c r="C62" s="42"/>
      <c r="D62" s="42" t="s">
        <v>3041</v>
      </c>
    </row>
    <row r="63" spans="1:4" x14ac:dyDescent="0.35">
      <c r="A63" s="45" t="s">
        <v>3042</v>
      </c>
      <c r="B63" s="45" t="s">
        <v>1217</v>
      </c>
      <c r="C63" s="42">
        <v>1</v>
      </c>
      <c r="D63" s="42" t="s">
        <v>1218</v>
      </c>
    </row>
    <row r="64" spans="1:4" x14ac:dyDescent="0.35">
      <c r="A64" s="45" t="s">
        <v>3042</v>
      </c>
      <c r="B64" s="45" t="s">
        <v>3043</v>
      </c>
      <c r="C64" s="42">
        <v>1</v>
      </c>
      <c r="D64" s="42" t="s">
        <v>3044</v>
      </c>
    </row>
    <row r="65" spans="1:4" x14ac:dyDescent="0.35">
      <c r="A65" s="45" t="s">
        <v>3042</v>
      </c>
      <c r="B65" s="45" t="s">
        <v>1255</v>
      </c>
      <c r="C65" s="42">
        <v>1</v>
      </c>
      <c r="D65" s="42" t="s">
        <v>3045</v>
      </c>
    </row>
    <row r="66" spans="1:4" x14ac:dyDescent="0.35">
      <c r="A66" s="45" t="s">
        <v>3042</v>
      </c>
      <c r="B66" s="45" t="s">
        <v>3046</v>
      </c>
      <c r="C66" s="42">
        <v>1</v>
      </c>
      <c r="D66" s="42" t="s">
        <v>3047</v>
      </c>
    </row>
    <row r="67" spans="1:4" x14ac:dyDescent="0.35">
      <c r="A67" s="45" t="s">
        <v>3042</v>
      </c>
      <c r="B67" s="45" t="s">
        <v>3048</v>
      </c>
      <c r="C67" s="42">
        <v>1</v>
      </c>
      <c r="D67" s="42" t="s">
        <v>1232</v>
      </c>
    </row>
    <row r="68" spans="1:4" x14ac:dyDescent="0.35">
      <c r="A68" s="45" t="s">
        <v>3042</v>
      </c>
      <c r="B68" s="45" t="s">
        <v>3048</v>
      </c>
      <c r="C68" s="42">
        <v>6</v>
      </c>
      <c r="D68" s="42" t="s">
        <v>1218</v>
      </c>
    </row>
    <row r="69" spans="1:4" x14ac:dyDescent="0.35">
      <c r="A69" s="45" t="s">
        <v>3042</v>
      </c>
      <c r="B69" s="45" t="s">
        <v>3049</v>
      </c>
      <c r="C69" s="42">
        <v>1</v>
      </c>
      <c r="D69" s="42" t="s">
        <v>1240</v>
      </c>
    </row>
    <row r="70" spans="1:4" x14ac:dyDescent="0.35">
      <c r="A70" s="45" t="s">
        <v>3042</v>
      </c>
      <c r="B70" s="45" t="s">
        <v>3050</v>
      </c>
      <c r="C70" s="42">
        <v>1</v>
      </c>
      <c r="D70" s="42" t="s">
        <v>128</v>
      </c>
    </row>
    <row r="71" spans="1:4" ht="50" x14ac:dyDescent="0.35">
      <c r="A71" s="45" t="s">
        <v>3042</v>
      </c>
      <c r="B71" s="45" t="s">
        <v>3051</v>
      </c>
      <c r="C71" s="42">
        <v>3</v>
      </c>
      <c r="D71" s="42" t="s">
        <v>3052</v>
      </c>
    </row>
    <row r="72" spans="1:4" ht="50" x14ac:dyDescent="0.35">
      <c r="A72" s="45" t="s">
        <v>3042</v>
      </c>
      <c r="B72" s="45" t="s">
        <v>3053</v>
      </c>
      <c r="C72" s="42">
        <v>3</v>
      </c>
      <c r="D72" s="42" t="s">
        <v>3054</v>
      </c>
    </row>
    <row r="73" spans="1:4" ht="25" x14ac:dyDescent="0.35">
      <c r="A73" s="45" t="s">
        <v>3042</v>
      </c>
      <c r="B73" s="45" t="s">
        <v>3055</v>
      </c>
      <c r="C73" s="42">
        <v>3</v>
      </c>
      <c r="D73" s="42" t="s">
        <v>3056</v>
      </c>
    </row>
    <row r="74" spans="1:4" ht="25" x14ac:dyDescent="0.35">
      <c r="A74" s="45" t="s">
        <v>3042</v>
      </c>
      <c r="B74" s="45" t="s">
        <v>3057</v>
      </c>
      <c r="C74" s="42">
        <v>3</v>
      </c>
      <c r="D74" s="42" t="s">
        <v>3058</v>
      </c>
    </row>
    <row r="75" spans="1:4" x14ac:dyDescent="0.35">
      <c r="A75" s="45" t="s">
        <v>3042</v>
      </c>
      <c r="B75" s="45" t="s">
        <v>1706</v>
      </c>
      <c r="C75" s="42">
        <v>3</v>
      </c>
      <c r="D75" s="42" t="s">
        <v>3059</v>
      </c>
    </row>
    <row r="76" spans="1:4" x14ac:dyDescent="0.35">
      <c r="A76" s="45" t="s">
        <v>3042</v>
      </c>
      <c r="B76" s="45" t="s">
        <v>3060</v>
      </c>
      <c r="C76" s="42">
        <v>3</v>
      </c>
      <c r="D76" s="42" t="s">
        <v>1711</v>
      </c>
    </row>
    <row r="77" spans="1:4" x14ac:dyDescent="0.35">
      <c r="A77" s="45" t="s">
        <v>3042</v>
      </c>
      <c r="B77" s="45" t="s">
        <v>3061</v>
      </c>
      <c r="C77" s="42">
        <v>4</v>
      </c>
      <c r="D77" s="42" t="s">
        <v>1717</v>
      </c>
    </row>
    <row r="78" spans="1:4" x14ac:dyDescent="0.35">
      <c r="A78" s="45" t="s">
        <v>3042</v>
      </c>
      <c r="B78" s="45" t="s">
        <v>3062</v>
      </c>
      <c r="C78" s="42">
        <v>4</v>
      </c>
      <c r="D78" s="50" t="s">
        <v>3063</v>
      </c>
    </row>
    <row r="79" spans="1:4" x14ac:dyDescent="0.35">
      <c r="A79" s="45" t="s">
        <v>3042</v>
      </c>
      <c r="B79" s="45" t="s">
        <v>3064</v>
      </c>
      <c r="C79" s="42">
        <v>4</v>
      </c>
      <c r="D79" s="50" t="s">
        <v>3065</v>
      </c>
    </row>
    <row r="80" spans="1:4" x14ac:dyDescent="0.35">
      <c r="A80" s="45" t="s">
        <v>3042</v>
      </c>
      <c r="B80" s="45" t="s">
        <v>1931</v>
      </c>
      <c r="C80" s="42">
        <v>4</v>
      </c>
      <c r="D80" s="42" t="s">
        <v>3066</v>
      </c>
    </row>
    <row r="81" spans="1:4" x14ac:dyDescent="0.35">
      <c r="A81" s="45" t="s">
        <v>3042</v>
      </c>
      <c r="B81" s="45" t="s">
        <v>2052</v>
      </c>
      <c r="C81" s="42">
        <v>5</v>
      </c>
      <c r="D81" s="42" t="s">
        <v>2053</v>
      </c>
    </row>
    <row r="82" spans="1:4" x14ac:dyDescent="0.35">
      <c r="A82" s="45" t="s">
        <v>3042</v>
      </c>
      <c r="B82" s="45" t="s">
        <v>3067</v>
      </c>
      <c r="C82" s="42">
        <v>6</v>
      </c>
      <c r="D82" s="42" t="s">
        <v>3068</v>
      </c>
    </row>
    <row r="83" spans="1:4" x14ac:dyDescent="0.35">
      <c r="A83" s="45" t="s">
        <v>3042</v>
      </c>
      <c r="B83" s="45" t="s">
        <v>3069</v>
      </c>
      <c r="C83" s="42">
        <v>6</v>
      </c>
      <c r="D83" s="42" t="s">
        <v>3070</v>
      </c>
    </row>
    <row r="84" spans="1:4" x14ac:dyDescent="0.35">
      <c r="A84" s="45" t="s">
        <v>3042</v>
      </c>
      <c r="B84" s="45" t="s">
        <v>3071</v>
      </c>
      <c r="C84" s="42">
        <v>6</v>
      </c>
      <c r="D84" s="42" t="s">
        <v>2208</v>
      </c>
    </row>
    <row r="85" spans="1:4" x14ac:dyDescent="0.35">
      <c r="A85" s="45" t="s">
        <v>3042</v>
      </c>
      <c r="B85" s="45" t="s">
        <v>3072</v>
      </c>
      <c r="C85" s="42">
        <v>6</v>
      </c>
      <c r="D85" s="42" t="s">
        <v>2232</v>
      </c>
    </row>
    <row r="86" spans="1:4" x14ac:dyDescent="0.35">
      <c r="A86" s="45" t="s">
        <v>3042</v>
      </c>
      <c r="B86" s="45" t="s">
        <v>3073</v>
      </c>
      <c r="C86" s="42">
        <v>6</v>
      </c>
      <c r="D86" s="42" t="s">
        <v>128</v>
      </c>
    </row>
    <row r="87" spans="1:4" x14ac:dyDescent="0.35">
      <c r="A87" s="45" t="s">
        <v>3042</v>
      </c>
      <c r="B87" s="45" t="s">
        <v>3074</v>
      </c>
      <c r="C87" s="42">
        <v>6</v>
      </c>
      <c r="D87" s="50" t="s">
        <v>3075</v>
      </c>
    </row>
    <row r="88" spans="1:4" x14ac:dyDescent="0.35">
      <c r="A88" s="45" t="s">
        <v>3042</v>
      </c>
      <c r="B88" s="45" t="s">
        <v>3076</v>
      </c>
      <c r="C88" s="42">
        <v>10</v>
      </c>
      <c r="D88" s="50" t="s">
        <v>3077</v>
      </c>
    </row>
    <row r="89" spans="1:4" x14ac:dyDescent="0.35">
      <c r="A89" s="45" t="s">
        <v>3042</v>
      </c>
      <c r="B89" s="45" t="s">
        <v>2416</v>
      </c>
      <c r="C89" s="42">
        <v>8</v>
      </c>
      <c r="D89" s="42" t="s">
        <v>2417</v>
      </c>
    </row>
    <row r="90" spans="1:4" x14ac:dyDescent="0.35">
      <c r="A90" s="45" t="s">
        <v>3042</v>
      </c>
      <c r="B90" s="45" t="s">
        <v>3078</v>
      </c>
      <c r="C90" s="42">
        <v>8</v>
      </c>
      <c r="D90" s="42" t="s">
        <v>2208</v>
      </c>
    </row>
    <row r="91" spans="1:4" x14ac:dyDescent="0.35">
      <c r="A91" s="45" t="s">
        <v>3042</v>
      </c>
      <c r="B91" s="45" t="s">
        <v>3079</v>
      </c>
      <c r="C91" s="42">
        <v>8</v>
      </c>
      <c r="D91" s="42" t="s">
        <v>3080</v>
      </c>
    </row>
    <row r="92" spans="1:4" x14ac:dyDescent="0.35">
      <c r="A92" s="45" t="s">
        <v>3042</v>
      </c>
      <c r="B92" s="45" t="s">
        <v>3081</v>
      </c>
      <c r="C92" s="42">
        <v>8</v>
      </c>
      <c r="D92" s="42" t="s">
        <v>2429</v>
      </c>
    </row>
    <row r="93" spans="1:4" x14ac:dyDescent="0.35">
      <c r="A93" s="45" t="s">
        <v>3042</v>
      </c>
      <c r="B93" s="45" t="s">
        <v>2432</v>
      </c>
      <c r="C93" s="42">
        <v>8</v>
      </c>
      <c r="D93" s="42" t="s">
        <v>1363</v>
      </c>
    </row>
    <row r="94" spans="1:4" x14ac:dyDescent="0.35">
      <c r="A94" s="45" t="s">
        <v>3042</v>
      </c>
      <c r="B94" s="45" t="s">
        <v>3082</v>
      </c>
      <c r="C94" s="42">
        <v>8</v>
      </c>
      <c r="D94" s="42" t="s">
        <v>3083</v>
      </c>
    </row>
    <row r="95" spans="1:4" x14ac:dyDescent="0.35">
      <c r="A95" s="45" t="s">
        <v>3042</v>
      </c>
      <c r="B95" s="45" t="s">
        <v>3084</v>
      </c>
      <c r="C95" s="42">
        <v>8</v>
      </c>
      <c r="D95" s="42" t="s">
        <v>3085</v>
      </c>
    </row>
    <row r="96" spans="1:4" x14ac:dyDescent="0.35">
      <c r="A96" s="45" t="s">
        <v>3042</v>
      </c>
      <c r="B96" s="45" t="s">
        <v>3086</v>
      </c>
      <c r="C96" s="42">
        <v>8</v>
      </c>
      <c r="D96" s="42" t="s">
        <v>3087</v>
      </c>
    </row>
    <row r="97" spans="1:4" ht="25" x14ac:dyDescent="0.35">
      <c r="A97" s="45" t="s">
        <v>3042</v>
      </c>
      <c r="B97" s="45" t="s">
        <v>2456</v>
      </c>
      <c r="C97" s="42">
        <v>8</v>
      </c>
      <c r="D97" s="42" t="s">
        <v>3088</v>
      </c>
    </row>
    <row r="98" spans="1:4" x14ac:dyDescent="0.35">
      <c r="A98" s="45" t="s">
        <v>3042</v>
      </c>
      <c r="B98" s="45" t="s">
        <v>3089</v>
      </c>
      <c r="C98" s="42">
        <v>10</v>
      </c>
      <c r="D98" s="42" t="s">
        <v>2637</v>
      </c>
    </row>
    <row r="99" spans="1:4" x14ac:dyDescent="0.35">
      <c r="A99" s="45" t="s">
        <v>3042</v>
      </c>
      <c r="B99" s="45" t="s">
        <v>1660</v>
      </c>
      <c r="C99" s="42">
        <v>10</v>
      </c>
      <c r="D99" s="42" t="s">
        <v>2637</v>
      </c>
    </row>
    <row r="100" spans="1:4" x14ac:dyDescent="0.35">
      <c r="A100" s="45" t="s">
        <v>3042</v>
      </c>
      <c r="B100" s="45" t="s">
        <v>3090</v>
      </c>
      <c r="C100" s="42">
        <v>10</v>
      </c>
      <c r="D100" s="42" t="s">
        <v>3091</v>
      </c>
    </row>
    <row r="101" spans="1:4" x14ac:dyDescent="0.35">
      <c r="A101" s="45" t="s">
        <v>3042</v>
      </c>
      <c r="B101" s="45" t="s">
        <v>3092</v>
      </c>
      <c r="C101" s="42">
        <v>10</v>
      </c>
      <c r="D101" s="42" t="s">
        <v>3093</v>
      </c>
    </row>
    <row r="102" spans="1:4" x14ac:dyDescent="0.35">
      <c r="A102" s="45" t="s">
        <v>3042</v>
      </c>
      <c r="B102" s="45" t="s">
        <v>3094</v>
      </c>
      <c r="C102" s="42">
        <v>10</v>
      </c>
      <c r="D102" s="42" t="s">
        <v>3095</v>
      </c>
    </row>
    <row r="103" spans="1:4" x14ac:dyDescent="0.35">
      <c r="A103" s="45" t="s">
        <v>3042</v>
      </c>
      <c r="B103" s="45" t="s">
        <v>3096</v>
      </c>
      <c r="C103" s="42">
        <v>12</v>
      </c>
      <c r="D103" s="42" t="s">
        <v>3097</v>
      </c>
    </row>
    <row r="104" spans="1:4" x14ac:dyDescent="0.35">
      <c r="A104" s="45" t="s">
        <v>3042</v>
      </c>
      <c r="B104" s="45" t="s">
        <v>3098</v>
      </c>
      <c r="C104" s="42">
        <v>2</v>
      </c>
      <c r="D104" s="42" t="s">
        <v>1322</v>
      </c>
    </row>
    <row r="105" spans="1:4" x14ac:dyDescent="0.35">
      <c r="A105" s="45" t="s">
        <v>3042</v>
      </c>
      <c r="B105" s="45" t="s">
        <v>3099</v>
      </c>
      <c r="C105" s="42">
        <v>12</v>
      </c>
      <c r="D105" s="42" t="s">
        <v>1220</v>
      </c>
    </row>
    <row r="106" spans="1:4" x14ac:dyDescent="0.35">
      <c r="A106" s="45" t="s">
        <v>3042</v>
      </c>
      <c r="B106" s="45" t="s">
        <v>3100</v>
      </c>
      <c r="C106" s="42">
        <v>12</v>
      </c>
      <c r="D106" s="42" t="s">
        <v>2912</v>
      </c>
    </row>
    <row r="107" spans="1:4" x14ac:dyDescent="0.35">
      <c r="A107" s="45" t="s">
        <v>3042</v>
      </c>
      <c r="B107" s="45" t="s">
        <v>3101</v>
      </c>
      <c r="C107" s="42">
        <v>12</v>
      </c>
      <c r="D107" s="42" t="s">
        <v>3102</v>
      </c>
    </row>
    <row r="108" spans="1:4" ht="25" x14ac:dyDescent="0.35">
      <c r="A108" s="45" t="s">
        <v>3042</v>
      </c>
      <c r="B108" s="45" t="s">
        <v>2915</v>
      </c>
      <c r="C108" s="42">
        <v>12</v>
      </c>
      <c r="D108" s="42" t="s">
        <v>3103</v>
      </c>
    </row>
    <row r="109" spans="1:4" x14ac:dyDescent="0.35">
      <c r="A109" s="45" t="s">
        <v>3042</v>
      </c>
      <c r="B109" s="45" t="s">
        <v>2919</v>
      </c>
      <c r="C109" s="42">
        <v>12</v>
      </c>
      <c r="D109" s="42" t="s">
        <v>3104</v>
      </c>
    </row>
    <row r="110" spans="1:4" x14ac:dyDescent="0.35">
      <c r="A110" s="45" t="s">
        <v>3042</v>
      </c>
      <c r="B110" s="45" t="s">
        <v>2921</v>
      </c>
      <c r="C110" s="42">
        <v>12</v>
      </c>
      <c r="D110" s="42" t="s">
        <v>2922</v>
      </c>
    </row>
    <row r="111" spans="1:4" ht="25" x14ac:dyDescent="0.35">
      <c r="A111" s="45" t="s">
        <v>3042</v>
      </c>
      <c r="B111" s="45" t="s">
        <v>3105</v>
      </c>
      <c r="C111" s="42">
        <v>1</v>
      </c>
      <c r="D111" s="42" t="s">
        <v>3106</v>
      </c>
    </row>
    <row r="112" spans="1:4" ht="25" x14ac:dyDescent="0.35">
      <c r="A112" s="45" t="s">
        <v>3042</v>
      </c>
      <c r="B112" s="45" t="s">
        <v>3107</v>
      </c>
      <c r="C112" s="42">
        <v>1</v>
      </c>
      <c r="D112" s="42" t="s">
        <v>3108</v>
      </c>
    </row>
    <row r="113" spans="1:4" x14ac:dyDescent="0.35">
      <c r="A113" s="45" t="s">
        <v>3042</v>
      </c>
      <c r="B113" s="45" t="s">
        <v>3109</v>
      </c>
      <c r="C113" s="42">
        <v>5</v>
      </c>
      <c r="D113" s="42" t="s">
        <v>3110</v>
      </c>
    </row>
    <row r="114" spans="1:4" x14ac:dyDescent="0.35">
      <c r="A114" s="45" t="s">
        <v>3042</v>
      </c>
      <c r="B114" s="45" t="s">
        <v>3111</v>
      </c>
      <c r="C114" s="42">
        <v>6</v>
      </c>
      <c r="D114" s="42" t="s">
        <v>2205</v>
      </c>
    </row>
    <row r="115" spans="1:4" x14ac:dyDescent="0.35">
      <c r="A115" s="45" t="s">
        <v>1125</v>
      </c>
      <c r="B115" s="45" t="s">
        <v>2087</v>
      </c>
      <c r="C115" s="42">
        <v>5</v>
      </c>
      <c r="D115" s="42" t="s">
        <v>128</v>
      </c>
    </row>
    <row r="116" spans="1:4" x14ac:dyDescent="0.35">
      <c r="A116" s="45" t="s">
        <v>1125</v>
      </c>
      <c r="B116" s="45" t="s">
        <v>3112</v>
      </c>
      <c r="C116" s="42">
        <v>5</v>
      </c>
      <c r="D116" s="42" t="s">
        <v>3113</v>
      </c>
    </row>
    <row r="117" spans="1:4" x14ac:dyDescent="0.35">
      <c r="A117" s="45" t="s">
        <v>1125</v>
      </c>
      <c r="B117" s="45" t="s">
        <v>3114</v>
      </c>
      <c r="C117" s="42">
        <v>5</v>
      </c>
      <c r="D117" s="42" t="s">
        <v>3115</v>
      </c>
    </row>
    <row r="118" spans="1:4" x14ac:dyDescent="0.35">
      <c r="A118" s="45" t="s">
        <v>1125</v>
      </c>
      <c r="B118" s="45" t="s">
        <v>2079</v>
      </c>
      <c r="C118" s="42">
        <v>5</v>
      </c>
      <c r="D118" s="42" t="s">
        <v>3116</v>
      </c>
    </row>
    <row r="119" spans="1:4" x14ac:dyDescent="0.35">
      <c r="A119" s="45" t="s">
        <v>1125</v>
      </c>
      <c r="B119" s="45" t="s">
        <v>3117</v>
      </c>
      <c r="C119" s="42">
        <v>8</v>
      </c>
      <c r="D119" s="42" t="s">
        <v>3118</v>
      </c>
    </row>
    <row r="120" spans="1:4" x14ac:dyDescent="0.35">
      <c r="A120" s="45" t="s">
        <v>1125</v>
      </c>
      <c r="B120" s="45" t="s">
        <v>3119</v>
      </c>
      <c r="C120" s="42">
        <v>5</v>
      </c>
      <c r="D120" s="42" t="s">
        <v>3120</v>
      </c>
    </row>
    <row r="121" spans="1:4" x14ac:dyDescent="0.35">
      <c r="A121" s="45" t="s">
        <v>1125</v>
      </c>
      <c r="B121" s="45" t="s">
        <v>1125</v>
      </c>
      <c r="C121" s="42">
        <v>7</v>
      </c>
      <c r="D121" s="42" t="s">
        <v>3121</v>
      </c>
    </row>
    <row r="122" spans="1:4" x14ac:dyDescent="0.35">
      <c r="A122" s="45" t="s">
        <v>1125</v>
      </c>
      <c r="B122" s="45" t="s">
        <v>3122</v>
      </c>
      <c r="C122" s="42">
        <v>7</v>
      </c>
      <c r="D122" s="42" t="s">
        <v>1126</v>
      </c>
    </row>
    <row r="123" spans="1:4" x14ac:dyDescent="0.35">
      <c r="A123" s="45" t="s">
        <v>1125</v>
      </c>
      <c r="B123" s="45" t="s">
        <v>3123</v>
      </c>
      <c r="C123" s="42">
        <v>7</v>
      </c>
      <c r="D123" s="42" t="s">
        <v>3124</v>
      </c>
    </row>
    <row r="124" spans="1:4" x14ac:dyDescent="0.35">
      <c r="A124" s="45" t="s">
        <v>1125</v>
      </c>
      <c r="B124" s="45" t="s">
        <v>3125</v>
      </c>
      <c r="C124" s="42">
        <v>7</v>
      </c>
      <c r="D124" s="42" t="s">
        <v>3126</v>
      </c>
    </row>
    <row r="125" spans="1:4" x14ac:dyDescent="0.35">
      <c r="A125" s="45" t="s">
        <v>1125</v>
      </c>
      <c r="B125" s="45" t="s">
        <v>3127</v>
      </c>
      <c r="C125" s="42">
        <v>7</v>
      </c>
      <c r="D125" s="42" t="s">
        <v>3128</v>
      </c>
    </row>
    <row r="126" spans="1:4" x14ac:dyDescent="0.35">
      <c r="A126" s="45" t="s">
        <v>1125</v>
      </c>
      <c r="B126" s="45" t="s">
        <v>2254</v>
      </c>
      <c r="C126" s="42">
        <v>7</v>
      </c>
      <c r="D126" s="42" t="s">
        <v>3129</v>
      </c>
    </row>
    <row r="127" spans="1:4" x14ac:dyDescent="0.35">
      <c r="A127" s="45" t="s">
        <v>1125</v>
      </c>
      <c r="B127" s="45" t="s">
        <v>3130</v>
      </c>
      <c r="C127" s="42">
        <v>7</v>
      </c>
      <c r="D127" s="42" t="s">
        <v>3131</v>
      </c>
    </row>
    <row r="128" spans="1:4" x14ac:dyDescent="0.35">
      <c r="A128" s="45" t="s">
        <v>1125</v>
      </c>
      <c r="B128" s="45" t="s">
        <v>3132</v>
      </c>
      <c r="C128" s="42">
        <v>7</v>
      </c>
      <c r="D128" s="42" t="s">
        <v>3133</v>
      </c>
    </row>
    <row r="129" spans="1:4" x14ac:dyDescent="0.35">
      <c r="A129" s="45" t="s">
        <v>1125</v>
      </c>
      <c r="B129" s="45" t="s">
        <v>3134</v>
      </c>
      <c r="C129" s="42">
        <v>7</v>
      </c>
      <c r="D129" s="42" t="s">
        <v>3135</v>
      </c>
    </row>
    <row r="130" spans="1:4" x14ac:dyDescent="0.35">
      <c r="A130" s="45" t="s">
        <v>1125</v>
      </c>
      <c r="B130" s="45" t="s">
        <v>3136</v>
      </c>
      <c r="C130" s="42">
        <v>7</v>
      </c>
      <c r="D130" s="42" t="s">
        <v>3137</v>
      </c>
    </row>
    <row r="131" spans="1:4" x14ac:dyDescent="0.35">
      <c r="A131" s="45" t="s">
        <v>1125</v>
      </c>
      <c r="B131" s="45" t="s">
        <v>3138</v>
      </c>
      <c r="C131" s="42">
        <v>7</v>
      </c>
      <c r="D131" s="42" t="s">
        <v>3139</v>
      </c>
    </row>
    <row r="132" spans="1:4" x14ac:dyDescent="0.35">
      <c r="A132" s="45" t="s">
        <v>1125</v>
      </c>
      <c r="B132" s="45" t="s">
        <v>3140</v>
      </c>
      <c r="C132" s="42">
        <v>7</v>
      </c>
      <c r="D132" s="42" t="s">
        <v>3141</v>
      </c>
    </row>
    <row r="133" spans="1:4" x14ac:dyDescent="0.35">
      <c r="A133" s="45" t="s">
        <v>1125</v>
      </c>
      <c r="B133" s="45" t="s">
        <v>3142</v>
      </c>
      <c r="C133" s="42">
        <v>7</v>
      </c>
      <c r="D133" s="42" t="s">
        <v>3143</v>
      </c>
    </row>
    <row r="134" spans="1:4" x14ac:dyDescent="0.35">
      <c r="A134" s="45" t="s">
        <v>1125</v>
      </c>
      <c r="B134" s="45" t="s">
        <v>3144</v>
      </c>
      <c r="C134" s="42">
        <v>7</v>
      </c>
      <c r="D134" s="42" t="s">
        <v>3145</v>
      </c>
    </row>
    <row r="135" spans="1:4" x14ac:dyDescent="0.35">
      <c r="A135" s="45" t="s">
        <v>1125</v>
      </c>
      <c r="B135" s="45" t="s">
        <v>3146</v>
      </c>
      <c r="C135" s="42">
        <v>7</v>
      </c>
      <c r="D135" s="42" t="s">
        <v>3147</v>
      </c>
    </row>
    <row r="136" spans="1:4" x14ac:dyDescent="0.35">
      <c r="A136" s="45" t="s">
        <v>1125</v>
      </c>
      <c r="B136" s="45" t="s">
        <v>3148</v>
      </c>
      <c r="C136" s="42">
        <v>7</v>
      </c>
      <c r="D136" s="42" t="s">
        <v>3149</v>
      </c>
    </row>
    <row r="137" spans="1:4" x14ac:dyDescent="0.35">
      <c r="A137" s="45" t="s">
        <v>1125</v>
      </c>
      <c r="B137" s="45" t="s">
        <v>3150</v>
      </c>
      <c r="C137" s="42">
        <v>7</v>
      </c>
      <c r="D137" s="42" t="s">
        <v>3151</v>
      </c>
    </row>
    <row r="138" spans="1:4" x14ac:dyDescent="0.35">
      <c r="A138" s="45" t="s">
        <v>1125</v>
      </c>
      <c r="B138" s="45" t="s">
        <v>3152</v>
      </c>
      <c r="C138" s="42">
        <v>7</v>
      </c>
      <c r="D138" s="42" t="s">
        <v>128</v>
      </c>
    </row>
    <row r="139" spans="1:4" x14ac:dyDescent="0.35">
      <c r="A139" s="45" t="s">
        <v>1125</v>
      </c>
      <c r="B139" s="45" t="s">
        <v>3153</v>
      </c>
      <c r="C139" s="42">
        <v>7</v>
      </c>
      <c r="D139" s="42" t="s">
        <v>2912</v>
      </c>
    </row>
    <row r="140" spans="1:4" x14ac:dyDescent="0.35">
      <c r="A140" s="45" t="s">
        <v>1125</v>
      </c>
      <c r="B140" s="45" t="s">
        <v>3154</v>
      </c>
      <c r="C140" s="42">
        <v>10</v>
      </c>
      <c r="D140" s="42" t="s">
        <v>3155</v>
      </c>
    </row>
    <row r="141" spans="1:4" x14ac:dyDescent="0.35">
      <c r="A141" s="45" t="s">
        <v>1125</v>
      </c>
      <c r="B141" s="45" t="s">
        <v>3156</v>
      </c>
      <c r="C141" s="42">
        <v>11</v>
      </c>
      <c r="D141" s="42" t="s">
        <v>128</v>
      </c>
    </row>
    <row r="142" spans="1:4" x14ac:dyDescent="0.35">
      <c r="A142" s="45" t="s">
        <v>1125</v>
      </c>
      <c r="B142" s="45" t="s">
        <v>3157</v>
      </c>
      <c r="C142" s="42">
        <v>7</v>
      </c>
      <c r="D142" s="42" t="s">
        <v>128</v>
      </c>
    </row>
    <row r="143" spans="1:4" x14ac:dyDescent="0.35">
      <c r="A143" s="45" t="s">
        <v>1125</v>
      </c>
      <c r="B143" s="45" t="s">
        <v>2825</v>
      </c>
      <c r="C143" s="42">
        <v>11</v>
      </c>
      <c r="D143" s="42" t="s">
        <v>3120</v>
      </c>
    </row>
    <row r="144" spans="1:4" x14ac:dyDescent="0.35">
      <c r="A144" s="45" t="s">
        <v>1125</v>
      </c>
      <c r="B144" s="45" t="s">
        <v>2289</v>
      </c>
      <c r="C144" s="42">
        <v>11</v>
      </c>
      <c r="D144" s="42" t="s">
        <v>2327</v>
      </c>
    </row>
    <row r="145" spans="1:4" x14ac:dyDescent="0.35">
      <c r="A145" s="45" t="s">
        <v>1125</v>
      </c>
      <c r="B145" s="45" t="s">
        <v>3122</v>
      </c>
      <c r="C145" s="42">
        <v>11</v>
      </c>
      <c r="D145" s="42" t="s">
        <v>1126</v>
      </c>
    </row>
    <row r="146" spans="1:4" x14ac:dyDescent="0.35">
      <c r="A146" s="45" t="s">
        <v>3158</v>
      </c>
      <c r="B146" s="45" t="s">
        <v>3159</v>
      </c>
      <c r="C146" s="42">
        <v>3</v>
      </c>
      <c r="D146" s="42" t="s">
        <v>3160</v>
      </c>
    </row>
    <row r="147" spans="1:4" x14ac:dyDescent="0.35">
      <c r="A147" s="45" t="s">
        <v>3158</v>
      </c>
      <c r="B147" s="45" t="s">
        <v>3161</v>
      </c>
      <c r="C147" s="42">
        <v>3</v>
      </c>
      <c r="D147" s="42" t="s">
        <v>3160</v>
      </c>
    </row>
    <row r="148" spans="1:4" x14ac:dyDescent="0.35">
      <c r="A148" s="45" t="s">
        <v>3158</v>
      </c>
      <c r="B148" s="45" t="s">
        <v>3162</v>
      </c>
      <c r="C148" s="42">
        <v>9</v>
      </c>
      <c r="D148" s="42" t="s">
        <v>3160</v>
      </c>
    </row>
    <row r="149" spans="1:4" x14ac:dyDescent="0.35">
      <c r="A149" s="45" t="s">
        <v>3158</v>
      </c>
      <c r="B149" s="45" t="s">
        <v>3163</v>
      </c>
      <c r="C149" s="42">
        <v>12</v>
      </c>
      <c r="D149" s="42" t="s">
        <v>3160</v>
      </c>
    </row>
    <row r="150" spans="1:4" x14ac:dyDescent="0.35">
      <c r="A150" s="45" t="s">
        <v>3158</v>
      </c>
      <c r="B150" s="45" t="s">
        <v>3164</v>
      </c>
      <c r="C150" s="42">
        <v>12</v>
      </c>
      <c r="D150" s="42" t="s">
        <v>3160</v>
      </c>
    </row>
    <row r="151" spans="1:4" x14ac:dyDescent="0.35">
      <c r="A151" s="45" t="s">
        <v>3158</v>
      </c>
      <c r="B151" s="45" t="s">
        <v>3165</v>
      </c>
      <c r="C151" s="42">
        <v>12</v>
      </c>
      <c r="D151" s="42" t="s">
        <v>3166</v>
      </c>
    </row>
    <row r="152" spans="1:4" ht="25" x14ac:dyDescent="0.35">
      <c r="A152" s="45" t="s">
        <v>3158</v>
      </c>
      <c r="B152" s="45" t="s">
        <v>3167</v>
      </c>
      <c r="C152" s="42">
        <v>12</v>
      </c>
      <c r="D152" s="42" t="s">
        <v>3168</v>
      </c>
    </row>
    <row r="153" spans="1:4" x14ac:dyDescent="0.35">
      <c r="A153" s="45" t="s">
        <v>3158</v>
      </c>
      <c r="B153" s="45" t="s">
        <v>132</v>
      </c>
      <c r="C153" s="42">
        <v>12</v>
      </c>
      <c r="D153" s="42" t="s">
        <v>3169</v>
      </c>
    </row>
    <row r="154" spans="1:4" x14ac:dyDescent="0.35">
      <c r="A154" s="45" t="s">
        <v>3158</v>
      </c>
      <c r="B154" s="45" t="s">
        <v>3170</v>
      </c>
      <c r="C154" s="42">
        <v>12</v>
      </c>
      <c r="D154" s="42" t="s">
        <v>3171</v>
      </c>
    </row>
    <row r="155" spans="1:4" x14ac:dyDescent="0.35">
      <c r="A155" s="45" t="s">
        <v>3158</v>
      </c>
      <c r="B155" s="45" t="s">
        <v>3172</v>
      </c>
      <c r="C155" s="42">
        <v>12</v>
      </c>
      <c r="D155" s="42" t="s">
        <v>3173</v>
      </c>
    </row>
    <row r="156" spans="1:4" x14ac:dyDescent="0.35">
      <c r="A156" s="45" t="s">
        <v>3158</v>
      </c>
      <c r="B156" s="45" t="s">
        <v>3174</v>
      </c>
      <c r="C156" s="42">
        <v>3</v>
      </c>
      <c r="D156" s="42" t="s">
        <v>3175</v>
      </c>
    </row>
    <row r="157" spans="1:4" x14ac:dyDescent="0.35">
      <c r="A157" s="45" t="s">
        <v>3158</v>
      </c>
      <c r="B157" s="45" t="s">
        <v>3176</v>
      </c>
      <c r="C157" s="42">
        <v>9</v>
      </c>
      <c r="D157" s="42" t="s">
        <v>3175</v>
      </c>
    </row>
    <row r="158" spans="1:4" x14ac:dyDescent="0.35">
      <c r="A158" s="45" t="s">
        <v>3177</v>
      </c>
      <c r="B158" s="45" t="s">
        <v>3178</v>
      </c>
      <c r="C158" s="42">
        <v>4</v>
      </c>
      <c r="D158" s="42" t="s">
        <v>1631</v>
      </c>
    </row>
    <row r="159" spans="1:4" x14ac:dyDescent="0.35">
      <c r="A159" s="45" t="s">
        <v>3177</v>
      </c>
      <c r="B159" s="45" t="s">
        <v>3179</v>
      </c>
      <c r="C159" s="42">
        <v>4</v>
      </c>
      <c r="D159" s="42" t="s">
        <v>3180</v>
      </c>
    </row>
    <row r="160" spans="1:4" x14ac:dyDescent="0.35">
      <c r="A160" s="45" t="s">
        <v>3177</v>
      </c>
      <c r="B160" s="45" t="s">
        <v>3181</v>
      </c>
      <c r="C160" s="42">
        <v>4</v>
      </c>
      <c r="D160" s="42" t="s">
        <v>2193</v>
      </c>
    </row>
    <row r="161" spans="1:4" x14ac:dyDescent="0.35">
      <c r="A161" s="45" t="s">
        <v>3177</v>
      </c>
      <c r="B161" s="45" t="s">
        <v>3182</v>
      </c>
      <c r="C161" s="42">
        <v>4</v>
      </c>
      <c r="D161" s="42" t="s">
        <v>1353</v>
      </c>
    </row>
    <row r="162" spans="1:4" x14ac:dyDescent="0.35">
      <c r="A162" s="45" t="s">
        <v>3177</v>
      </c>
      <c r="B162" s="45" t="s">
        <v>3183</v>
      </c>
      <c r="C162" s="42">
        <v>4</v>
      </c>
      <c r="D162" s="42" t="s">
        <v>2932</v>
      </c>
    </row>
    <row r="163" spans="1:4" x14ac:dyDescent="0.35">
      <c r="A163" s="45" t="s">
        <v>3177</v>
      </c>
      <c r="B163" s="45" t="s">
        <v>3184</v>
      </c>
      <c r="C163" s="42">
        <v>4</v>
      </c>
      <c r="D163" s="42" t="s">
        <v>1713</v>
      </c>
    </row>
    <row r="164" spans="1:4" x14ac:dyDescent="0.35">
      <c r="A164" s="45" t="s">
        <v>3177</v>
      </c>
      <c r="B164" s="45" t="s">
        <v>3185</v>
      </c>
      <c r="C164" s="42">
        <v>4</v>
      </c>
      <c r="D164" s="42" t="s">
        <v>3186</v>
      </c>
    </row>
    <row r="165" spans="1:4" x14ac:dyDescent="0.35">
      <c r="A165" s="45" t="s">
        <v>3177</v>
      </c>
      <c r="B165" s="45" t="s">
        <v>3187</v>
      </c>
      <c r="C165" s="42">
        <v>4</v>
      </c>
      <c r="D165" s="42" t="s">
        <v>3188</v>
      </c>
    </row>
    <row r="166" spans="1:4" x14ac:dyDescent="0.35">
      <c r="A166" s="45" t="s">
        <v>3177</v>
      </c>
      <c r="B166" s="45" t="s">
        <v>3189</v>
      </c>
      <c r="C166" s="42">
        <v>4</v>
      </c>
      <c r="D166" s="42" t="s">
        <v>1864</v>
      </c>
    </row>
    <row r="167" spans="1:4" x14ac:dyDescent="0.35">
      <c r="A167" s="45" t="s">
        <v>3177</v>
      </c>
      <c r="B167" s="45" t="s">
        <v>2040</v>
      </c>
      <c r="C167" s="42">
        <v>5</v>
      </c>
      <c r="D167" s="42" t="s">
        <v>2181</v>
      </c>
    </row>
    <row r="168" spans="1:4" x14ac:dyDescent="0.35">
      <c r="A168" s="45" t="s">
        <v>3177</v>
      </c>
      <c r="B168" s="45" t="s">
        <v>3190</v>
      </c>
      <c r="C168" s="42">
        <v>11</v>
      </c>
      <c r="D168" s="42" t="s">
        <v>1711</v>
      </c>
    </row>
    <row r="169" spans="1:4" x14ac:dyDescent="0.35">
      <c r="A169" s="45" t="s">
        <v>3177</v>
      </c>
      <c r="B169" s="45" t="s">
        <v>1904</v>
      </c>
      <c r="C169" s="42">
        <v>4</v>
      </c>
      <c r="D169" s="42" t="s">
        <v>3191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AEEF0-7174-4A03-8EDB-0D7D909A26EA}">
  <dimension ref="A1:A55"/>
  <sheetViews>
    <sheetView topLeftCell="A3" workbookViewId="0">
      <selection activeCell="A17" sqref="A17"/>
    </sheetView>
  </sheetViews>
  <sheetFormatPr defaultRowHeight="14.5" x14ac:dyDescent="0.35"/>
  <cols>
    <col min="1" max="1" width="82.1796875" style="46" customWidth="1"/>
  </cols>
  <sheetData>
    <row r="1" spans="1:1" x14ac:dyDescent="0.35">
      <c r="A1" s="46" t="s">
        <v>3802</v>
      </c>
    </row>
    <row r="3" spans="1:1" ht="29" x14ac:dyDescent="0.35">
      <c r="A3" s="89" t="s">
        <v>3836</v>
      </c>
    </row>
    <row r="5" spans="1:1" x14ac:dyDescent="0.35">
      <c r="A5" s="89" t="s">
        <v>3803</v>
      </c>
    </row>
    <row r="7" spans="1:1" x14ac:dyDescent="0.35">
      <c r="A7" s="88" t="s">
        <v>3822</v>
      </c>
    </row>
    <row r="8" spans="1:1" ht="43.5" x14ac:dyDescent="0.35">
      <c r="A8" s="46" t="s">
        <v>3804</v>
      </c>
    </row>
    <row r="10" spans="1:1" x14ac:dyDescent="0.35">
      <c r="A10" s="88" t="s">
        <v>3823</v>
      </c>
    </row>
    <row r="11" spans="1:1" x14ac:dyDescent="0.35">
      <c r="A11" s="46" t="s">
        <v>3805</v>
      </c>
    </row>
    <row r="13" spans="1:1" x14ac:dyDescent="0.35">
      <c r="A13" s="88" t="s">
        <v>3824</v>
      </c>
    </row>
    <row r="14" spans="1:1" x14ac:dyDescent="0.35">
      <c r="A14" s="46" t="s">
        <v>3806</v>
      </c>
    </row>
    <row r="16" spans="1:1" x14ac:dyDescent="0.35">
      <c r="A16" s="89" t="s">
        <v>3807</v>
      </c>
    </row>
    <row r="18" spans="1:1" x14ac:dyDescent="0.35">
      <c r="A18" s="88" t="s">
        <v>3825</v>
      </c>
    </row>
    <row r="19" spans="1:1" x14ac:dyDescent="0.35">
      <c r="A19" s="46" t="s">
        <v>3808</v>
      </c>
    </row>
    <row r="21" spans="1:1" x14ac:dyDescent="0.35">
      <c r="A21" s="88" t="s">
        <v>3826</v>
      </c>
    </row>
    <row r="22" spans="1:1" x14ac:dyDescent="0.35">
      <c r="A22" s="46" t="s">
        <v>3809</v>
      </c>
    </row>
    <row r="24" spans="1:1" x14ac:dyDescent="0.35">
      <c r="A24" s="89" t="s">
        <v>3810</v>
      </c>
    </row>
    <row r="26" spans="1:1" x14ac:dyDescent="0.35">
      <c r="A26" s="88" t="s">
        <v>3827</v>
      </c>
    </row>
    <row r="27" spans="1:1" x14ac:dyDescent="0.35">
      <c r="A27" s="46" t="s">
        <v>3811</v>
      </c>
    </row>
    <row r="29" spans="1:1" x14ac:dyDescent="0.35">
      <c r="A29" s="88" t="s">
        <v>3828</v>
      </c>
    </row>
    <row r="30" spans="1:1" x14ac:dyDescent="0.35">
      <c r="A30" s="46" t="s">
        <v>3812</v>
      </c>
    </row>
    <row r="32" spans="1:1" x14ac:dyDescent="0.35">
      <c r="A32" s="88" t="s">
        <v>3829</v>
      </c>
    </row>
    <row r="33" spans="1:1" x14ac:dyDescent="0.35">
      <c r="A33" s="46" t="s">
        <v>3813</v>
      </c>
    </row>
    <row r="35" spans="1:1" x14ac:dyDescent="0.35">
      <c r="A35" s="88" t="s">
        <v>3830</v>
      </c>
    </row>
    <row r="36" spans="1:1" x14ac:dyDescent="0.35">
      <c r="A36" s="46" t="s">
        <v>3814</v>
      </c>
    </row>
    <row r="38" spans="1:1" x14ac:dyDescent="0.35">
      <c r="A38" s="88" t="s">
        <v>3831</v>
      </c>
    </row>
    <row r="39" spans="1:1" x14ac:dyDescent="0.35">
      <c r="A39" s="46" t="s">
        <v>3815</v>
      </c>
    </row>
    <row r="41" spans="1:1" x14ac:dyDescent="0.35">
      <c r="A41" s="88" t="s">
        <v>3832</v>
      </c>
    </row>
    <row r="43" spans="1:1" ht="29" x14ac:dyDescent="0.35">
      <c r="A43" s="88" t="s">
        <v>3833</v>
      </c>
    </row>
    <row r="44" spans="1:1" x14ac:dyDescent="0.35">
      <c r="A44" s="46" t="s">
        <v>3816</v>
      </c>
    </row>
    <row r="46" spans="1:1" x14ac:dyDescent="0.35">
      <c r="A46" s="89" t="s">
        <v>3817</v>
      </c>
    </row>
    <row r="48" spans="1:1" x14ac:dyDescent="0.35">
      <c r="A48" s="88" t="s">
        <v>3834</v>
      </c>
    </row>
    <row r="49" spans="1:1" x14ac:dyDescent="0.35">
      <c r="A49" s="46" t="s">
        <v>3818</v>
      </c>
    </row>
    <row r="51" spans="1:1" x14ac:dyDescent="0.35">
      <c r="A51" s="88" t="s">
        <v>3835</v>
      </c>
    </row>
    <row r="52" spans="1:1" ht="29" x14ac:dyDescent="0.35">
      <c r="A52" s="46" t="s">
        <v>3819</v>
      </c>
    </row>
    <row r="54" spans="1:1" x14ac:dyDescent="0.35">
      <c r="A54" s="46" t="s">
        <v>3820</v>
      </c>
    </row>
    <row r="55" spans="1:1" x14ac:dyDescent="0.35">
      <c r="A55" s="46" t="s">
        <v>3821</v>
      </c>
    </row>
  </sheetData>
  <hyperlinks>
    <hyperlink ref="A7" r:id="rId1" xr:uid="{2AA7E3A8-6AF6-440B-831C-4B841B46ECBE}"/>
    <hyperlink ref="A10" r:id="rId2" xr:uid="{2BB39DD4-5D5C-4A41-AB5B-67BD598B4724}"/>
    <hyperlink ref="A13" r:id="rId3" xr:uid="{6621936C-6BCE-4EAF-B0A3-CDA3D2629636}"/>
    <hyperlink ref="A18" r:id="rId4" xr:uid="{126CEB2B-9D30-4E0C-A121-3025D2E57863}"/>
    <hyperlink ref="A21" r:id="rId5" xr:uid="{CB0DA4AB-F699-40BD-92EF-522326A3A53F}"/>
    <hyperlink ref="A26" r:id="rId6" xr:uid="{2B045572-74CB-4B63-9F08-52E403DE42F8}"/>
    <hyperlink ref="A29" r:id="rId7" xr:uid="{D48A17B0-B371-491F-AC11-E9D9AD164C14}"/>
    <hyperlink ref="A32" r:id="rId8" xr:uid="{672C168C-BD7E-4757-8FDF-E269B93DE585}"/>
    <hyperlink ref="A35" r:id="rId9" xr:uid="{76C8C148-DFFE-4F7B-A289-4F819826F79B}"/>
    <hyperlink ref="A38" r:id="rId10" xr:uid="{0C4CE8AD-40E1-4C25-A806-B1E5DD2F4037}"/>
    <hyperlink ref="A41" r:id="rId11" xr:uid="{8E329561-049E-4DB2-8FA1-2A5244F62279}"/>
    <hyperlink ref="A43" r:id="rId12" xr:uid="{20242F41-A82A-41D9-BE7D-1CE5339366E1}"/>
    <hyperlink ref="A48" r:id="rId13" xr:uid="{44F27366-F4FE-4D14-9CF4-0C2B233F40AB}"/>
    <hyperlink ref="A51" r:id="rId14" xr:uid="{57837BF0-1C4A-49E7-8E82-0660C7C10EE1}"/>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04D57-3A8A-45EC-8AFB-6358236059BC}">
  <dimension ref="A1:C37"/>
  <sheetViews>
    <sheetView workbookViewId="0">
      <selection activeCell="C3" sqref="C3"/>
    </sheetView>
  </sheetViews>
  <sheetFormatPr defaultColWidth="8.81640625" defaultRowHeight="18.5" x14ac:dyDescent="0.35"/>
  <cols>
    <col min="1" max="1" width="29.7265625" style="68" customWidth="1"/>
    <col min="2" max="2" width="52.453125" style="68" customWidth="1"/>
    <col min="3" max="3" width="97.7265625" style="68" customWidth="1"/>
    <col min="4" max="16384" width="8.81640625" style="68"/>
  </cols>
  <sheetData>
    <row r="1" spans="1:3" x14ac:dyDescent="0.35">
      <c r="A1" s="63" t="s">
        <v>3369</v>
      </c>
      <c r="B1" s="64" t="s">
        <v>3370</v>
      </c>
      <c r="C1" s="64" t="s">
        <v>3371</v>
      </c>
    </row>
    <row r="2" spans="1:3" ht="46.5" x14ac:dyDescent="0.35">
      <c r="A2" s="65" t="s">
        <v>3372</v>
      </c>
      <c r="B2" s="66" t="s">
        <v>3373</v>
      </c>
      <c r="C2" s="66" t="s">
        <v>3374</v>
      </c>
    </row>
    <row r="3" spans="1:3" ht="46.5" x14ac:dyDescent="0.35">
      <c r="A3" s="66" t="s">
        <v>72</v>
      </c>
      <c r="B3" s="66" t="s">
        <v>3375</v>
      </c>
      <c r="C3" s="66" t="s">
        <v>3376</v>
      </c>
    </row>
    <row r="4" spans="1:3" ht="31" x14ac:dyDescent="0.35">
      <c r="A4" s="66" t="s">
        <v>3377</v>
      </c>
      <c r="B4" s="66" t="s">
        <v>3378</v>
      </c>
      <c r="C4" s="66" t="s">
        <v>3379</v>
      </c>
    </row>
    <row r="5" spans="1:3" ht="31" x14ac:dyDescent="0.35">
      <c r="A5" s="66" t="s">
        <v>3380</v>
      </c>
      <c r="B5" s="66" t="s">
        <v>3381</v>
      </c>
      <c r="C5" s="66" t="s">
        <v>3382</v>
      </c>
    </row>
    <row r="6" spans="1:3" ht="31" x14ac:dyDescent="0.35">
      <c r="A6" s="66" t="s">
        <v>74</v>
      </c>
      <c r="B6" s="66" t="s">
        <v>3383</v>
      </c>
      <c r="C6" s="66" t="s">
        <v>3384</v>
      </c>
    </row>
    <row r="7" spans="1:3" ht="31" x14ac:dyDescent="0.35">
      <c r="A7" s="66" t="s">
        <v>3385</v>
      </c>
      <c r="B7" s="66" t="s">
        <v>3386</v>
      </c>
      <c r="C7" s="66" t="s">
        <v>3387</v>
      </c>
    </row>
    <row r="8" spans="1:3" ht="46.5" x14ac:dyDescent="0.35">
      <c r="A8" s="66" t="s">
        <v>3388</v>
      </c>
      <c r="B8" s="66" t="s">
        <v>3389</v>
      </c>
      <c r="C8" s="66" t="s">
        <v>3390</v>
      </c>
    </row>
    <row r="9" spans="1:3" x14ac:dyDescent="0.35">
      <c r="A9" s="66" t="s">
        <v>3391</v>
      </c>
      <c r="B9" s="66" t="s">
        <v>3392</v>
      </c>
      <c r="C9" s="66" t="s">
        <v>3393</v>
      </c>
    </row>
    <row r="10" spans="1:3" ht="46.5" x14ac:dyDescent="0.35">
      <c r="A10" s="66" t="s">
        <v>3394</v>
      </c>
      <c r="B10" s="66" t="s">
        <v>3395</v>
      </c>
      <c r="C10" s="66" t="s">
        <v>3396</v>
      </c>
    </row>
    <row r="11" spans="1:3" ht="46.5" x14ac:dyDescent="0.35">
      <c r="A11" s="66" t="s">
        <v>3397</v>
      </c>
      <c r="B11" s="66" t="s">
        <v>3398</v>
      </c>
      <c r="C11" s="66" t="s">
        <v>3399</v>
      </c>
    </row>
    <row r="12" spans="1:3" ht="46.5" x14ac:dyDescent="0.35">
      <c r="A12" s="66" t="s">
        <v>3400</v>
      </c>
      <c r="B12" s="66" t="s">
        <v>3401</v>
      </c>
      <c r="C12" s="66" t="s">
        <v>3402</v>
      </c>
    </row>
    <row r="13" spans="1:3" ht="46.5" x14ac:dyDescent="0.35">
      <c r="A13" s="66" t="s">
        <v>3403</v>
      </c>
      <c r="B13" s="66" t="s">
        <v>3404</v>
      </c>
      <c r="C13" s="66" t="s">
        <v>3405</v>
      </c>
    </row>
    <row r="14" spans="1:3" ht="31" x14ac:dyDescent="0.35">
      <c r="A14" s="66" t="s">
        <v>3406</v>
      </c>
      <c r="B14" s="66" t="s">
        <v>3407</v>
      </c>
      <c r="C14" s="66" t="s">
        <v>3408</v>
      </c>
    </row>
    <row r="15" spans="1:3" ht="46.5" x14ac:dyDescent="0.35">
      <c r="A15" s="67" t="s">
        <v>3409</v>
      </c>
      <c r="B15" s="66" t="s">
        <v>3410</v>
      </c>
      <c r="C15" s="66" t="s">
        <v>4469</v>
      </c>
    </row>
    <row r="16" spans="1:3" ht="46.5" x14ac:dyDescent="0.35">
      <c r="A16" s="66" t="s">
        <v>3411</v>
      </c>
      <c r="B16" s="66" t="s">
        <v>3412</v>
      </c>
      <c r="C16" s="66" t="s">
        <v>3413</v>
      </c>
    </row>
    <row r="17" spans="1:3" ht="31" x14ac:dyDescent="0.35">
      <c r="A17" s="66" t="s">
        <v>3414</v>
      </c>
      <c r="B17" s="66" t="s">
        <v>3415</v>
      </c>
      <c r="C17" s="66" t="s">
        <v>3416</v>
      </c>
    </row>
    <row r="18" spans="1:3" ht="46.5" x14ac:dyDescent="0.35">
      <c r="A18" s="66" t="s">
        <v>3417</v>
      </c>
      <c r="B18" s="66" t="s">
        <v>3418</v>
      </c>
      <c r="C18" s="66" t="s">
        <v>4461</v>
      </c>
    </row>
    <row r="19" spans="1:3" ht="31" x14ac:dyDescent="0.35">
      <c r="A19" s="66" t="s">
        <v>3419</v>
      </c>
      <c r="B19" s="66" t="s">
        <v>3420</v>
      </c>
      <c r="C19" s="66" t="s">
        <v>3421</v>
      </c>
    </row>
    <row r="20" spans="1:3" ht="46.5" x14ac:dyDescent="0.35">
      <c r="A20" s="66" t="s">
        <v>3422</v>
      </c>
      <c r="B20" s="66" t="s">
        <v>3423</v>
      </c>
      <c r="C20" s="66" t="s">
        <v>3424</v>
      </c>
    </row>
    <row r="21" spans="1:3" ht="31" x14ac:dyDescent="0.35">
      <c r="A21" s="66" t="s">
        <v>3425</v>
      </c>
      <c r="B21" s="66" t="s">
        <v>3426</v>
      </c>
      <c r="C21" s="66" t="s">
        <v>3427</v>
      </c>
    </row>
    <row r="22" spans="1:3" ht="31" x14ac:dyDescent="0.35">
      <c r="A22" s="66" t="s">
        <v>3428</v>
      </c>
      <c r="B22" s="66" t="s">
        <v>3429</v>
      </c>
      <c r="C22" s="66" t="s">
        <v>3430</v>
      </c>
    </row>
    <row r="23" spans="1:3" ht="46.5" x14ac:dyDescent="0.35">
      <c r="A23" s="66" t="s">
        <v>3431</v>
      </c>
      <c r="B23" s="66" t="s">
        <v>3432</v>
      </c>
      <c r="C23" s="66" t="s">
        <v>3433</v>
      </c>
    </row>
    <row r="24" spans="1:3" ht="33.75" customHeight="1" x14ac:dyDescent="0.35">
      <c r="A24" s="66" t="s">
        <v>87</v>
      </c>
      <c r="B24" s="66" t="s">
        <v>3434</v>
      </c>
      <c r="C24" s="66" t="s">
        <v>3435</v>
      </c>
    </row>
    <row r="25" spans="1:3" ht="31" x14ac:dyDescent="0.35">
      <c r="A25" s="66" t="s">
        <v>3436</v>
      </c>
      <c r="B25" s="66" t="s">
        <v>3437</v>
      </c>
      <c r="C25" s="66" t="s">
        <v>3438</v>
      </c>
    </row>
    <row r="26" spans="1:3" x14ac:dyDescent="0.35">
      <c r="A26" s="66" t="s">
        <v>3439</v>
      </c>
      <c r="B26" s="66" t="s">
        <v>3440</v>
      </c>
      <c r="C26" s="66" t="s">
        <v>3441</v>
      </c>
    </row>
    <row r="27" spans="1:3" ht="31" x14ac:dyDescent="0.35">
      <c r="A27" s="66" t="s">
        <v>3442</v>
      </c>
      <c r="B27" s="66" t="s">
        <v>3443</v>
      </c>
      <c r="C27" s="66" t="s">
        <v>3444</v>
      </c>
    </row>
    <row r="28" spans="1:3" x14ac:dyDescent="0.35">
      <c r="A28" s="66" t="s">
        <v>3445</v>
      </c>
      <c r="B28" s="66" t="s">
        <v>3446</v>
      </c>
      <c r="C28" s="66" t="s">
        <v>3447</v>
      </c>
    </row>
    <row r="29" spans="1:3" ht="31" x14ac:dyDescent="0.35">
      <c r="A29" s="66" t="s">
        <v>3448</v>
      </c>
      <c r="B29" s="66" t="s">
        <v>3449</v>
      </c>
      <c r="C29" s="66" t="s">
        <v>3450</v>
      </c>
    </row>
    <row r="30" spans="1:3" ht="31" x14ac:dyDescent="0.35">
      <c r="A30" s="66" t="s">
        <v>3451</v>
      </c>
      <c r="B30" s="66" t="s">
        <v>3452</v>
      </c>
      <c r="C30" s="66" t="s">
        <v>3453</v>
      </c>
    </row>
    <row r="31" spans="1:3" x14ac:dyDescent="0.35">
      <c r="A31" s="66" t="s">
        <v>3454</v>
      </c>
      <c r="B31" s="66" t="s">
        <v>3455</v>
      </c>
      <c r="C31" s="66" t="s">
        <v>3456</v>
      </c>
    </row>
    <row r="32" spans="1:3" ht="31" x14ac:dyDescent="0.35">
      <c r="A32" s="66" t="s">
        <v>3457</v>
      </c>
      <c r="B32" s="66" t="s">
        <v>3458</v>
      </c>
      <c r="C32" s="66" t="s">
        <v>3459</v>
      </c>
    </row>
    <row r="33" spans="1:3" ht="31" x14ac:dyDescent="0.35">
      <c r="A33" s="66" t="s">
        <v>3460</v>
      </c>
      <c r="B33" s="66" t="s">
        <v>3461</v>
      </c>
      <c r="C33" s="66" t="s">
        <v>3462</v>
      </c>
    </row>
    <row r="34" spans="1:3" ht="31" x14ac:dyDescent="0.35">
      <c r="A34" s="66" t="s">
        <v>3463</v>
      </c>
      <c r="B34" s="66" t="s">
        <v>3464</v>
      </c>
      <c r="C34" s="66" t="s">
        <v>3465</v>
      </c>
    </row>
    <row r="35" spans="1:3" ht="31" x14ac:dyDescent="0.35">
      <c r="A35" s="66" t="s">
        <v>3466</v>
      </c>
      <c r="B35" s="66" t="s">
        <v>3467</v>
      </c>
      <c r="C35" s="66" t="s">
        <v>3468</v>
      </c>
    </row>
    <row r="36" spans="1:3" ht="31" x14ac:dyDescent="0.35">
      <c r="A36" s="66" t="s">
        <v>3469</v>
      </c>
      <c r="B36" s="66" t="s">
        <v>3470</v>
      </c>
      <c r="C36" s="66" t="s">
        <v>3471</v>
      </c>
    </row>
    <row r="37" spans="1:3" ht="31" x14ac:dyDescent="0.35">
      <c r="A37" s="66" t="s">
        <v>3472</v>
      </c>
      <c r="B37" s="66" t="s">
        <v>3473</v>
      </c>
      <c r="C37" s="66" t="s">
        <v>3474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FD211-FF7A-4264-9FD5-AA8B623E8E48}">
  <dimension ref="A1:B37"/>
  <sheetViews>
    <sheetView topLeftCell="A15" workbookViewId="0">
      <selection activeCell="B18" sqref="B18"/>
    </sheetView>
  </sheetViews>
  <sheetFormatPr defaultColWidth="9.1796875" defaultRowHeight="21" x14ac:dyDescent="0.5"/>
  <cols>
    <col min="1" max="1" width="33.26953125" style="31" bestFit="1" customWidth="1"/>
    <col min="2" max="2" width="137.81640625" style="39" customWidth="1"/>
    <col min="3" max="16384" width="9.1796875" style="31"/>
  </cols>
  <sheetData>
    <row r="1" spans="1:2" x14ac:dyDescent="0.5">
      <c r="A1" s="55" t="s">
        <v>3742</v>
      </c>
      <c r="B1" s="56" t="s">
        <v>3743</v>
      </c>
    </row>
    <row r="2" spans="1:2" ht="63" x14ac:dyDescent="0.5">
      <c r="A2" s="31" t="s">
        <v>71</v>
      </c>
      <c r="B2" s="39" t="s">
        <v>4155</v>
      </c>
    </row>
    <row r="3" spans="1:2" ht="126" x14ac:dyDescent="0.5">
      <c r="A3" s="86" t="s">
        <v>72</v>
      </c>
      <c r="B3" s="87" t="s">
        <v>3909</v>
      </c>
    </row>
    <row r="4" spans="1:2" ht="105" x14ac:dyDescent="0.5">
      <c r="A4" s="31" t="s">
        <v>3745</v>
      </c>
      <c r="B4" s="39" t="s">
        <v>3744</v>
      </c>
    </row>
    <row r="5" spans="1:2" ht="84" x14ac:dyDescent="0.5">
      <c r="A5" s="86" t="s">
        <v>3746</v>
      </c>
      <c r="B5" s="87" t="s">
        <v>3747</v>
      </c>
    </row>
    <row r="6" spans="1:2" ht="126" x14ac:dyDescent="0.5">
      <c r="A6" s="31" t="s">
        <v>74</v>
      </c>
      <c r="B6" s="39" t="s">
        <v>3748</v>
      </c>
    </row>
    <row r="7" spans="1:2" ht="126" x14ac:dyDescent="0.5">
      <c r="A7" s="86" t="s">
        <v>3749</v>
      </c>
      <c r="B7" s="87" t="s">
        <v>3750</v>
      </c>
    </row>
    <row r="8" spans="1:2" ht="126" x14ac:dyDescent="0.5">
      <c r="A8" s="31" t="s">
        <v>3752</v>
      </c>
      <c r="B8" s="39" t="s">
        <v>3751</v>
      </c>
    </row>
    <row r="9" spans="1:2" ht="84" x14ac:dyDescent="0.5">
      <c r="A9" s="86" t="s">
        <v>76</v>
      </c>
      <c r="B9" s="87" t="s">
        <v>3753</v>
      </c>
    </row>
    <row r="10" spans="1:2" ht="84" x14ac:dyDescent="0.5">
      <c r="A10" s="31" t="s">
        <v>3755</v>
      </c>
      <c r="B10" s="39" t="s">
        <v>3754</v>
      </c>
    </row>
    <row r="11" spans="1:2" ht="63" x14ac:dyDescent="0.5">
      <c r="A11" s="86" t="s">
        <v>3769</v>
      </c>
      <c r="B11" s="87" t="s">
        <v>3768</v>
      </c>
    </row>
    <row r="12" spans="1:2" ht="84" x14ac:dyDescent="0.5">
      <c r="A12" s="31" t="s">
        <v>78</v>
      </c>
      <c r="B12" s="39" t="s">
        <v>3770</v>
      </c>
    </row>
    <row r="13" spans="1:2" ht="105" x14ac:dyDescent="0.5">
      <c r="A13" s="86" t="s">
        <v>79</v>
      </c>
      <c r="B13" s="87" t="s">
        <v>3771</v>
      </c>
    </row>
    <row r="14" spans="1:2" ht="126" x14ac:dyDescent="0.5">
      <c r="A14" s="31" t="s">
        <v>80</v>
      </c>
      <c r="B14" s="39" t="s">
        <v>4157</v>
      </c>
    </row>
    <row r="15" spans="1:2" ht="105" x14ac:dyDescent="0.5">
      <c r="A15" s="86" t="s">
        <v>81</v>
      </c>
      <c r="B15" s="87" t="s">
        <v>3773</v>
      </c>
    </row>
    <row r="16" spans="1:2" ht="42" x14ac:dyDescent="0.5">
      <c r="A16" s="31" t="s">
        <v>3756</v>
      </c>
      <c r="B16" s="39" t="s">
        <v>3774</v>
      </c>
    </row>
    <row r="17" spans="1:2" ht="105" x14ac:dyDescent="0.5">
      <c r="A17" s="86" t="s">
        <v>3757</v>
      </c>
      <c r="B17" s="87" t="s">
        <v>3772</v>
      </c>
    </row>
    <row r="18" spans="1:2" ht="63" x14ac:dyDescent="0.5">
      <c r="A18" s="31" t="s">
        <v>83</v>
      </c>
      <c r="B18" s="39" t="s">
        <v>3775</v>
      </c>
    </row>
    <row r="19" spans="1:2" ht="105" x14ac:dyDescent="0.5">
      <c r="A19" s="86" t="s">
        <v>3758</v>
      </c>
      <c r="B19" s="87" t="s">
        <v>3776</v>
      </c>
    </row>
    <row r="20" spans="1:2" ht="105" x14ac:dyDescent="0.5">
      <c r="A20" s="31" t="s">
        <v>3759</v>
      </c>
      <c r="B20" s="39" t="s">
        <v>3777</v>
      </c>
    </row>
    <row r="21" spans="1:2" ht="105" x14ac:dyDescent="0.5">
      <c r="A21" s="86" t="s">
        <v>85</v>
      </c>
      <c r="B21" s="87" t="s">
        <v>3778</v>
      </c>
    </row>
    <row r="22" spans="1:2" ht="126" x14ac:dyDescent="0.5">
      <c r="A22" s="31" t="s">
        <v>3760</v>
      </c>
      <c r="B22" s="39" t="s">
        <v>3779</v>
      </c>
    </row>
    <row r="23" spans="1:2" ht="63" x14ac:dyDescent="0.5">
      <c r="A23" s="86" t="s">
        <v>3761</v>
      </c>
      <c r="B23" s="87" t="s">
        <v>3780</v>
      </c>
    </row>
    <row r="24" spans="1:2" ht="105" x14ac:dyDescent="0.5">
      <c r="A24" s="31" t="s">
        <v>87</v>
      </c>
      <c r="B24" s="39" t="s">
        <v>3781</v>
      </c>
    </row>
    <row r="25" spans="1:2" ht="105" x14ac:dyDescent="0.5">
      <c r="A25" s="86" t="s">
        <v>88</v>
      </c>
      <c r="B25" s="87" t="s">
        <v>3782</v>
      </c>
    </row>
    <row r="26" spans="1:2" ht="84" x14ac:dyDescent="0.5">
      <c r="A26" s="31" t="s">
        <v>89</v>
      </c>
      <c r="B26" s="39" t="s">
        <v>3783</v>
      </c>
    </row>
    <row r="27" spans="1:2" ht="105" x14ac:dyDescent="0.5">
      <c r="A27" s="86" t="s">
        <v>90</v>
      </c>
      <c r="B27" s="87" t="s">
        <v>3784</v>
      </c>
    </row>
    <row r="28" spans="1:2" ht="63" x14ac:dyDescent="0.5">
      <c r="A28" s="31" t="s">
        <v>3762</v>
      </c>
      <c r="B28" s="39" t="s">
        <v>3785</v>
      </c>
    </row>
    <row r="29" spans="1:2" ht="63" x14ac:dyDescent="0.5">
      <c r="A29" s="86" t="s">
        <v>3763</v>
      </c>
      <c r="B29" s="87" t="s">
        <v>3786</v>
      </c>
    </row>
    <row r="30" spans="1:2" ht="63" x14ac:dyDescent="0.5">
      <c r="A30" s="31" t="s">
        <v>92</v>
      </c>
      <c r="B30" s="39" t="s">
        <v>3787</v>
      </c>
    </row>
    <row r="31" spans="1:2" ht="84" x14ac:dyDescent="0.5">
      <c r="A31" s="86" t="s">
        <v>3764</v>
      </c>
      <c r="B31" s="87" t="s">
        <v>3788</v>
      </c>
    </row>
    <row r="32" spans="1:2" ht="105" x14ac:dyDescent="0.5">
      <c r="A32" s="31" t="s">
        <v>3765</v>
      </c>
      <c r="B32" s="39" t="s">
        <v>3789</v>
      </c>
    </row>
    <row r="33" spans="1:2" ht="84" x14ac:dyDescent="0.5">
      <c r="A33" s="86" t="s">
        <v>94</v>
      </c>
      <c r="B33" s="87" t="s">
        <v>3790</v>
      </c>
    </row>
    <row r="34" spans="1:2" ht="84" x14ac:dyDescent="0.5">
      <c r="A34" s="31" t="s">
        <v>3766</v>
      </c>
      <c r="B34" s="39" t="s">
        <v>3791</v>
      </c>
    </row>
    <row r="35" spans="1:2" ht="84" x14ac:dyDescent="0.5">
      <c r="A35" s="86" t="s">
        <v>3767</v>
      </c>
      <c r="B35" s="87" t="s">
        <v>3792</v>
      </c>
    </row>
    <row r="36" spans="1:2" ht="126" x14ac:dyDescent="0.5">
      <c r="A36" s="31" t="s">
        <v>96</v>
      </c>
      <c r="B36" s="39" t="s">
        <v>3793</v>
      </c>
    </row>
    <row r="37" spans="1:2" ht="126" x14ac:dyDescent="0.5">
      <c r="A37" s="86" t="s">
        <v>97</v>
      </c>
      <c r="B37" s="87" t="s">
        <v>3794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topLeftCell="A3" workbookViewId="0">
      <selection activeCell="C7" sqref="C7"/>
    </sheetView>
  </sheetViews>
  <sheetFormatPr defaultColWidth="12.7265625" defaultRowHeight="18.5" x14ac:dyDescent="0.45"/>
  <cols>
    <col min="1" max="1" width="52.26953125" style="14" bestFit="1" customWidth="1"/>
    <col min="2" max="2" width="48.1796875" style="14" customWidth="1"/>
    <col min="3" max="3" width="85.7265625" style="14" customWidth="1"/>
    <col min="4" max="16384" width="12.7265625" style="14"/>
  </cols>
  <sheetData>
    <row r="1" spans="1:6" x14ac:dyDescent="0.45">
      <c r="A1" s="16" t="s">
        <v>13</v>
      </c>
      <c r="B1" s="12"/>
      <c r="C1" s="16" t="s">
        <v>2</v>
      </c>
      <c r="F1" s="16" t="s">
        <v>46</v>
      </c>
    </row>
    <row r="2" spans="1:6" ht="74" x14ac:dyDescent="0.45">
      <c r="A2" s="16" t="s">
        <v>12</v>
      </c>
      <c r="B2" s="12"/>
      <c r="C2" s="16" t="s">
        <v>59</v>
      </c>
      <c r="F2" s="16" t="s">
        <v>38</v>
      </c>
    </row>
    <row r="3" spans="1:6" ht="74" x14ac:dyDescent="0.45">
      <c r="A3" s="16" t="s">
        <v>14</v>
      </c>
      <c r="B3" s="12"/>
      <c r="C3" s="16" t="s">
        <v>60</v>
      </c>
      <c r="F3" s="16" t="s">
        <v>9</v>
      </c>
    </row>
    <row r="4" spans="1:6" x14ac:dyDescent="0.45">
      <c r="A4" s="17" t="s">
        <v>11</v>
      </c>
      <c r="B4" s="16"/>
      <c r="C4" s="16" t="s">
        <v>25</v>
      </c>
      <c r="F4" s="16" t="s">
        <v>44</v>
      </c>
    </row>
    <row r="5" spans="1:6" x14ac:dyDescent="0.45">
      <c r="A5" s="16" t="s">
        <v>98</v>
      </c>
      <c r="B5" s="13" t="s">
        <v>41</v>
      </c>
      <c r="C5" s="14" t="s">
        <v>3841</v>
      </c>
      <c r="F5" s="16" t="s">
        <v>45</v>
      </c>
    </row>
    <row r="6" spans="1:6" x14ac:dyDescent="0.45">
      <c r="A6" s="16" t="s">
        <v>99</v>
      </c>
      <c r="B6" s="13" t="s">
        <v>46</v>
      </c>
      <c r="C6" s="14" t="s">
        <v>3839</v>
      </c>
      <c r="F6" s="16" t="s">
        <v>39</v>
      </c>
    </row>
    <row r="7" spans="1:6" x14ac:dyDescent="0.45">
      <c r="A7" s="16" t="s">
        <v>100</v>
      </c>
      <c r="B7" s="13" t="s">
        <v>9</v>
      </c>
      <c r="C7" s="14" t="s">
        <v>3838</v>
      </c>
      <c r="F7" s="16" t="s">
        <v>41</v>
      </c>
    </row>
    <row r="8" spans="1:6" x14ac:dyDescent="0.45">
      <c r="A8" s="16" t="s">
        <v>102</v>
      </c>
      <c r="B8" s="13" t="s">
        <v>43</v>
      </c>
      <c r="F8" s="16" t="s">
        <v>40</v>
      </c>
    </row>
    <row r="9" spans="1:6" x14ac:dyDescent="0.45">
      <c r="A9" s="16" t="s">
        <v>101</v>
      </c>
      <c r="B9" s="13" t="s">
        <v>44</v>
      </c>
      <c r="C9" s="14" t="s">
        <v>3840</v>
      </c>
      <c r="F9" s="16" t="s">
        <v>43</v>
      </c>
    </row>
    <row r="10" spans="1:6" x14ac:dyDescent="0.45">
      <c r="A10" s="16" t="s">
        <v>103</v>
      </c>
      <c r="B10" s="13" t="s">
        <v>46</v>
      </c>
    </row>
    <row r="11" spans="1:6" x14ac:dyDescent="0.45">
      <c r="A11" s="16" t="s">
        <v>104</v>
      </c>
      <c r="B11" s="13" t="s">
        <v>9</v>
      </c>
    </row>
    <row r="12" spans="1:6" ht="37" x14ac:dyDescent="0.45">
      <c r="A12" s="16" t="s">
        <v>15</v>
      </c>
      <c r="B12" s="16" t="str">
        <f>CONCATENATE(B7,", ",B6,", ",B9,"; If necessary consider Lagna Sign Lord ",B5)</f>
        <v>Sun, Ketu, Moon; If necessary consider Lagna Sign Lord Jupiter</v>
      </c>
      <c r="C12" s="16" t="s">
        <v>16</v>
      </c>
    </row>
    <row r="13" spans="1:6" x14ac:dyDescent="0.45">
      <c r="A13" s="16" t="s">
        <v>17</v>
      </c>
      <c r="B13" s="14" t="s">
        <v>4314</v>
      </c>
      <c r="C13" s="16" t="s">
        <v>105</v>
      </c>
    </row>
    <row r="14" spans="1:6" x14ac:dyDescent="0.45">
      <c r="A14" s="16" t="s">
        <v>18</v>
      </c>
      <c r="B14" s="14" t="s">
        <v>4314</v>
      </c>
      <c r="C14" s="16" t="s">
        <v>19</v>
      </c>
    </row>
    <row r="15" spans="1:6" ht="37" x14ac:dyDescent="0.45">
      <c r="A15" s="16" t="s">
        <v>20</v>
      </c>
      <c r="B15" s="15" t="s">
        <v>4714</v>
      </c>
      <c r="C15" s="16" t="s">
        <v>21</v>
      </c>
    </row>
    <row r="16" spans="1:6" ht="37" x14ac:dyDescent="0.45">
      <c r="A16" s="16" t="s">
        <v>22</v>
      </c>
      <c r="B16" s="15"/>
      <c r="C16" s="16" t="s">
        <v>62</v>
      </c>
    </row>
    <row r="17" spans="1:3" ht="55.5" x14ac:dyDescent="0.45">
      <c r="A17" s="16" t="s">
        <v>23</v>
      </c>
      <c r="C17" s="16" t="s">
        <v>63</v>
      </c>
    </row>
    <row r="18" spans="1:3" ht="74" x14ac:dyDescent="0.45">
      <c r="A18" s="16" t="s">
        <v>24</v>
      </c>
      <c r="C18" s="16" t="s">
        <v>64</v>
      </c>
    </row>
    <row r="19" spans="1:3" ht="55.5" x14ac:dyDescent="0.45">
      <c r="A19" s="16" t="s">
        <v>1</v>
      </c>
      <c r="B19" s="15" t="s">
        <v>4714</v>
      </c>
      <c r="C19" s="16" t="s">
        <v>61</v>
      </c>
    </row>
  </sheetData>
  <dataValidations count="1">
    <dataValidation type="list" showInputMessage="1" showErrorMessage="1" errorTitle="Select from list" error="Select a planet from the drop down list" promptTitle="Choose one planet" prompt="Choose the correct planet from the drop down list." sqref="B5:B11" xr:uid="{00000000-0002-0000-0200-000000000000}">
      <formula1>$F$1:$F$9</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443FE-ECDF-493D-9ED2-5F01AA79DF6E}">
  <dimension ref="A1:D23"/>
  <sheetViews>
    <sheetView workbookViewId="0">
      <selection activeCell="A2" sqref="A2"/>
    </sheetView>
  </sheetViews>
  <sheetFormatPr defaultRowHeight="14.5" x14ac:dyDescent="0.35"/>
  <cols>
    <col min="1" max="1" width="20.453125" bestFit="1" customWidth="1"/>
    <col min="2" max="2" width="26.7265625" bestFit="1" customWidth="1"/>
    <col min="3" max="3" width="23.1796875" bestFit="1" customWidth="1"/>
    <col min="4" max="4" width="14" bestFit="1" customWidth="1"/>
  </cols>
  <sheetData>
    <row r="1" spans="1:4" ht="21" x14ac:dyDescent="0.5">
      <c r="A1" s="31"/>
      <c r="B1" s="31" t="s">
        <v>4136</v>
      </c>
      <c r="C1" s="31" t="s">
        <v>4137</v>
      </c>
      <c r="D1" s="55" t="s">
        <v>4024</v>
      </c>
    </row>
    <row r="2" spans="1:4" ht="21" x14ac:dyDescent="0.5">
      <c r="A2" s="31" t="s">
        <v>46</v>
      </c>
      <c r="B2" s="31" t="s">
        <v>4138</v>
      </c>
      <c r="C2" s="31" t="s">
        <v>4139</v>
      </c>
      <c r="D2" s="31">
        <v>7</v>
      </c>
    </row>
    <row r="3" spans="1:4" ht="21" x14ac:dyDescent="0.5">
      <c r="A3" s="31" t="s">
        <v>38</v>
      </c>
      <c r="B3" s="31" t="s">
        <v>4139</v>
      </c>
      <c r="C3" s="31" t="s">
        <v>4140</v>
      </c>
      <c r="D3" s="31">
        <v>20</v>
      </c>
    </row>
    <row r="4" spans="1:4" ht="21" x14ac:dyDescent="0.5">
      <c r="A4" s="31" t="s">
        <v>9</v>
      </c>
      <c r="B4" s="31" t="s">
        <v>4141</v>
      </c>
      <c r="C4" s="31" t="s">
        <v>4142</v>
      </c>
      <c r="D4" s="31">
        <v>6</v>
      </c>
    </row>
    <row r="5" spans="1:4" ht="21" x14ac:dyDescent="0.5">
      <c r="A5" s="31" t="s">
        <v>44</v>
      </c>
      <c r="B5" s="31" t="s">
        <v>4143</v>
      </c>
      <c r="C5" s="31" t="s">
        <v>4144</v>
      </c>
      <c r="D5" s="31">
        <v>10</v>
      </c>
    </row>
    <row r="6" spans="1:4" ht="21" x14ac:dyDescent="0.5">
      <c r="A6" s="31" t="s">
        <v>45</v>
      </c>
      <c r="B6" s="31" t="s">
        <v>4145</v>
      </c>
      <c r="C6" s="31" t="s">
        <v>4146</v>
      </c>
      <c r="D6" s="31">
        <v>7</v>
      </c>
    </row>
    <row r="7" spans="1:4" ht="21" x14ac:dyDescent="0.5">
      <c r="A7" s="31" t="s">
        <v>39</v>
      </c>
      <c r="B7" s="31" t="s">
        <v>4147</v>
      </c>
      <c r="C7" s="31" t="s">
        <v>4148</v>
      </c>
      <c r="D7" s="31">
        <v>18</v>
      </c>
    </row>
    <row r="8" spans="1:4" ht="21" x14ac:dyDescent="0.5">
      <c r="A8" s="31" t="s">
        <v>41</v>
      </c>
      <c r="B8" s="31" t="s">
        <v>4149</v>
      </c>
      <c r="C8" s="31" t="s">
        <v>4150</v>
      </c>
      <c r="D8" s="31">
        <v>16</v>
      </c>
    </row>
    <row r="9" spans="1:4" ht="21" x14ac:dyDescent="0.5">
      <c r="A9" s="31" t="s">
        <v>40</v>
      </c>
      <c r="B9" s="31" t="s">
        <v>4151</v>
      </c>
      <c r="C9" s="31" t="s">
        <v>4152</v>
      </c>
      <c r="D9" s="31">
        <v>19</v>
      </c>
    </row>
    <row r="10" spans="1:4" ht="21" x14ac:dyDescent="0.5">
      <c r="A10" s="31" t="s">
        <v>43</v>
      </c>
      <c r="B10" s="31" t="s">
        <v>4153</v>
      </c>
      <c r="C10" s="31" t="s">
        <v>4154</v>
      </c>
      <c r="D10" s="31">
        <v>17</v>
      </c>
    </row>
    <row r="11" spans="1:4" ht="21" x14ac:dyDescent="0.5">
      <c r="A11" s="31"/>
      <c r="B11" s="31"/>
      <c r="C11" s="31"/>
      <c r="D11" s="31">
        <f>SUM(D2:D10)</f>
        <v>120</v>
      </c>
    </row>
    <row r="12" spans="1:4" ht="21" x14ac:dyDescent="0.5">
      <c r="A12" s="31"/>
      <c r="B12" s="31"/>
      <c r="C12" s="31"/>
      <c r="D12" s="31"/>
    </row>
    <row r="13" spans="1:4" ht="21" x14ac:dyDescent="0.5">
      <c r="A13" s="31"/>
      <c r="B13" s="31"/>
      <c r="C13" s="31"/>
      <c r="D13" s="31"/>
    </row>
    <row r="14" spans="1:4" ht="21" x14ac:dyDescent="0.5">
      <c r="A14" s="31"/>
      <c r="B14" s="31"/>
      <c r="C14" s="31"/>
      <c r="D14" s="31"/>
    </row>
    <row r="15" spans="1:4" ht="21" x14ac:dyDescent="0.5">
      <c r="A15" s="31"/>
      <c r="B15" s="31"/>
      <c r="C15" s="31"/>
      <c r="D15" s="31"/>
    </row>
    <row r="16" spans="1:4" ht="21" x14ac:dyDescent="0.5">
      <c r="A16" s="31"/>
      <c r="B16" s="31"/>
      <c r="C16" s="31"/>
      <c r="D16" s="31"/>
    </row>
    <row r="17" spans="1:4" ht="21" x14ac:dyDescent="0.5">
      <c r="A17" s="31"/>
      <c r="B17" s="31"/>
      <c r="C17" s="31"/>
      <c r="D17" s="31"/>
    </row>
    <row r="18" spans="1:4" ht="21" x14ac:dyDescent="0.5">
      <c r="A18" s="31"/>
      <c r="B18" s="31"/>
      <c r="C18" s="31"/>
      <c r="D18" s="31"/>
    </row>
    <row r="19" spans="1:4" ht="21" x14ac:dyDescent="0.5">
      <c r="A19" s="31"/>
      <c r="B19" s="31"/>
      <c r="C19" s="31"/>
      <c r="D19" s="31"/>
    </row>
    <row r="20" spans="1:4" ht="21" x14ac:dyDescent="0.5">
      <c r="A20" s="31"/>
      <c r="B20" s="31"/>
      <c r="C20" s="31"/>
      <c r="D20" s="31"/>
    </row>
    <row r="21" spans="1:4" ht="21" x14ac:dyDescent="0.5">
      <c r="A21" s="31"/>
      <c r="B21" s="31"/>
      <c r="C21" s="31"/>
      <c r="D21" s="31"/>
    </row>
    <row r="22" spans="1:4" ht="21" x14ac:dyDescent="0.5">
      <c r="A22" s="31"/>
      <c r="B22" s="31"/>
      <c r="C22" s="31"/>
      <c r="D22" s="31"/>
    </row>
    <row r="23" spans="1:4" ht="21" x14ac:dyDescent="0.5">
      <c r="A23" s="31"/>
      <c r="B23" s="31"/>
      <c r="C23" s="31"/>
      <c r="D23" s="31"/>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37DBE-BE5C-4579-8966-7BD402F686EB}">
  <dimension ref="A1:L24"/>
  <sheetViews>
    <sheetView workbookViewId="0">
      <selection activeCell="C2" sqref="C2"/>
    </sheetView>
  </sheetViews>
  <sheetFormatPr defaultColWidth="15.26953125" defaultRowHeight="15.5" x14ac:dyDescent="0.35"/>
  <cols>
    <col min="1" max="1" width="19.1796875" style="38" customWidth="1"/>
    <col min="2" max="2" width="11.54296875" style="38" bestFit="1" customWidth="1"/>
    <col min="3" max="3" width="11.81640625" style="38" bestFit="1" customWidth="1"/>
    <col min="4" max="4" width="9.54296875" style="38" bestFit="1" customWidth="1"/>
    <col min="5" max="5" width="11.54296875" style="38" bestFit="1" customWidth="1"/>
    <col min="6" max="6" width="9.7265625" style="38" bestFit="1" customWidth="1"/>
    <col min="7" max="7" width="11.81640625" style="38" bestFit="1" customWidth="1"/>
    <col min="8" max="8" width="11.54296875" style="38" bestFit="1" customWidth="1"/>
    <col min="9" max="9" width="12" style="38" bestFit="1" customWidth="1"/>
    <col min="10" max="10" width="15.1796875" style="38" bestFit="1" customWidth="1"/>
    <col min="11" max="11" width="11.54296875" style="38" bestFit="1" customWidth="1"/>
    <col min="12" max="16384" width="15.26953125" style="38"/>
  </cols>
  <sheetData>
    <row r="1" spans="1:12" x14ac:dyDescent="0.35">
      <c r="A1" s="325" t="s">
        <v>4049</v>
      </c>
      <c r="B1" s="326"/>
      <c r="C1" s="327"/>
      <c r="D1" s="328" t="s">
        <v>4050</v>
      </c>
      <c r="E1" s="329"/>
      <c r="F1" s="330"/>
      <c r="G1" s="331" t="s">
        <v>4051</v>
      </c>
      <c r="H1" s="332"/>
      <c r="I1" s="333"/>
      <c r="J1" s="334" t="s">
        <v>4052</v>
      </c>
      <c r="K1" s="335"/>
      <c r="L1" s="336"/>
    </row>
    <row r="2" spans="1:12" x14ac:dyDescent="0.35">
      <c r="A2" s="183" t="s">
        <v>3682</v>
      </c>
      <c r="B2" s="161" t="s">
        <v>3684</v>
      </c>
      <c r="C2" s="184" t="s">
        <v>3688</v>
      </c>
      <c r="D2" s="226" t="s">
        <v>3678</v>
      </c>
      <c r="E2" s="227" t="s">
        <v>3282</v>
      </c>
      <c r="F2" s="228" t="s">
        <v>3679</v>
      </c>
      <c r="G2" s="207" t="s">
        <v>4053</v>
      </c>
      <c r="H2" s="208" t="s">
        <v>4054</v>
      </c>
      <c r="I2" s="209" t="s">
        <v>3680</v>
      </c>
      <c r="J2" s="191" t="s">
        <v>3682</v>
      </c>
      <c r="K2" s="160" t="s">
        <v>3282</v>
      </c>
      <c r="L2" s="192" t="s">
        <v>3683</v>
      </c>
    </row>
    <row r="3" spans="1:12" x14ac:dyDescent="0.35">
      <c r="A3" s="183" t="s">
        <v>30</v>
      </c>
      <c r="B3" s="185" t="s">
        <v>4055</v>
      </c>
      <c r="C3" s="186" t="s">
        <v>3685</v>
      </c>
      <c r="D3" s="226" t="s">
        <v>28</v>
      </c>
      <c r="E3" s="229" t="s">
        <v>4056</v>
      </c>
      <c r="F3" s="230" t="s">
        <v>3676</v>
      </c>
      <c r="G3" s="207" t="s">
        <v>29</v>
      </c>
      <c r="H3" s="210" t="s">
        <v>4057</v>
      </c>
      <c r="I3" s="211" t="s">
        <v>3677</v>
      </c>
      <c r="J3" s="191" t="s">
        <v>30</v>
      </c>
      <c r="K3" s="162" t="s">
        <v>4058</v>
      </c>
      <c r="L3" s="193" t="s">
        <v>3681</v>
      </c>
    </row>
    <row r="4" spans="1:12" x14ac:dyDescent="0.35">
      <c r="A4" s="183" t="s">
        <v>4059</v>
      </c>
      <c r="B4" s="187" t="s">
        <v>4060</v>
      </c>
      <c r="C4" s="128" t="s">
        <v>3230</v>
      </c>
      <c r="D4" s="226" t="s">
        <v>4061</v>
      </c>
      <c r="E4" s="227" t="s">
        <v>4062</v>
      </c>
      <c r="F4" s="231" t="s">
        <v>4063</v>
      </c>
      <c r="G4" s="207" t="s">
        <v>4064</v>
      </c>
      <c r="H4" s="212" t="s">
        <v>4065</v>
      </c>
      <c r="I4" s="213" t="s">
        <v>3192</v>
      </c>
      <c r="J4" s="191" t="s">
        <v>4066</v>
      </c>
      <c r="K4" s="194" t="s">
        <v>4067</v>
      </c>
      <c r="L4" s="195" t="s">
        <v>3217</v>
      </c>
    </row>
    <row r="5" spans="1:12" x14ac:dyDescent="0.35">
      <c r="A5" s="183" t="s">
        <v>4068</v>
      </c>
      <c r="B5" s="187" t="s">
        <v>4069</v>
      </c>
      <c r="C5" s="188" t="s">
        <v>3266</v>
      </c>
      <c r="D5" s="226" t="s">
        <v>4070</v>
      </c>
      <c r="E5" s="227" t="s">
        <v>4071</v>
      </c>
      <c r="F5" s="232" t="s">
        <v>3254</v>
      </c>
      <c r="G5" s="207" t="s">
        <v>4072</v>
      </c>
      <c r="H5" s="212" t="s">
        <v>4073</v>
      </c>
      <c r="I5" s="211" t="s">
        <v>3204</v>
      </c>
      <c r="J5" s="191" t="s">
        <v>4074</v>
      </c>
      <c r="K5" s="194" t="s">
        <v>4075</v>
      </c>
      <c r="L5" s="196" t="s">
        <v>4076</v>
      </c>
    </row>
    <row r="6" spans="1:12" ht="16" thickBot="1" x14ac:dyDescent="0.4">
      <c r="A6" s="189" t="s">
        <v>4077</v>
      </c>
      <c r="B6" s="190" t="s">
        <v>4078</v>
      </c>
      <c r="C6" s="130" t="s">
        <v>3242</v>
      </c>
      <c r="D6" s="233" t="s">
        <v>4064</v>
      </c>
      <c r="E6" s="234" t="s">
        <v>4079</v>
      </c>
      <c r="F6" s="235" t="s">
        <v>3192</v>
      </c>
      <c r="G6" s="214" t="s">
        <v>4066</v>
      </c>
      <c r="H6" s="215" t="s">
        <v>4080</v>
      </c>
      <c r="I6" s="216" t="s">
        <v>3217</v>
      </c>
      <c r="J6" s="197" t="s">
        <v>4081</v>
      </c>
      <c r="K6" s="198" t="s">
        <v>4082</v>
      </c>
      <c r="L6" s="199" t="s">
        <v>3242</v>
      </c>
    </row>
    <row r="7" spans="1:12" x14ac:dyDescent="0.35">
      <c r="A7" s="337" t="s">
        <v>4083</v>
      </c>
      <c r="B7" s="338"/>
      <c r="C7" s="339"/>
      <c r="D7" s="131"/>
      <c r="E7" s="131"/>
      <c r="F7" s="131"/>
      <c r="G7" s="132"/>
      <c r="H7" s="132"/>
      <c r="I7" s="132"/>
      <c r="J7" s="340" t="s">
        <v>4124</v>
      </c>
      <c r="K7" s="341"/>
      <c r="L7" s="342"/>
    </row>
    <row r="8" spans="1:12" x14ac:dyDescent="0.35">
      <c r="A8" s="133" t="s">
        <v>3678</v>
      </c>
      <c r="B8" s="134" t="s">
        <v>3684</v>
      </c>
      <c r="C8" s="135" t="s">
        <v>3687</v>
      </c>
      <c r="D8" s="131"/>
      <c r="E8" s="132"/>
      <c r="F8" s="131"/>
      <c r="G8" s="132"/>
      <c r="H8" s="132"/>
      <c r="I8" s="132"/>
      <c r="J8" s="136" t="s">
        <v>4053</v>
      </c>
      <c r="K8" s="137" t="s">
        <v>3684</v>
      </c>
      <c r="L8" s="138" t="s">
        <v>3686</v>
      </c>
    </row>
    <row r="9" spans="1:12" x14ac:dyDescent="0.35">
      <c r="A9" s="133" t="s">
        <v>29</v>
      </c>
      <c r="B9" s="139" t="s">
        <v>4058</v>
      </c>
      <c r="C9" s="140" t="s">
        <v>3681</v>
      </c>
      <c r="D9" s="131"/>
      <c r="E9" s="131"/>
      <c r="F9" s="131"/>
      <c r="G9" s="132"/>
      <c r="H9" s="132"/>
      <c r="I9" s="132"/>
      <c r="J9" s="136" t="s">
        <v>28</v>
      </c>
      <c r="K9" s="141" t="s">
        <v>4055</v>
      </c>
      <c r="L9" s="142" t="s">
        <v>3685</v>
      </c>
    </row>
    <row r="10" spans="1:12" x14ac:dyDescent="0.35">
      <c r="A10" s="133" t="s">
        <v>4077</v>
      </c>
      <c r="B10" s="143" t="s">
        <v>4084</v>
      </c>
      <c r="C10" s="144" t="s">
        <v>3242</v>
      </c>
      <c r="D10" s="132"/>
      <c r="E10" s="131"/>
      <c r="F10" s="131"/>
      <c r="G10" s="132"/>
      <c r="H10" s="132"/>
      <c r="I10" s="132"/>
      <c r="J10" s="136" t="s">
        <v>4081</v>
      </c>
      <c r="K10" s="145" t="s">
        <v>4078</v>
      </c>
      <c r="L10" s="146" t="s">
        <v>3242</v>
      </c>
    </row>
    <row r="11" spans="1:12" x14ac:dyDescent="0.35">
      <c r="A11" s="133" t="s">
        <v>4085</v>
      </c>
      <c r="B11" s="143" t="s">
        <v>4086</v>
      </c>
      <c r="C11" s="147" t="s">
        <v>4076</v>
      </c>
      <c r="D11" s="131"/>
      <c r="E11" s="131"/>
      <c r="F11" s="131"/>
      <c r="G11" s="132"/>
      <c r="H11" s="132"/>
      <c r="I11" s="132"/>
      <c r="J11" s="136" t="s">
        <v>4087</v>
      </c>
      <c r="K11" s="145" t="s">
        <v>4069</v>
      </c>
      <c r="L11" s="148" t="s">
        <v>3266</v>
      </c>
    </row>
    <row r="12" spans="1:12" ht="16" thickBot="1" x14ac:dyDescent="0.4">
      <c r="A12" s="149" t="s">
        <v>4088</v>
      </c>
      <c r="B12" s="150" t="s">
        <v>4089</v>
      </c>
      <c r="C12" s="151" t="s">
        <v>3217</v>
      </c>
      <c r="D12" s="132"/>
      <c r="E12" s="132"/>
      <c r="F12" s="131"/>
      <c r="G12" s="132"/>
      <c r="H12" s="132"/>
      <c r="I12" s="132"/>
      <c r="J12" s="152" t="s">
        <v>4090</v>
      </c>
      <c r="K12" s="153" t="s">
        <v>4060</v>
      </c>
      <c r="L12" s="154" t="s">
        <v>3230</v>
      </c>
    </row>
    <row r="13" spans="1:12" x14ac:dyDescent="0.35">
      <c r="A13" s="343" t="s">
        <v>4091</v>
      </c>
      <c r="B13" s="344"/>
      <c r="C13" s="345"/>
      <c r="D13" s="131"/>
      <c r="E13" s="131"/>
      <c r="F13" s="131"/>
      <c r="G13" s="155"/>
      <c r="H13" s="156"/>
      <c r="I13" s="156"/>
      <c r="J13" s="346" t="s">
        <v>4092</v>
      </c>
      <c r="K13" s="347"/>
      <c r="L13" s="348"/>
    </row>
    <row r="14" spans="1:12" x14ac:dyDescent="0.35">
      <c r="A14" s="163" t="s">
        <v>4053</v>
      </c>
      <c r="B14" s="164" t="s">
        <v>4054</v>
      </c>
      <c r="C14" s="165" t="s">
        <v>4093</v>
      </c>
      <c r="D14" s="131"/>
      <c r="E14" s="131"/>
      <c r="F14" s="131"/>
      <c r="G14" s="157"/>
      <c r="H14" s="157"/>
      <c r="I14" s="157"/>
      <c r="J14" s="244" t="s">
        <v>3678</v>
      </c>
      <c r="K14" s="245" t="s">
        <v>3282</v>
      </c>
      <c r="L14" s="246" t="s">
        <v>4094</v>
      </c>
    </row>
    <row r="15" spans="1:12" x14ac:dyDescent="0.35">
      <c r="A15" s="163" t="s">
        <v>28</v>
      </c>
      <c r="B15" s="166" t="s">
        <v>4057</v>
      </c>
      <c r="C15" s="167" t="s">
        <v>3677</v>
      </c>
      <c r="D15" s="131"/>
      <c r="E15" s="131"/>
      <c r="F15" s="131"/>
      <c r="G15" s="157"/>
      <c r="H15" s="157"/>
      <c r="I15" s="157"/>
      <c r="J15" s="244" t="s">
        <v>29</v>
      </c>
      <c r="K15" s="245" t="s">
        <v>4056</v>
      </c>
      <c r="L15" s="246" t="s">
        <v>3677</v>
      </c>
    </row>
    <row r="16" spans="1:12" x14ac:dyDescent="0.35">
      <c r="A16" s="163" t="s">
        <v>4088</v>
      </c>
      <c r="B16" s="168" t="s">
        <v>4095</v>
      </c>
      <c r="C16" s="169" t="s">
        <v>3217</v>
      </c>
      <c r="D16" s="132"/>
      <c r="E16" s="132"/>
      <c r="F16" s="131"/>
      <c r="G16" s="157"/>
      <c r="H16" s="157"/>
      <c r="I16" s="158"/>
      <c r="J16" s="244" t="s">
        <v>4096</v>
      </c>
      <c r="K16" s="245" t="s">
        <v>4062</v>
      </c>
      <c r="L16" s="246" t="s">
        <v>4063</v>
      </c>
    </row>
    <row r="17" spans="1:12" x14ac:dyDescent="0.35">
      <c r="A17" s="163" t="s">
        <v>4097</v>
      </c>
      <c r="B17" s="168" t="s">
        <v>4098</v>
      </c>
      <c r="C17" s="170" t="s">
        <v>3204</v>
      </c>
      <c r="D17" s="131"/>
      <c r="E17" s="131"/>
      <c r="F17" s="131"/>
      <c r="G17" s="157"/>
      <c r="H17" s="157"/>
      <c r="I17" s="159"/>
      <c r="J17" s="244" t="s">
        <v>4099</v>
      </c>
      <c r="K17" s="245" t="s">
        <v>4100</v>
      </c>
      <c r="L17" s="246" t="s">
        <v>3254</v>
      </c>
    </row>
    <row r="18" spans="1:12" ht="16" thickBot="1" x14ac:dyDescent="0.4">
      <c r="A18" s="171" t="s">
        <v>4101</v>
      </c>
      <c r="B18" s="172" t="s">
        <v>4065</v>
      </c>
      <c r="C18" s="173" t="s">
        <v>3192</v>
      </c>
      <c r="D18" s="132"/>
      <c r="E18" s="131"/>
      <c r="F18" s="131"/>
      <c r="G18" s="157"/>
      <c r="H18" s="157"/>
      <c r="I18" s="157"/>
      <c r="J18" s="247" t="s">
        <v>4102</v>
      </c>
      <c r="K18" s="248" t="s">
        <v>4103</v>
      </c>
      <c r="L18" s="249" t="s">
        <v>3192</v>
      </c>
    </row>
    <row r="19" spans="1:12" x14ac:dyDescent="0.35">
      <c r="A19" s="349" t="s">
        <v>4104</v>
      </c>
      <c r="B19" s="326"/>
      <c r="C19" s="350"/>
      <c r="D19" s="351" t="s">
        <v>4105</v>
      </c>
      <c r="E19" s="329"/>
      <c r="F19" s="330"/>
      <c r="G19" s="352" t="s">
        <v>4106</v>
      </c>
      <c r="H19" s="353"/>
      <c r="I19" s="354"/>
      <c r="J19" s="355" t="s">
        <v>4107</v>
      </c>
      <c r="K19" s="356"/>
      <c r="L19" s="357"/>
    </row>
    <row r="20" spans="1:12" x14ac:dyDescent="0.35">
      <c r="A20" s="174" t="s">
        <v>3682</v>
      </c>
      <c r="B20" s="127" t="s">
        <v>4054</v>
      </c>
      <c r="C20" s="175" t="s">
        <v>4108</v>
      </c>
      <c r="D20" s="236" t="s">
        <v>4053</v>
      </c>
      <c r="E20" s="229" t="s">
        <v>3684</v>
      </c>
      <c r="F20" s="228" t="s">
        <v>4109</v>
      </c>
      <c r="G20" s="217" t="s">
        <v>3678</v>
      </c>
      <c r="H20" s="218" t="s">
        <v>4054</v>
      </c>
      <c r="I20" s="209" t="s">
        <v>4110</v>
      </c>
      <c r="J20" s="200" t="s">
        <v>3682</v>
      </c>
      <c r="K20" s="126" t="s">
        <v>3282</v>
      </c>
      <c r="L20" s="192" t="s">
        <v>4111</v>
      </c>
    </row>
    <row r="21" spans="1:12" x14ac:dyDescent="0.35">
      <c r="A21" s="174" t="s">
        <v>30</v>
      </c>
      <c r="B21" s="161" t="s">
        <v>4056</v>
      </c>
      <c r="C21" s="176" t="s">
        <v>3677</v>
      </c>
      <c r="D21" s="236" t="s">
        <v>29</v>
      </c>
      <c r="E21" s="237" t="s">
        <v>4055</v>
      </c>
      <c r="F21" s="238" t="s">
        <v>3685</v>
      </c>
      <c r="G21" s="217" t="s">
        <v>28</v>
      </c>
      <c r="H21" s="219" t="s">
        <v>4058</v>
      </c>
      <c r="I21" s="220" t="s">
        <v>3681</v>
      </c>
      <c r="J21" s="200" t="s">
        <v>30</v>
      </c>
      <c r="K21" s="129" t="s">
        <v>4112</v>
      </c>
      <c r="L21" s="201" t="s">
        <v>3681</v>
      </c>
    </row>
    <row r="22" spans="1:12" x14ac:dyDescent="0.35">
      <c r="A22" s="174" t="s">
        <v>4101</v>
      </c>
      <c r="B22" s="177" t="s">
        <v>4079</v>
      </c>
      <c r="C22" s="178" t="s">
        <v>3192</v>
      </c>
      <c r="D22" s="236" t="s">
        <v>4113</v>
      </c>
      <c r="E22" s="239" t="s">
        <v>4060</v>
      </c>
      <c r="F22" s="230" t="s">
        <v>3230</v>
      </c>
      <c r="G22" s="217" t="s">
        <v>4114</v>
      </c>
      <c r="H22" s="221" t="s">
        <v>4084</v>
      </c>
      <c r="I22" s="222" t="s">
        <v>3242</v>
      </c>
      <c r="J22" s="200" t="s">
        <v>4102</v>
      </c>
      <c r="K22" s="202" t="s">
        <v>4065</v>
      </c>
      <c r="L22" s="195" t="s">
        <v>3192</v>
      </c>
    </row>
    <row r="23" spans="1:12" ht="26.5" x14ac:dyDescent="0.35">
      <c r="A23" s="174" t="s">
        <v>4115</v>
      </c>
      <c r="B23" s="177" t="s">
        <v>4071</v>
      </c>
      <c r="C23" s="179" t="s">
        <v>3254</v>
      </c>
      <c r="D23" s="236" t="s">
        <v>4116</v>
      </c>
      <c r="E23" s="239" t="s">
        <v>4069</v>
      </c>
      <c r="F23" s="240" t="s">
        <v>3266</v>
      </c>
      <c r="G23" s="217" t="s">
        <v>4117</v>
      </c>
      <c r="H23" s="221" t="s">
        <v>4086</v>
      </c>
      <c r="I23" s="223" t="s">
        <v>4076</v>
      </c>
      <c r="J23" s="200" t="s">
        <v>4118</v>
      </c>
      <c r="K23" s="202" t="s">
        <v>4073</v>
      </c>
      <c r="L23" s="203" t="s">
        <v>3204</v>
      </c>
    </row>
    <row r="24" spans="1:12" ht="16" thickBot="1" x14ac:dyDescent="0.4">
      <c r="A24" s="180" t="s">
        <v>4119</v>
      </c>
      <c r="B24" s="181" t="s">
        <v>4062</v>
      </c>
      <c r="C24" s="182" t="s">
        <v>4063</v>
      </c>
      <c r="D24" s="241" t="s">
        <v>4120</v>
      </c>
      <c r="E24" s="242" t="s">
        <v>4078</v>
      </c>
      <c r="F24" s="243" t="s">
        <v>3242</v>
      </c>
      <c r="G24" s="224" t="s">
        <v>4121</v>
      </c>
      <c r="H24" s="225" t="s">
        <v>4089</v>
      </c>
      <c r="I24" s="216" t="s">
        <v>3217</v>
      </c>
      <c r="J24" s="204" t="s">
        <v>4121</v>
      </c>
      <c r="K24" s="205" t="s">
        <v>4080</v>
      </c>
      <c r="L24" s="206" t="s">
        <v>3217</v>
      </c>
    </row>
  </sheetData>
  <mergeCells count="12">
    <mergeCell ref="A13:C13"/>
    <mergeCell ref="J13:L13"/>
    <mergeCell ref="A19:C19"/>
    <mergeCell ref="D19:F19"/>
    <mergeCell ref="G19:I19"/>
    <mergeCell ref="J19:L19"/>
    <mergeCell ref="A1:C1"/>
    <mergeCell ref="D1:F1"/>
    <mergeCell ref="G1:I1"/>
    <mergeCell ref="J1:L1"/>
    <mergeCell ref="A7:C7"/>
    <mergeCell ref="J7:L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INDEX</vt:lpstr>
      <vt:lpstr>Version Control</vt:lpstr>
      <vt:lpstr>Numerology</vt:lpstr>
      <vt:lpstr>Stock Market Astrology</vt:lpstr>
      <vt:lpstr>Quantum Astrology</vt:lpstr>
      <vt:lpstr>BTR</vt:lpstr>
      <vt:lpstr>Prediction Algorithm</vt:lpstr>
      <vt:lpstr>PlanetsCharacteristics</vt:lpstr>
      <vt:lpstr>2024MoonTransit</vt:lpstr>
      <vt:lpstr>2024Fortuna</vt:lpstr>
      <vt:lpstr>2024RetrogradeCalendar</vt:lpstr>
      <vt:lpstr>2024SunTransit</vt:lpstr>
      <vt:lpstr>249Diseases</vt:lpstr>
      <vt:lpstr>249Mindsets</vt:lpstr>
      <vt:lpstr>249Professions</vt:lpstr>
      <vt:lpstr>249SubDivisionsHoraryNumbers</vt:lpstr>
      <vt:lpstr>ABCD Significance</vt:lpstr>
      <vt:lpstr>Strongest Planet Calculation</vt:lpstr>
      <vt:lpstr>Aspects</vt:lpstr>
      <vt:lpstr>Aspects Template</vt:lpstr>
      <vt:lpstr>FortunaMethod</vt:lpstr>
      <vt:lpstr>Fortuna</vt:lpstr>
      <vt:lpstr>Full Life Events Prediction</vt:lpstr>
      <vt:lpstr>Gems Remedies</vt:lpstr>
      <vt:lpstr>HigherEducationStreams</vt:lpstr>
      <vt:lpstr>Houses Meaning</vt:lpstr>
      <vt:lpstr>MaleficBenefic</vt:lpstr>
      <vt:lpstr>Marriage Partner Looks</vt:lpstr>
      <vt:lpstr>MissingPerson</vt:lpstr>
      <vt:lpstr>PlanetDirection</vt:lpstr>
      <vt:lpstr>PlanetPositionSignification</vt:lpstr>
      <vt:lpstr>PlanetFriendship</vt:lpstr>
      <vt:lpstr>PlanetsStockSectors</vt:lpstr>
      <vt:lpstr>Prediction Template</vt:lpstr>
      <vt:lpstr>Punarpoo</vt:lpstr>
      <vt:lpstr>Relationship</vt:lpstr>
      <vt:lpstr>1500+Rules</vt:lpstr>
      <vt:lpstr>ReadyReckoner</vt:lpstr>
      <vt:lpstr>Software List KP Astrology</vt:lpstr>
      <vt:lpstr>StarwiseDiseases</vt:lpstr>
      <vt:lpstr>Star-wise Professions</vt:lpstr>
      <vt:lpstr>TimeOfEvent</vt:lpstr>
      <vt:lpstr>Vimshottari</vt:lpstr>
      <vt:lpstr>ZodiacSigns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KMdhirajsharma@outlook.com</cp:lastModifiedBy>
  <dcterms:created xsi:type="dcterms:W3CDTF">2021-02-25T03:35:50Z</dcterms:created>
  <dcterms:modified xsi:type="dcterms:W3CDTF">2025-06-16T13:36:58Z</dcterms:modified>
</cp:coreProperties>
</file>