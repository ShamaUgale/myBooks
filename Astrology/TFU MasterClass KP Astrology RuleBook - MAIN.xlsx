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https://d.docs.live.net/aaee295420d5821c/LearnAstrologyOnline.in/Tools/TFU Masterclass/"/>
    </mc:Choice>
  </mc:AlternateContent>
  <xr:revisionPtr revIDLastSave="161" documentId="13_ncr:1_{12071896-A203-4B07-9902-5B33A6559F6D}" xr6:coauthVersionLast="47" xr6:coauthVersionMax="47" xr10:uidLastSave="{7B5E93F8-8BC1-43B7-A91C-F615FC67A299}"/>
  <bookViews>
    <workbookView xWindow="-120" yWindow="-120" windowWidth="20730" windowHeight="11040" tabRatio="964" firstSheet="2" activeTab="7" xr2:uid="{CD4F954A-A01A-4212-B81B-57C0CF7A8531}"/>
  </bookViews>
  <sheets>
    <sheet name="2024SunTransit" sheetId="18" r:id="rId1"/>
    <sheet name="2024MoonTransit" sheetId="17" r:id="rId2"/>
    <sheet name="2024RetrogradeCalendar" sheetId="16" r:id="rId3"/>
    <sheet name="PlanetPositionSignification" sheetId="15" r:id="rId4"/>
    <sheet name="StarwiseDiseases" sheetId="14" r:id="rId5"/>
    <sheet name="Star-wise Professions" sheetId="13" r:id="rId6"/>
    <sheet name="Vimshottari" sheetId="12" r:id="rId7"/>
    <sheet name="PredictionTemplate" sheetId="1" r:id="rId8"/>
    <sheet name="BasicRules" sheetId="9" r:id="rId9"/>
    <sheet name="Diseases" sheetId="3" r:id="rId10"/>
    <sheet name="Mindset" sheetId="4" r:id="rId11"/>
    <sheet name="Professions" sheetId="5" r:id="rId12"/>
    <sheet name="SoftwareList" sheetId="6" r:id="rId13"/>
    <sheet name="Houses Meaning" sheetId="7" r:id="rId14"/>
    <sheet name="249SignStarSub" sheetId="8" r:id="rId15"/>
    <sheet name="ZodiacSigns" sheetId="11" r:id="rId16"/>
    <sheet name="PlanetsCharacteristics" sheetId="19" r:id="rId17"/>
    <sheet name="HigherEducationStreams" sheetId="21"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1" i="1" l="1"/>
  <c r="B3" i="1"/>
  <c r="D4" i="1"/>
  <c r="D7" i="1"/>
  <c r="B8" i="1"/>
  <c r="B6" i="1"/>
  <c r="D11" i="12" l="1"/>
  <c r="B7" i="1" l="1"/>
  <c r="B5" i="1"/>
  <c r="B4" i="1"/>
  <c r="I6" i="8" l="1"/>
  <c r="I3" i="8"/>
</calcChain>
</file>

<file path=xl/sharedStrings.xml><?xml version="1.0" encoding="utf-8"?>
<sst xmlns="http://schemas.openxmlformats.org/spreadsheetml/2006/main" count="8104" uniqueCount="1822">
  <si>
    <t>Result</t>
  </si>
  <si>
    <t>Matter</t>
  </si>
  <si>
    <t>Conclusion</t>
  </si>
  <si>
    <t>Sun</t>
  </si>
  <si>
    <t>Rahu</t>
  </si>
  <si>
    <t>Saturn</t>
  </si>
  <si>
    <t>KP Sub Lord Tables(1-249)</t>
  </si>
  <si>
    <t>Sub No.</t>
  </si>
  <si>
    <t>Rashi</t>
  </si>
  <si>
    <t>From (Deg/Min/Sec)</t>
  </si>
  <si>
    <t>To (DeglMin/Sec)</t>
  </si>
  <si>
    <t>Sign Lord</t>
  </si>
  <si>
    <t>Star lord</t>
  </si>
  <si>
    <t>Sub lord</t>
  </si>
  <si>
    <t>6th Diseases</t>
  </si>
  <si>
    <t>Aries</t>
  </si>
  <si>
    <t>00"00'00"</t>
  </si>
  <si>
    <t>00"46'40"</t>
  </si>
  <si>
    <t>Mars</t>
  </si>
  <si>
    <t>Ketu</t>
  </si>
  <si>
    <t>Injury in the head - Scars - Brain Congestion - Epilepsy - Coma - Abortion</t>
  </si>
  <si>
    <t>03'00'00"</t>
  </si>
  <si>
    <t>Venus</t>
  </si>
  <si>
    <t xml:space="preserve">Headache - trance - eye-trouble - eruptive - fever - venereal diseases </t>
  </si>
  <si>
    <t>03"00'00"</t>
  </si>
  <si>
    <t>03'40'00"</t>
  </si>
  <si>
    <t>Fainting - Cerebral Anaemia - Reddish and sore eyes - One-side Headache -Thrombosis - Barren</t>
  </si>
  <si>
    <t>04"46'40"</t>
  </si>
  <si>
    <t>Moon</t>
  </si>
  <si>
    <t xml:space="preserve">Brain congestion - Boils - Neuralgia - Cerebral - Haemorrhage - Insomnia - Hysteria - Neuralgia </t>
  </si>
  <si>
    <t>04"46',40"</t>
  </si>
  <si>
    <t>05"33',20"</t>
  </si>
  <si>
    <t xml:space="preserve">Haemorrhage - Epilepsy - Scars in head </t>
  </si>
  <si>
    <t>07"33'20"</t>
  </si>
  <si>
    <t>Diseased - Dog-bite - Rabies</t>
  </si>
  <si>
    <t>07"33',20"</t>
  </si>
  <si>
    <t>09"20'00"</t>
  </si>
  <si>
    <t>Jupiter</t>
  </si>
  <si>
    <t>Brain congestion - Malaria</t>
  </si>
  <si>
    <t>09"20',00"</t>
  </si>
  <si>
    <t>11"26'40"</t>
  </si>
  <si>
    <t>Scar in head - Small-pox - Boils - Injury - Operation in head - Coma - Insomnia - Filaria - Severe head-ache - Barren - Abortion - False-pains - Irregular monthly periods in women.</t>
  </si>
  <si>
    <t>17"26',40"</t>
  </si>
  <si>
    <t>13"20'00"</t>
  </si>
  <si>
    <t>Mercury</t>
  </si>
  <si>
    <t>Epilepsy - Violent spurnn - Paralytic Sun-stroke - Barren</t>
  </si>
  <si>
    <t>13"20',00"</t>
  </si>
  <si>
    <t>15"33'20"</t>
  </si>
  <si>
    <t xml:space="preserve">Injury around eyes </t>
  </si>
  <si>
    <t>15"33',20"</t>
  </si>
  <si>
    <t>16"13',20"</t>
  </si>
  <si>
    <t xml:space="preserve">Cataract- Injury around eyes </t>
  </si>
  <si>
    <t>16"13'20"</t>
  </si>
  <si>
    <t>17"20',00',</t>
  </si>
  <si>
    <t xml:space="preserve">Facial blood vessels affected </t>
  </si>
  <si>
    <t>17"20',00"</t>
  </si>
  <si>
    <t>18"06',40"</t>
  </si>
  <si>
    <t xml:space="preserve">Venereal Diseases </t>
  </si>
  <si>
    <t>20"06'40"</t>
  </si>
  <si>
    <t>Leukoderma - Leprosy</t>
  </si>
  <si>
    <t>20"06',40"</t>
  </si>
  <si>
    <t>21"53'20"</t>
  </si>
  <si>
    <t xml:space="preserve">Disease of metabolism and fats obesity. </t>
  </si>
  <si>
    <t>24"00',00"</t>
  </si>
  <si>
    <t xml:space="preserve">Venereal Diseases - Catarrh </t>
  </si>
  <si>
    <t>25"53'20"</t>
  </si>
  <si>
    <t xml:space="preserve">Skin troubles </t>
  </si>
  <si>
    <t>26"40'00"</t>
  </si>
  <si>
    <t xml:space="preserve">Diseased - Leukoderma -. Syphilis - Poor vision - Catarrh </t>
  </si>
  <si>
    <t>26"40',00"</t>
  </si>
  <si>
    <t>27"20',00"</t>
  </si>
  <si>
    <t>Plague - Brain fever</t>
  </si>
  <si>
    <t>28"26',40"</t>
  </si>
  <si>
    <t xml:space="preserve">Carbuncle - Poxes </t>
  </si>
  <si>
    <t>29"13',20"</t>
  </si>
  <si>
    <t>Sharp fever - Eruptive - fever - Malaria - Cerebral meningitis - Injury - Cuts Accidents</t>
  </si>
  <si>
    <t>30"00'00"</t>
  </si>
  <si>
    <t>Plague - Filaria - Fire - Accident - Burns</t>
  </si>
  <si>
    <t>Taurus</t>
  </si>
  <si>
    <t>01"13',20"</t>
  </si>
  <si>
    <t xml:space="preserve">Reddish Eyes - Scar eyes - Leprosy </t>
  </si>
  <si>
    <t>03"00'00'</t>
  </si>
  <si>
    <t>Swelling above the neck</t>
  </si>
  <si>
    <t>05'06'40"</t>
  </si>
  <si>
    <t>Pimples - Throat troubles</t>
  </si>
  <si>
    <t>05"06'40"</t>
  </si>
  <si>
    <t>07"00'00"</t>
  </si>
  <si>
    <t>Tumour in knee - Polypans of the nose</t>
  </si>
  <si>
    <t>07"46'40"</t>
  </si>
  <si>
    <t>Cataract - Nose trouble</t>
  </si>
  <si>
    <t>07:46'40"</t>
  </si>
  <si>
    <t>10"00'00"</t>
  </si>
  <si>
    <t>Polypous of the nose - Injury around eyes – Defective vision - Bad taste - Deformed lips</t>
  </si>
  <si>
    <t>11"06',40"</t>
  </si>
  <si>
    <t>Cold - Cough – Catarrh</t>
  </si>
  <si>
    <t>11"06'40"</t>
  </si>
  <si>
    <t>11"53',20"</t>
  </si>
  <si>
    <t xml:space="preserve">Facial Nervous troubles - Burning sensation on the nose and eye brows </t>
  </si>
  <si>
    <t>11"53'20"</t>
  </si>
  <si>
    <t>13"53',20"</t>
  </si>
  <si>
    <t>Ailments of a sudden nature</t>
  </si>
  <si>
    <t>13"53'20"</t>
  </si>
  <si>
    <t>15"40'00"</t>
  </si>
  <si>
    <t>Apoplexy - Swelling</t>
  </si>
  <si>
    <t>15'40'00"</t>
  </si>
  <si>
    <t>17'46'40"</t>
  </si>
  <si>
    <t>Cough - Cold - Irregular - Discharge - Pain in legs</t>
  </si>
  <si>
    <t>17"46'40"</t>
  </si>
  <si>
    <t>19"40'00"</t>
  </si>
  <si>
    <t>Tonsils -Cerebellum - Tongue - Goitre - Sore throat</t>
  </si>
  <si>
    <t>19"40'O0"</t>
  </si>
  <si>
    <t>20'26'40"</t>
  </si>
  <si>
    <t xml:space="preserve">Pimples - Tumour – Stammering </t>
  </si>
  <si>
    <t>20"26'40"</t>
  </si>
  <si>
    <t>22"40'00"</t>
  </si>
  <si>
    <t>Chest pain - Swelling - Cold</t>
  </si>
  <si>
    <t>22'40'00"</t>
  </si>
  <si>
    <t>23"20'00"</t>
  </si>
  <si>
    <t>Sore throat - Irregular discharge - Scantly Bleeding</t>
  </si>
  <si>
    <t>24'06:40"</t>
  </si>
  <si>
    <t>Inflammation of Pericardium - Inflammed Tonsils</t>
  </si>
  <si>
    <t>24"06'40"</t>
  </si>
  <si>
    <t>26"06'40"</t>
  </si>
  <si>
    <t>Marks on cheek - Jugular Veins - Dirty pimple</t>
  </si>
  <si>
    <t>26"06',40"</t>
  </si>
  <si>
    <t>27'53'20'</t>
  </si>
  <si>
    <t>Short of hair - Carotid artery - Adenoids - Goitre</t>
  </si>
  <si>
    <t>27"53'20"</t>
  </si>
  <si>
    <t>30'00'00"</t>
  </si>
  <si>
    <t>Face injury - Throat pain - Weak loins - Constipation -Venereal Disease - Polypous</t>
  </si>
  <si>
    <t>Gemini</t>
  </si>
  <si>
    <t>01"53'20"</t>
  </si>
  <si>
    <t>Shoulder injury - Defective vocal chord</t>
  </si>
  <si>
    <t>02'40'00"</t>
  </si>
  <si>
    <t>Thymus gland - Bad blood - Fever - Collar Bone troubles</t>
  </si>
  <si>
    <t>02"40'00"</t>
  </si>
  <si>
    <t>04"53'20"</t>
  </si>
  <si>
    <t>Throat trouble - Ear trouble - Itches - Disorders in sexual parts - Inflammation of Pericardium - Femur - Sciatica</t>
  </si>
  <si>
    <t>04'53'20"</t>
  </si>
  <si>
    <t>Trouble in Arms and Shoulders</t>
  </si>
  <si>
    <t>05"33'20"</t>
  </si>
  <si>
    <t>06'40'00"</t>
  </si>
  <si>
    <t>Troubles in Secret Parts - Throat - Thymus Glands – Inflammation - Boils</t>
  </si>
  <si>
    <t>08"40'00"</t>
  </si>
  <si>
    <t>Septic Throat - Easonophilia</t>
  </si>
  <si>
    <t>08'40'00"</t>
  </si>
  <si>
    <t>10"26'40"</t>
  </si>
  <si>
    <t xml:space="preserve">Ear trouble - Mumps </t>
  </si>
  <si>
    <t>12'33'20"</t>
  </si>
  <si>
    <t>Asthma - Pus in the ear</t>
  </si>
  <si>
    <t>12"33'20</t>
  </si>
  <si>
    <t>14"26'40"</t>
  </si>
  <si>
    <t>Hiccough - Ear trouble</t>
  </si>
  <si>
    <t>15"13'20"</t>
  </si>
  <si>
    <t>Throat trouble – Diphtheria</t>
  </si>
  <si>
    <t>17"26'40"</t>
  </si>
  <si>
    <t>Throat trouble - Ear trouble - Dry Cough</t>
  </si>
  <si>
    <t>Eosinophilia - Shoulder pains</t>
  </si>
  <si>
    <t>18'06',40"</t>
  </si>
  <si>
    <t>19"13',20"</t>
  </si>
  <si>
    <t>Ear trouble - Asthma</t>
  </si>
  <si>
    <t>19"13'20"</t>
  </si>
  <si>
    <t>20'00'00"</t>
  </si>
  <si>
    <t>Septic throat - Shoulder injury</t>
  </si>
  <si>
    <t>21"46'40"</t>
  </si>
  <si>
    <t>Swelling in the ear - Pulmonary apoplexy</t>
  </si>
  <si>
    <t>21'46'40"</t>
  </si>
  <si>
    <t>23'53'20"</t>
  </si>
  <si>
    <t xml:space="preserve">Injury in Shoulder Blade - Inflammation - Pain in the ear -  Iodine deficient - Trouble in upper lobe of lungs </t>
  </si>
  <si>
    <t>23"53'20"</t>
  </si>
  <si>
    <t>25"46',40"</t>
  </si>
  <si>
    <t>Hiccough - Asthma</t>
  </si>
  <si>
    <t>25"46'40"</t>
  </si>
  <si>
    <t>26'33'20"</t>
  </si>
  <si>
    <t>Pleurisy - Pneumonia - Pulmonary Apoplexy</t>
  </si>
  <si>
    <t>26"33',20"</t>
  </si>
  <si>
    <t>28"46'40"</t>
  </si>
  <si>
    <t>Bronchitis - Urine disorder</t>
  </si>
  <si>
    <t>29"26'40"</t>
  </si>
  <si>
    <t xml:space="preserve">Throat trouble - Pus in the ear - Bronchitis - Eosinophilia </t>
  </si>
  <si>
    <t xml:space="preserve">Pleurisy - Pneumonia </t>
  </si>
  <si>
    <t>Cancer</t>
  </si>
  <si>
    <t>00"33'20"</t>
  </si>
  <si>
    <t>Tuberculosis - Lungs and Chest trouble - Dropsy - Beriberi - Bad blood - Jaundice</t>
  </si>
  <si>
    <t>01"20'00"</t>
  </si>
  <si>
    <t>Pancreas - Diaphragm - Beriberi - Loss of appetite - Bad blood - Liver Troubles</t>
  </si>
  <si>
    <t>07"20'00"</t>
  </si>
  <si>
    <t>03'20'00"</t>
  </si>
  <si>
    <t xml:space="preserve">Oesophagus - Thoracic and Stomach troubles - Tuberculosis - Dyspepsia </t>
  </si>
  <si>
    <t>03"20',00"</t>
  </si>
  <si>
    <t>05"26'40"</t>
  </si>
  <si>
    <t xml:space="preserve">Tuberculosis - Lungs and ribs - Cancer - Eczema - Pyorrhoea </t>
  </si>
  <si>
    <t>Both lungs - Nausea - Phthisis – Dyspepsia</t>
  </si>
  <si>
    <t>08"06'40"</t>
  </si>
  <si>
    <t xml:space="preserve">Galloping T.B. - Bleaching - Scurvy - Jaundice - Pyorrhoea </t>
  </si>
  <si>
    <t>08'06'40"</t>
  </si>
  <si>
    <t>10"20',00"</t>
  </si>
  <si>
    <t xml:space="preserve">Chest wounds - Cough - Eczema </t>
  </si>
  <si>
    <t>10"20'00"</t>
  </si>
  <si>
    <t>11"00'00'</t>
  </si>
  <si>
    <t xml:space="preserve">Ulcer in Respiratory Organs - Galstone </t>
  </si>
  <si>
    <t>11"00',00',</t>
  </si>
  <si>
    <t>12"06'40'</t>
  </si>
  <si>
    <t xml:space="preserve">Tuberculosis - Nausea - Obstructions - Cancer </t>
  </si>
  <si>
    <t>12"06'40',</t>
  </si>
  <si>
    <t>12"53'20"</t>
  </si>
  <si>
    <t xml:space="preserve">Ulcer in Respiratory organs - Injury in ribs - Gastric ulcer - Chest wounds </t>
  </si>
  <si>
    <t>12"53',20"</t>
  </si>
  <si>
    <t>14"53',20"</t>
  </si>
  <si>
    <t>Galstone - Tuberculosis - Cancer – Hiccough</t>
  </si>
  <si>
    <t>16"40'00"</t>
  </si>
  <si>
    <t>Gastric trouble - Ulcer in chest – Jaundice</t>
  </si>
  <si>
    <t>16"40',00"</t>
  </si>
  <si>
    <t>18"33',21"</t>
  </si>
  <si>
    <t xml:space="preserve">Defective stomach and lungs - Gas trouble - Difficult breathing - Hysteria - Vit B deficiency </t>
  </si>
  <si>
    <t>18"33',21,"</t>
  </si>
  <si>
    <t>19"20',00"</t>
  </si>
  <si>
    <t xml:space="preserve">Hysteria - Liver troubles </t>
  </si>
  <si>
    <t>21"33',20"</t>
  </si>
  <si>
    <t>Hypochondria - Dropsy – Windiness</t>
  </si>
  <si>
    <t>22"13',20"</t>
  </si>
  <si>
    <t>Indigestion - Liver troubles - Constipation - Jaundice</t>
  </si>
  <si>
    <t>23"20',00</t>
  </si>
  <si>
    <t>Cold - Hysteria - Oedema</t>
  </si>
  <si>
    <t>24"06',40"</t>
  </si>
  <si>
    <t xml:space="preserve">Flatulence - Nephritis - Pain in Stomach - Ulcer </t>
  </si>
  <si>
    <t xml:space="preserve">Typhoid - Jaundice - Vitamin B Deficiency </t>
  </si>
  <si>
    <t xml:space="preserve">Breathing trouble - Pancreas - Liver trouble - Dropsy - Beriberi </t>
  </si>
  <si>
    <t xml:space="preserve">Trouble in Stomach - Trouble in lungs - Pains in knees and legs - Phlegm - Vitamin B Deficiency </t>
  </si>
  <si>
    <t>Leo</t>
  </si>
  <si>
    <t xml:space="preserve">Heart diseases - Palpitation - Giddiness - Congestion </t>
  </si>
  <si>
    <t xml:space="preserve">Spinal Meningitis - Epilepsy - Swelling - Leukoderma - Leprosy </t>
  </si>
  <si>
    <t xml:space="preserve">Thrombosis - Sun-stroke - Unconscious - Eye trouble </t>
  </si>
  <si>
    <t>03"40'00"</t>
  </si>
  <si>
    <t>04"46'40',</t>
  </si>
  <si>
    <t xml:space="preserve">Boils - Thrombosis - Headache - Trouble in Aorta - Neuralgia - Regurgitation in heart </t>
  </si>
  <si>
    <t>04"46',40',</t>
  </si>
  <si>
    <t>Epilepsy - Heart disease - Locomotor Ataxia - Inter-spinal muscles - Spinal marrow</t>
  </si>
  <si>
    <t xml:space="preserve">Blood poisoning - Meningitis - Dorsal vertebrae </t>
  </si>
  <si>
    <t>Cancer - Congestion - Regurgitation - Enlargement of Heart</t>
  </si>
  <si>
    <t xml:space="preserve">Rheumatic fever - Rheumatic Heart - Affliction of bony system - Chronic ailment - High fever - Smallpox - Irregular menses - defect in generative system - Abortion - Childless </t>
  </si>
  <si>
    <t>11"26',40"</t>
  </si>
  <si>
    <t xml:space="preserve">Nervous trouble - Palpitation of heart - Meningities - Giddiness – Pestilence - Barren - Childless </t>
  </si>
  <si>
    <t>Eye defect</t>
  </si>
  <si>
    <t>Eye defect - Palpitation of heart - Bright’s Disease</t>
  </si>
  <si>
    <t>17'20',00"</t>
  </si>
  <si>
    <t xml:space="preserve">Diseases of Ovaries - Enlarged Tonsils - Mucous Disease </t>
  </si>
  <si>
    <t>17"20'00"</t>
  </si>
  <si>
    <t>Venereal Disease - Cataract</t>
  </si>
  <si>
    <t xml:space="preserve">Eye soar - Reddish eyes </t>
  </si>
  <si>
    <t xml:space="preserve">Bad blood - Blood obstructions - Fever - Boils - Tumours - Inflammations </t>
  </si>
  <si>
    <t>21"53',20"</t>
  </si>
  <si>
    <t xml:space="preserve">Weakness - Poisoning - Pain in the ducts </t>
  </si>
  <si>
    <t>24"00'00"</t>
  </si>
  <si>
    <t>25"53'20'</t>
  </si>
  <si>
    <t xml:space="preserve">Palpitation of Heart - Pains in the back - Nervous debility </t>
  </si>
  <si>
    <t xml:space="preserve">Cataract - Nose trouble </t>
  </si>
  <si>
    <t xml:space="preserve">Brain fever - Heart trouble - Palpitation of heart - spinal trouble - spinal meningitis - Sub-stroke - Eye trouble - Typhoid </t>
  </si>
  <si>
    <t>27"20'00"</t>
  </si>
  <si>
    <t>28"26'40"</t>
  </si>
  <si>
    <t>Blood Pressure - Dropsy - Facial eruption - Poxes - Dysentery - Boils – Pustulation</t>
  </si>
  <si>
    <t>29'13'20"</t>
  </si>
  <si>
    <t xml:space="preserve">Pain in back - Venereal Distemper - Cardinal thrombosis - Pain in head - Epilepsy - Meningitis - Fits - Injury in head and chest </t>
  </si>
  <si>
    <t>29"13'20'</t>
  </si>
  <si>
    <t>Heart disease - Giddiness - Higher Fever - Palpitation - Regurgitation – Plague</t>
  </si>
  <si>
    <t>Virgo</t>
  </si>
  <si>
    <t>00'00'00"</t>
  </si>
  <si>
    <t>01'13'20"</t>
  </si>
  <si>
    <t>Intestinal and Abdominal troubles - Typhoid - Cough due to Gas - Nervous debility</t>
  </si>
  <si>
    <t>L07</t>
  </si>
  <si>
    <t>01"13'20"</t>
  </si>
  <si>
    <t>Flatulence - Over eating - Poor assimilation of food</t>
  </si>
  <si>
    <t xml:space="preserve">Worms - Tapeworm - Anaemic </t>
  </si>
  <si>
    <t xml:space="preserve">Nervous breakdown - Ulcer in stomach and mouth - Irregular food. </t>
  </si>
  <si>
    <t>07"46',40"</t>
  </si>
  <si>
    <t xml:space="preserve">Food poisoning - Diarrhoea - Sprue </t>
  </si>
  <si>
    <t>07'46'40"</t>
  </si>
  <si>
    <t>10'00'00"</t>
  </si>
  <si>
    <t xml:space="preserve">Nervous debility - Vitamin B deficiency - Gastric trouble </t>
  </si>
  <si>
    <t>Intestine and Chest troubles - Hypochondria - Chyle defective</t>
  </si>
  <si>
    <t>11'06'40"</t>
  </si>
  <si>
    <t xml:space="preserve">Bleeding Piles - Irrigation - Ulcer in intestines </t>
  </si>
  <si>
    <t xml:space="preserve">Typhoid - Jaundice </t>
  </si>
  <si>
    <t xml:space="preserve">Diarrhoea - Cancer in intestines - Poor assimilation </t>
  </si>
  <si>
    <t>17"46',40"</t>
  </si>
  <si>
    <t xml:space="preserve">Constipation - Flatulence - Pain - Chronic Disease - Gas trouble </t>
  </si>
  <si>
    <t>Poor digestion - Irregular food - Bowels disorder</t>
  </si>
  <si>
    <t>20"26',40"</t>
  </si>
  <si>
    <t xml:space="preserve">Dull Liver - Hysteria </t>
  </si>
  <si>
    <t xml:space="preserve">Round worms - Worms - Bowels disorder </t>
  </si>
  <si>
    <t>23"20',00"</t>
  </si>
  <si>
    <t xml:space="preserve">Dull Liver - Poor digestion - Jaundice </t>
  </si>
  <si>
    <t>23'20'00"</t>
  </si>
  <si>
    <t xml:space="preserve">Ulcer in intestine - Duodenal Ulcer - Careful in diet </t>
  </si>
  <si>
    <t>24'06'40"</t>
  </si>
  <si>
    <t>26'06'40"</t>
  </si>
  <si>
    <t xml:space="preserve">Dirty pimples - Trouble in veins </t>
  </si>
  <si>
    <t>27'53'20"</t>
  </si>
  <si>
    <t xml:space="preserve">Cancer - Fattiness </t>
  </si>
  <si>
    <t xml:space="preserve">Hook worms - Constipation - Bad Health - Chronic Disease </t>
  </si>
  <si>
    <t>Libra</t>
  </si>
  <si>
    <t>01"53',20"</t>
  </si>
  <si>
    <t xml:space="preserve">Hernia - Removal of Uterus </t>
  </si>
  <si>
    <t xml:space="preserve">Spinal affection - Ulcer </t>
  </si>
  <si>
    <t xml:space="preserve">Appendicitis </t>
  </si>
  <si>
    <t>04"53',20"</t>
  </si>
  <si>
    <t xml:space="preserve">Ulcer in Urinary tract - Sexual urge </t>
  </si>
  <si>
    <t>06"40'00"</t>
  </si>
  <si>
    <t xml:space="preserve">Periods trouble in Women - Susceptible to all diseases </t>
  </si>
  <si>
    <t>08'40'00'</t>
  </si>
  <si>
    <t xml:space="preserve">Urinary trouble - Appendicitis </t>
  </si>
  <si>
    <t>08"40'00'</t>
  </si>
  <si>
    <t>10"26',40"</t>
  </si>
  <si>
    <t>Moles - Skin trouble - Ear trouble – Mumps</t>
  </si>
  <si>
    <t>12"33'20"</t>
  </si>
  <si>
    <t xml:space="preserve">Appendicitis - Pus in the ear </t>
  </si>
  <si>
    <t xml:space="preserve">Hiccough - Urinary trouble </t>
  </si>
  <si>
    <t>14'26'40"</t>
  </si>
  <si>
    <t xml:space="preserve">Appendicitis - Eczema - Leprosy </t>
  </si>
  <si>
    <t>Ear trouble - Hernia - Urinary trouble</t>
  </si>
  <si>
    <t>18"06'40"</t>
  </si>
  <si>
    <t xml:space="preserve">Pain in Hips - Skin trouble - Hernia </t>
  </si>
  <si>
    <t>18'06'40"</t>
  </si>
  <si>
    <t>19'13'20"</t>
  </si>
  <si>
    <t xml:space="preserve">Ulcer in Uterus - Eczema </t>
  </si>
  <si>
    <t>20"00'00"</t>
  </si>
  <si>
    <t xml:space="preserve">Skin and Kidney trouble - Leprosy </t>
  </si>
  <si>
    <t xml:space="preserve">Cancer - Hernia - Enlargement of glands in lower abdominal region </t>
  </si>
  <si>
    <t xml:space="preserve">Chronic diseases - Kidney - Loins trouble - Removal of Uterus </t>
  </si>
  <si>
    <t xml:space="preserve">Skin eruptions - Diabetes - Kidney troubles </t>
  </si>
  <si>
    <t>26"33'20"</t>
  </si>
  <si>
    <t xml:space="preserve">Abortion - Bladder and Rectum troubles </t>
  </si>
  <si>
    <t xml:space="preserve">Diabetes - Renal abscess - Kidney trouble </t>
  </si>
  <si>
    <t>29'26'40"</t>
  </si>
  <si>
    <t xml:space="preserve">Renal Abscess - Giddiness -Nervousness - Liver complaints - Weak chest and stomach </t>
  </si>
  <si>
    <t xml:space="preserve">Troubles in Kidney and Bladder - Pus in urine </t>
  </si>
  <si>
    <t>Scorpio</t>
  </si>
  <si>
    <t>00"33',20"</t>
  </si>
  <si>
    <t xml:space="preserve">Disease in bladder - Profuse bleeding </t>
  </si>
  <si>
    <t xml:space="preserve">Prostrate glands - Venereal Distemper </t>
  </si>
  <si>
    <t>03"20'00"</t>
  </si>
  <si>
    <t xml:space="preserve">Urinary infection - Excess of bleeding - Urethral Abscess </t>
  </si>
  <si>
    <t>05"26',40"</t>
  </si>
  <si>
    <t xml:space="preserve">Piles - Ovary diseases - Scanty monthly flow to ladies </t>
  </si>
  <si>
    <t xml:space="preserve">Gravel stone in bladder - Adenoids </t>
  </si>
  <si>
    <t xml:space="preserve">Pain in hips - Naval bones - Cuts and wounds in Rectum - Boils around sexual organs </t>
  </si>
  <si>
    <t xml:space="preserve">Venereal distemper - Boils - Constipation - Piles - Phlegm fracture of naval bone </t>
  </si>
  <si>
    <t>11"00'00"</t>
  </si>
  <si>
    <t xml:space="preserve">Diseases of generative organs - Boils - Itches around rectum </t>
  </si>
  <si>
    <t>11'00'00"</t>
  </si>
  <si>
    <t>12"06'40"</t>
  </si>
  <si>
    <t xml:space="preserve">Pus in wounds and cuts - gonorrhoea - Chronic ailment - Renal stone </t>
  </si>
  <si>
    <t>12'06'40"</t>
  </si>
  <si>
    <t xml:space="preserve">Bleeding piles - Boils - Chronic ailments - Stone in bladder - Bone fracture </t>
  </si>
  <si>
    <t>14"53'20"</t>
  </si>
  <si>
    <t xml:space="preserve">Diseases of Rectum and Genitals - Syphilis - Pus in Genitals </t>
  </si>
  <si>
    <t>14'53',20"</t>
  </si>
  <si>
    <t xml:space="preserve">Cancer - Incurable diseases in sex organs </t>
  </si>
  <si>
    <t>18"33',20"</t>
  </si>
  <si>
    <t xml:space="preserve">Nervous break down of the genitals - Hernia - Piles </t>
  </si>
  <si>
    <t>18"33'20"</t>
  </si>
  <si>
    <t>19"20'00"</t>
  </si>
  <si>
    <t xml:space="preserve">Itches - Boils around Sex organs and Rectum </t>
  </si>
  <si>
    <t xml:space="preserve">Fistula - Venereal Distemper - Complicated diseases around navel and sex organs </t>
  </si>
  <si>
    <t>21"33'20"</t>
  </si>
  <si>
    <t xml:space="preserve">Violent Hysteria - Sperm around genitals </t>
  </si>
  <si>
    <t xml:space="preserve">Fistula - Bleeding piles - Fisher in rectum </t>
  </si>
  <si>
    <t xml:space="preserve">Stone in Bladder - Kidney - surgery in womb or ovaries </t>
  </si>
  <si>
    <t xml:space="preserve">Typhoid - Boils around rectum - Pus in genitals - Injury in hip bones </t>
  </si>
  <si>
    <t xml:space="preserve">Incurable and complicated disease - Cancer in genitals </t>
  </si>
  <si>
    <t xml:space="preserve">Injury in Hip bones - Chronic Piles - Stone in Bladder </t>
  </si>
  <si>
    <t>Sagittarius</t>
  </si>
  <si>
    <t>00'46'40"</t>
  </si>
  <si>
    <t xml:space="preserve">Delayed menses - Barren - Abortion - Lung troubles - Asthma - Hiccough </t>
  </si>
  <si>
    <t>00"46'40</t>
  </si>
  <si>
    <t xml:space="preserve">Diabetes - Lumbago - Pulmonary troubles </t>
  </si>
  <si>
    <t xml:space="preserve">Lumbago - Hip troubles - Pulmonary diseases </t>
  </si>
  <si>
    <t>03"40',00"</t>
  </si>
  <si>
    <t xml:space="preserve">TB - Pulmonary trouble - Locomotor Locomotor Ataxia </t>
  </si>
  <si>
    <t>04'46'40"</t>
  </si>
  <si>
    <t>05'53'20"</t>
  </si>
  <si>
    <t xml:space="preserve">Invalid - Eosinophilia - Blood poison - Abortion </t>
  </si>
  <si>
    <t>05"53'20"</t>
  </si>
  <si>
    <t xml:space="preserve">TB - Pulmonary trouble - Lumbago </t>
  </si>
  <si>
    <t xml:space="preserve">Lumbago - trouble in lungs - cancer </t>
  </si>
  <si>
    <t xml:space="preserve">Fracture in Hip - Rheumatic Pain - Asthma </t>
  </si>
  <si>
    <t>13'20'00"</t>
  </si>
  <si>
    <t>Trouble in lungs - Asthma - Locomotor Ataxia</t>
  </si>
  <si>
    <t>Diabetes</t>
  </si>
  <si>
    <t xml:space="preserve">Hiccough - Gout - Swelling on the knee </t>
  </si>
  <si>
    <t>Ear trouble - Pus in the ear - Diabetes - TB - Slow recovery</t>
  </si>
  <si>
    <t xml:space="preserve">Vomiting of Blood - Swelling above the knee </t>
  </si>
  <si>
    <t>20'06'40"</t>
  </si>
  <si>
    <t>Sacral and Spinal troubles - Diseases in veins - Cancer in lungs</t>
  </si>
  <si>
    <t>21'53'20"</t>
  </si>
  <si>
    <t>Cancer in lungs - diabetes - Trouble in knee and thigh bones</t>
  </si>
  <si>
    <t>24'00'00"</t>
  </si>
  <si>
    <t xml:space="preserve">Asthma - Fracture of hips and bones - Weak sperms - Abortions </t>
  </si>
  <si>
    <t xml:space="preserve">Nervous break down of thighs and hips - Diabetes </t>
  </si>
  <si>
    <t>25"53',20"</t>
  </si>
  <si>
    <t>Sacral and Spinal troubles - Pain in thighs &amp; hips</t>
  </si>
  <si>
    <t>26'40'00"</t>
  </si>
  <si>
    <t xml:space="preserve">Trouble in thighs - Eye diseases </t>
  </si>
  <si>
    <t xml:space="preserve">Sudden death - Bleeding Piles - trouble in bowels </t>
  </si>
  <si>
    <t>28"26'40</t>
  </si>
  <si>
    <t xml:space="preserve">Injuries - Venereal Distemper - High fever - Fracture in arms </t>
  </si>
  <si>
    <t>29"13'20"</t>
  </si>
  <si>
    <t xml:space="preserve">Complicated troubles in thighs and arteries - Paralysis </t>
  </si>
  <si>
    <t>Capricorn</t>
  </si>
  <si>
    <t xml:space="preserve">Trouble in knee caps - Injuries - Fracture of thigh bones </t>
  </si>
  <si>
    <t xml:space="preserve">Trouble in knee cap - Chronic Gout - Cancer in Chest </t>
  </si>
  <si>
    <t>Ever in danger - Bone diseases - Chronic ailments - Bushy eye brows and profuse hair growth - Eosinophilia - Pneumonia - Heart failure – Thin – Lean</t>
  </si>
  <si>
    <t>07'00'00"</t>
  </si>
  <si>
    <t xml:space="preserve">Chronic sickness - Nervous debility - Affected speech - Asthma - Heart attack </t>
  </si>
  <si>
    <t xml:space="preserve">Heart attack - Congestion in heart - Infantile death - Uncertain heart beat </t>
  </si>
  <si>
    <t xml:space="preserve">Fair - Chronic Skin Diseases - Trouble in knee cap </t>
  </si>
  <si>
    <t>Short life - Pus in knee cap - Gout - Dislocation of knee cap - Water in lower part of lungs -Pus in chest - Injury in nibs</t>
  </si>
  <si>
    <t xml:space="preserve">Accidents - Injuries - Trouble in knee caps - Blood poison - Blood clotting in heart - Deficiency of blood Corpuscles </t>
  </si>
  <si>
    <t>11'53'20"</t>
  </si>
  <si>
    <t xml:space="preserve">Eczema - Leprosy - TB - Digestive troubles </t>
  </si>
  <si>
    <t>Cancer in lung - Lymphatic trouble - Skin diseases</t>
  </si>
  <si>
    <t xml:space="preserve">Short life - Pus in lungs - Injury to knee &amp; lungs - Profuse hair growth on head and breast </t>
  </si>
  <si>
    <t>15'40',00"</t>
  </si>
  <si>
    <t xml:space="preserve">Nervous weakness - Chronic mental patient - Stomach pain disorder </t>
  </si>
  <si>
    <t>17"46',40</t>
  </si>
  <si>
    <t>19"40',00"</t>
  </si>
  <si>
    <t xml:space="preserve">Infantile death - Knee trouble - Skin diseases - Eczema - Boils - Ugly skin </t>
  </si>
  <si>
    <t>19'40',00"</t>
  </si>
  <si>
    <t>20"46'40"</t>
  </si>
  <si>
    <t>22"40',00"</t>
  </si>
  <si>
    <t xml:space="preserve">Diabetes - Pus in bones - TB - Poor digestion </t>
  </si>
  <si>
    <t>Short life - Heart attack - Eosinophilia - Chronic headache - Injury to knees - Pus in knee cap</t>
  </si>
  <si>
    <t xml:space="preserve">Injury to knee - Deficiency of Red Corpuscles - Anaemia </t>
  </si>
  <si>
    <t xml:space="preserve">Pain in knee cap - Bone troubles - Injury to legs - Dry cough - gout - Amputation </t>
  </si>
  <si>
    <t xml:space="preserve">Hiccough - Gout - Pain in bones - Cancer in bones </t>
  </si>
  <si>
    <t xml:space="preserve">Bones and Knees trouble - Boils - Gout - chronic bone ailments </t>
  </si>
  <si>
    <t>Aquarius</t>
  </si>
  <si>
    <t xml:space="preserve">Arthritis - Running pain in body - Rheumatism - Bowels disorder </t>
  </si>
  <si>
    <t xml:space="preserve">Leg Fracture - Varicose Veins - Cardiac troubles </t>
  </si>
  <si>
    <t>Pain and swelling in legs and knees - Heart troubles</t>
  </si>
  <si>
    <t>04"53'20'</t>
  </si>
  <si>
    <t xml:space="preserve">Blood inflammation - Renal Disorder - Gravel - Stones - Strangury </t>
  </si>
  <si>
    <t>06"40'20"</t>
  </si>
  <si>
    <t xml:space="preserve">Hysteria - Boils - Swellings - Pain in legs and Secret parts </t>
  </si>
  <si>
    <t xml:space="preserve">Pain in knees - Rheumatism </t>
  </si>
  <si>
    <t xml:space="preserve">Eczema - Cancer in leg - High blood-pressure </t>
  </si>
  <si>
    <t>12"33',20',</t>
  </si>
  <si>
    <t xml:space="preserve">Asthma - Pus in bones - Palpitation of heart </t>
  </si>
  <si>
    <t xml:space="preserve">Nervous troubles in the leg - Eczema - Injury to calf-muscles </t>
  </si>
  <si>
    <t xml:space="preserve">Septic wounds in legs - Swelling in calf muscles </t>
  </si>
  <si>
    <t xml:space="preserve">Pain in Ankles - calf muscles - Oozing Eczema - Fracture - Disfiguration of calf muscles </t>
  </si>
  <si>
    <t xml:space="preserve">Pain in knees and legs - Boils on calf muscles </t>
  </si>
  <si>
    <t xml:space="preserve">Eczema - Blood Pressure - Palpitation of heart </t>
  </si>
  <si>
    <t xml:space="preserve">Fracture in legs - Waste of blood - Blood Pressure </t>
  </si>
  <si>
    <t xml:space="preserve">Lumbago - Hip pains - Cancer in legs </t>
  </si>
  <si>
    <t>21"46',40"</t>
  </si>
  <si>
    <t xml:space="preserve">Head the Teeth disorder - Lumbago - Hip pains - Ear troubles - Swelling in in legs - Bruises - Sore throat </t>
  </si>
  <si>
    <t>23"53',20"</t>
  </si>
  <si>
    <t xml:space="preserve">Windy pain in the body - Changing from one place to the other - Imaginative - Digestive troubles </t>
  </si>
  <si>
    <t xml:space="preserve">Eczema in ankles - heart trouble - Ugly itches and boils </t>
  </si>
  <si>
    <t xml:space="preserve">Indigestion - Pain in Stomach - Flatulence - Appendicitis - Heart afflicted </t>
  </si>
  <si>
    <t>Enlarged Heart - Palpitation - Low Blood Pressure - Graves</t>
  </si>
  <si>
    <t>29"26',40"</t>
  </si>
  <si>
    <t xml:space="preserve">Epilepsy - Hysteria - Fits - Lumbago - Pain in Lower abdomen - Irregular Menses </t>
  </si>
  <si>
    <t>Pisces</t>
  </si>
  <si>
    <t xml:space="preserve">Liver trouble - Tumour in abdomen - Trouble in intestine </t>
  </si>
  <si>
    <t xml:space="preserve">Enlarged liver - Hernia - Jaundice - Corns in hands and feet </t>
  </si>
  <si>
    <t>Sudden pain in feet and toes - Gout - Swelling - Hernia - Sprue - Abdominal Tumour</t>
  </si>
  <si>
    <t xml:space="preserve">Chronic ailments in feet - Constipation - Flatulence - dropsy </t>
  </si>
  <si>
    <t>05'26'40"</t>
  </si>
  <si>
    <t xml:space="preserve">Malaria - Round Worms - Hook Worms </t>
  </si>
  <si>
    <t>07"20'o0"</t>
  </si>
  <si>
    <t xml:space="preserve">Dropsy - Rheumatic pains in feet - Flatulence - Ugly itches in foot </t>
  </si>
  <si>
    <t>10'20'00"</t>
  </si>
  <si>
    <t xml:space="preserve">Chronic ailment - Internal parts damaged - Pus in feet - Ailments </t>
  </si>
  <si>
    <t xml:space="preserve">Sunstroke - Boils in feet </t>
  </si>
  <si>
    <t>Lymphatic troubles - Intestinal disorders - Varicose veins - constipation complaints of liquor</t>
  </si>
  <si>
    <t>12'53',20"</t>
  </si>
  <si>
    <t xml:space="preserve">Small-pox - Ulcer in intestine - Hernia - Appendicitis </t>
  </si>
  <si>
    <t xml:space="preserve">Rheumatic pains - Hernia - Dropsy - TB </t>
  </si>
  <si>
    <t>16'40'00"</t>
  </si>
  <si>
    <t xml:space="preserve">Impotency - Constipation - Nausea - Cancer </t>
  </si>
  <si>
    <t xml:space="preserve">Vitamin 'B’ deficiency - Lack of enzymes - Dyspepsia </t>
  </si>
  <si>
    <t xml:space="preserve">Eczema in feet and toes - Deformity of feet - Cramps - Gout - Intestinal disorders </t>
  </si>
  <si>
    <t>21"33'20'</t>
  </si>
  <si>
    <t xml:space="preserve">Eye diseases - Nervous disorders - Hysteria - Injuries </t>
  </si>
  <si>
    <t>22"13'20"</t>
  </si>
  <si>
    <t xml:space="preserve">Eye diseases - Heart afflicted - Hypertension - Low Blood Pressure - Cardiac, thrombosis - Fever - Typhoid - Epilepsy - Sunstroke </t>
  </si>
  <si>
    <t xml:space="preserve">Nervous and Digestive troubles - Eye troubles - Asthma - Cold - Cough - Colic pain - Worms - Typhoid - Gastric troubles </t>
  </si>
  <si>
    <t>Fits - Epilepsy - Brain disorders - Piles – Tissues</t>
  </si>
  <si>
    <t>26"06'40'</t>
  </si>
  <si>
    <t xml:space="preserve">Abdominal disorders - Sudden pain in feet and toes - Ulcer in stomach - Jaundice </t>
  </si>
  <si>
    <t>jupiter</t>
  </si>
  <si>
    <t xml:space="preserve">Dyspepsia - Heart trouble - Liver complaints - Jaundice - Abscess - Dermatitis - Catarrh - Carbuncles </t>
  </si>
  <si>
    <t>27"53'20</t>
  </si>
  <si>
    <t xml:space="preserve">Ear trouble - Deafness - Pus in the ear - Defective speech - Paralysis </t>
  </si>
  <si>
    <t>3rd Mindset</t>
  </si>
  <si>
    <t xml:space="preserve">Fears - Anxiety - Jealousy </t>
  </si>
  <si>
    <t>worried about other women</t>
  </si>
  <si>
    <t xml:space="preserve">Effeminate </t>
  </si>
  <si>
    <t>Worries about lands and cultivation, Dispute in the family</t>
  </si>
  <si>
    <t>Dispute and Violence</t>
  </si>
  <si>
    <t xml:space="preserve">Irritable and quarrel-some - Fear of black magic </t>
  </si>
  <si>
    <t xml:space="preserve">Accident Prone - Fearful of Law - Fear of animals - Averse to blood </t>
  </si>
  <si>
    <t>Fear of black magic - Argumentative - Adament</t>
  </si>
  <si>
    <t xml:space="preserve">Quarrel-some </t>
  </si>
  <si>
    <t>Amourous and fond of pleasure and chain- smoker.</t>
  </si>
  <si>
    <t>Bad habits - Will carry-out his affairs to the end -Magnanimous</t>
  </si>
  <si>
    <t>Fond of hot - drinks - avaricious and wanting it character - Clever.</t>
  </si>
  <si>
    <t>Ever active and healthy - Fond of pleasure.</t>
  </si>
  <si>
    <t>Aspiring and low-born</t>
  </si>
  <si>
    <t xml:space="preserve">Escapes of accidents - Indulges in pleasure - Clever - Happy - Higher studies and wisdom </t>
  </si>
  <si>
    <t>Low-born - Fond of other ladies -Meet with accidents.</t>
  </si>
  <si>
    <t>Wavering</t>
  </si>
  <si>
    <t>Thief - Sharp - Eye for detail</t>
  </si>
  <si>
    <t>Bold – Active</t>
  </si>
  <si>
    <t xml:space="preserve">Muscular - Pushy type - and competitive nature </t>
  </si>
  <si>
    <t xml:space="preserve">Robust health - Commanding - Argumentative </t>
  </si>
  <si>
    <t>Commanding - Eat much - Fond of other's wives</t>
  </si>
  <si>
    <t>Speculative – Selfish</t>
  </si>
  <si>
    <t xml:space="preserve">Social – Generous - Cheerful - Wins enemies </t>
  </si>
  <si>
    <t>Selfish - dishonest - Loss by bad debts</t>
  </si>
  <si>
    <t>Intelligent - Cheerful - Fit for business - Creative ability</t>
  </si>
  <si>
    <t xml:space="preserve">Discourteous - ill-repute - inimical - Jealous </t>
  </si>
  <si>
    <t>Speculative mind - Popular - Prosperous</t>
  </si>
  <si>
    <t>Pleasing manners - Sweet voice - Lovely appearance</t>
  </si>
  <si>
    <t>Fond of other sex – Aggressive</t>
  </si>
  <si>
    <t>Unsettled mind - Lack of manners - Lives on other's money</t>
  </si>
  <si>
    <t>Sympathetic - Steady - Maternal affection - Charm – Higher Education</t>
  </si>
  <si>
    <t>Selfish - Timid - Mischievous - Stealthy</t>
  </si>
  <si>
    <t>Enjoyment nature - Speaker - Agreeable on both sides</t>
  </si>
  <si>
    <t>Wavering - Worried - Fear Complex</t>
  </si>
  <si>
    <t xml:space="preserve">Charm - Sweet talk - Humorous - Imaginative </t>
  </si>
  <si>
    <t>Light reading - Sex with many women</t>
  </si>
  <si>
    <t>Excited - One sided sex - Selfish</t>
  </si>
  <si>
    <t>Lack of manners</t>
  </si>
  <si>
    <t>Good manners - Learned</t>
  </si>
  <si>
    <t>Shameless - Naughty</t>
  </si>
  <si>
    <t>Alert - Energetic</t>
  </si>
  <si>
    <t>Excited - Bad talks</t>
  </si>
  <si>
    <t>Quick - Imaginative - Sharp - Wealthy - Sexy</t>
  </si>
  <si>
    <t>Excited - Fluent - Eloquent</t>
  </si>
  <si>
    <t>Impulsive and mischievous</t>
  </si>
  <si>
    <t>Liar - Ungrateful - Sinful</t>
  </si>
  <si>
    <t>Ingenious - Scholar - Character-Reader</t>
  </si>
  <si>
    <t>Cheating nature - Poor Education</t>
  </si>
  <si>
    <t>Active – Critical</t>
  </si>
  <si>
    <t>Cruel - Rogue - Ungrateful - Petition writer – Childless</t>
  </si>
  <si>
    <t>Ingenious – Humorous</t>
  </si>
  <si>
    <t>Cruel - Perfidious - Art of Boggling</t>
  </si>
  <si>
    <t>Intuition – Thief</t>
  </si>
  <si>
    <t>Murderer - Lobber - Rogue – Mischievous</t>
  </si>
  <si>
    <t>Broad outlook - Proper Judgement - True and Rich</t>
  </si>
  <si>
    <t>Wise – Sincere</t>
  </si>
  <si>
    <t xml:space="preserve">Active - Ingenious - Scholar </t>
  </si>
  <si>
    <t>Religious - Poor Judgement - Pessimistic - Worried</t>
  </si>
  <si>
    <t xml:space="preserve">Good memory - Proper judgment - Intelligent - easily convinced </t>
  </si>
  <si>
    <t xml:space="preserve">Broad outlook - Clear in thought </t>
  </si>
  <si>
    <t>Good Memory - Intuition</t>
  </si>
  <si>
    <t>Imaginative - Honest - Forging nature – Sympathetic</t>
  </si>
  <si>
    <t xml:space="preserve">Lover of beauty - Good argument -good vitality and fertility - Rich </t>
  </si>
  <si>
    <t xml:space="preserve">Reliable - Compassionate </t>
  </si>
  <si>
    <t>Self reliance - Intelligent – Systematic</t>
  </si>
  <si>
    <t xml:space="preserve">Timid and Fear complex </t>
  </si>
  <si>
    <t>Prudent and Careful - Liked by all - Wealthy</t>
  </si>
  <si>
    <t xml:space="preserve">Learned - Methodical - Attains Positions of Trust </t>
  </si>
  <si>
    <t xml:space="preserve">Attentive - Contemplative </t>
  </si>
  <si>
    <t>Cold - Grounded - Earthy - Loves hair</t>
  </si>
  <si>
    <t>Fearing - Irresponsible</t>
  </si>
  <si>
    <t xml:space="preserve">Economical - Conservative - Wealthy - Virtuous </t>
  </si>
  <si>
    <t>Versatile - Quick wits. - Mimicry - clown - Fond of travel – Hypocrite</t>
  </si>
  <si>
    <t xml:space="preserve">Learns all languages - Ungrateful - Sinful - Failures </t>
  </si>
  <si>
    <t xml:space="preserve">Drunkenness - Imitate others in music, art - insincere - Fond of other's company and Picnic </t>
  </si>
  <si>
    <t xml:space="preserve">Nervous - Timid </t>
  </si>
  <si>
    <t xml:space="preserve">Versatile - Mimicry - Drunkenness </t>
  </si>
  <si>
    <t xml:space="preserve">Correspondent - Travel Agents </t>
  </si>
  <si>
    <t xml:space="preserve">Copious in speech - Fond of Travel </t>
  </si>
  <si>
    <t xml:space="preserve">Learns art and literature - fond of Travel - Grateful </t>
  </si>
  <si>
    <t xml:space="preserve">Windiness - Deceitful - Underhand dealings </t>
  </si>
  <si>
    <t xml:space="preserve">Selfish - Fearing - Dreams </t>
  </si>
  <si>
    <t xml:space="preserve">Pleasing - Good manners </t>
  </si>
  <si>
    <t>Truthful - Reserved</t>
  </si>
  <si>
    <t xml:space="preserve">Confused - Brooding over </t>
  </si>
  <si>
    <t xml:space="preserve">Like disputes and litigations </t>
  </si>
  <si>
    <t xml:space="preserve">Black magic - Fear - depression - Disharmony </t>
  </si>
  <si>
    <t xml:space="preserve">Religious - Philosophical - Learned </t>
  </si>
  <si>
    <t>Slow - Dull - Dirty</t>
  </si>
  <si>
    <t xml:space="preserve">Nervous - Talkative </t>
  </si>
  <si>
    <t>Fond of company - Charming - Generous - Courteous</t>
  </si>
  <si>
    <t xml:space="preserve">Generous - Amiable - Affectionate </t>
  </si>
  <si>
    <t xml:space="preserve">Pleasing - Love Affairs - Social - Charming </t>
  </si>
  <si>
    <t xml:space="preserve">Fond of pleasure Adventure - Amorous - Artistic - Extravagant - Wastes money - Independent </t>
  </si>
  <si>
    <t xml:space="preserve">Selfish - Speculative </t>
  </si>
  <si>
    <t xml:space="preserve">Generous - Cheerful </t>
  </si>
  <si>
    <t xml:space="preserve">Selfish - Dishonest </t>
  </si>
  <si>
    <t xml:space="preserve">Intelligent - Cheerful - Creative mind </t>
  </si>
  <si>
    <t xml:space="preserve">Discourteous </t>
  </si>
  <si>
    <t>Affectionate - Quick recovery of health - Passionate – Commanding</t>
  </si>
  <si>
    <t>Fast action - Quick judgment</t>
  </si>
  <si>
    <t xml:space="preserve">Good health and appearance - Fair - Energetic - Bold - Violent - Wealthy - Tendency to boss over - Donates land - Higher education - Frequent long journey </t>
  </si>
  <si>
    <t>Leading tendency - Over sexual</t>
  </si>
  <si>
    <t xml:space="preserve">Careless about diet - Nervous </t>
  </si>
  <si>
    <t>Doesn't acre about eating</t>
  </si>
  <si>
    <t xml:space="preserve">Careless about diet - Eats anything and everything </t>
  </si>
  <si>
    <t xml:space="preserve">Intelligent - Sentimental. </t>
  </si>
  <si>
    <t xml:space="preserve">Fear Complex </t>
  </si>
  <si>
    <t xml:space="preserve">Very active </t>
  </si>
  <si>
    <t xml:space="preserve">Unnecessary brooding </t>
  </si>
  <si>
    <t xml:space="preserve">Prefers hot drinks and food </t>
  </si>
  <si>
    <t xml:space="preserve">Fond of Travel - Ungrateful </t>
  </si>
  <si>
    <t xml:space="preserve">Over eating - Fond of travel - Grateful </t>
  </si>
  <si>
    <t xml:space="preserve">Bad thinking and Bad Advisor </t>
  </si>
  <si>
    <t xml:space="preserve">Uneasy and Restless </t>
  </si>
  <si>
    <t xml:space="preserve">Ungrateful </t>
  </si>
  <si>
    <t xml:space="preserve">Fond of travel - Insincere </t>
  </si>
  <si>
    <t xml:space="preserve">Bold and courageous </t>
  </si>
  <si>
    <t xml:space="preserve">Saves money - Find fault with others </t>
  </si>
  <si>
    <t xml:space="preserve">Fear - Depression - Unhappy </t>
  </si>
  <si>
    <t xml:space="preserve">Very quick and commercial minded </t>
  </si>
  <si>
    <t xml:space="preserve">Hard worker - Miser - Timid - Forgery </t>
  </si>
  <si>
    <t xml:space="preserve">Intuition - Brilliant - Boring the people with meticulous details - Good Lover </t>
  </si>
  <si>
    <t xml:space="preserve">Jealous </t>
  </si>
  <si>
    <t xml:space="preserve">Fond of opposite sex - Helps others - Pleasing - Sincere </t>
  </si>
  <si>
    <t xml:space="preserve">Good Health </t>
  </si>
  <si>
    <t xml:space="preserve">Fertile imagination - Gentle - Lovable </t>
  </si>
  <si>
    <t xml:space="preserve">Liar - Ungrateful </t>
  </si>
  <si>
    <t xml:space="preserve">Ingenious - Scholar </t>
  </si>
  <si>
    <t xml:space="preserve">Poor - Wicked - Slow grasping </t>
  </si>
  <si>
    <t xml:space="preserve">Critic - Active mind - Intelligent </t>
  </si>
  <si>
    <t xml:space="preserve">Adulterer - Cruel minded - Ungrateful - Petition Writer </t>
  </si>
  <si>
    <t xml:space="preserve">Ingenious - Humorous </t>
  </si>
  <si>
    <t xml:space="preserve">Honest - Courteous - Intelligent </t>
  </si>
  <si>
    <t>Sympathetic - Flexible - Sensitive</t>
  </si>
  <si>
    <t xml:space="preserve">Fond of other sex - Loses temper </t>
  </si>
  <si>
    <t xml:space="preserve">True - Honest - Noble - Charming </t>
  </si>
  <si>
    <t xml:space="preserve">Hypocrite - Diplomatic - Selfish - Unreliable </t>
  </si>
  <si>
    <t xml:space="preserve">Twin Birth - Good Master - Pleasing - Tactful - Enjoys life - Lovable - Adviser - Careful in Diet </t>
  </si>
  <si>
    <t xml:space="preserve">Extremist - Influential - Secret enemies </t>
  </si>
  <si>
    <t xml:space="preserve">Pleasing - Sweet manners - Right action - Good-health - Rich </t>
  </si>
  <si>
    <t xml:space="preserve">Charming - Good built - Generous - Magnanimous </t>
  </si>
  <si>
    <t xml:space="preserve">Sweet and pleasing manners - Always active </t>
  </si>
  <si>
    <t xml:space="preserve">Worldly wisdom - Quick - Graceful - Optimistic - Strong likes and dislikes - Fatty and Tall </t>
  </si>
  <si>
    <t>Energetic - Quick recovery from diseases - Commanding appearance - Sharp and curly hair - Muscular body - Never-minds obstacles - Rash, dash and crash - Over critical - Self assertion - Impulsive action - Gets excited - Makes large money - Fortune favours - Expects appreciation from lover</t>
  </si>
  <si>
    <t xml:space="preserve">Over liberal - Extremist - Conservative Criminal Judge - </t>
  </si>
  <si>
    <t xml:space="preserve">Hard working - Gossip - Funky - Lacks sympathy from lover - Less comforts Miserly - Very stingy - Tall - Old look </t>
  </si>
  <si>
    <t xml:space="preserve">Hides Black Money - Wavering - Forgery - Long nose - thin chin - Confident - Successful bargain - Clever - Fifth Columnist </t>
  </si>
  <si>
    <t>Selfish – Cruel</t>
  </si>
  <si>
    <t xml:space="preserve">Fond of other sex - Secretive - Loose character - Addicted to liquor - Pleasant expenses </t>
  </si>
  <si>
    <t xml:space="preserve">Steady - Never follows old custom - Black-mailing - Interested in Psychic subjects </t>
  </si>
  <si>
    <t xml:space="preserve">Steady in love affairs - Good personality - Broad face - Meditation - Lazy - Lethargic - Miserly - Reserved - Funky - Interested in mysteries of nature - Proper intuition and action - Muscular body </t>
  </si>
  <si>
    <t xml:space="preserve">Arrogant - Revengeful - Intelligent - Never-minds obstacles </t>
  </si>
  <si>
    <t xml:space="preserve">Dishonest - Unscrupulous - Selfish - Cannot bear hunger </t>
  </si>
  <si>
    <t xml:space="preserve">Clever - Well-built - Good imagination - Will not accept any .theory Thoughtful - Honest -Non-interfering - Learned - Manager - Administrator </t>
  </si>
  <si>
    <t xml:space="preserve">Long nose - Clever - Critical - Sharp - Intelligence - Quick grasping - Reverend </t>
  </si>
  <si>
    <t xml:space="preserve">Excited - Short temper - Selfish and Venomous type </t>
  </si>
  <si>
    <t xml:space="preserve">Fair - Muscular - Frank - Plain - Intuitive - Personality - Earns more and spends more - Fortunate - Sympathetic - Expects appreciation from Partner - Comfortable and smooth life </t>
  </si>
  <si>
    <t xml:space="preserve">Healthy - Round face - Intelligent - Steady - Methodical - Rational Practical- Quick recovery - Steady income and expenditure - Steadiness in love affairs </t>
  </si>
  <si>
    <t xml:space="preserve">Healthy - Wavering - Crosses the floor - Talkative </t>
  </si>
  <si>
    <t xml:space="preserve">Well-built - Short Curly hair - Emotional - Self-assertion - Impulsive - Extravagant - Ever borrowing - Plural purchases </t>
  </si>
  <si>
    <t xml:space="preserve">Murderous - Robber - Rogue - Mischievous </t>
  </si>
  <si>
    <t xml:space="preserve">Hale and Healthy - Stalwart - Talkative - Versatile - Meditation </t>
  </si>
  <si>
    <t>Deepest eyes - Long nose - No cheek-at all No bed comforts and furniture - Interested in mysteries of nature Philosophical -Meditation - Hypnotism - Concentration - Forgery</t>
  </si>
  <si>
    <t xml:space="preserve">Bold - Greedy - God fearing - Karma Yogi - Spends much Loss in speculation - Cares more for society than for family life - gives freedom to wife </t>
  </si>
  <si>
    <t xml:space="preserve">Well-built - Fair - Energetic - Sincere - True - Honest - No Black Money cares- equally for society and home - Very rich </t>
  </si>
  <si>
    <t xml:space="preserve">Well-built - Broad eyes - Aspiring - Ambitious - Honest - good vitality - Good health - Quick recovery - Steady in love affairs </t>
  </si>
  <si>
    <t xml:space="preserve">Charming - Humpy body - Timid - Lack of confidence - Wavering - Lack of decision - Changeable - Not a good lover - Immoral </t>
  </si>
  <si>
    <t>Well-built - Muscular - Optimistic - Bold - Doubtless - Over confident - Makes plenty of money and spend it - Loss in speculation - Wife questionable character</t>
  </si>
  <si>
    <t xml:space="preserve">Unprincipled - Dishonest - Greedy - dirty habits </t>
  </si>
  <si>
    <t>Well-built - Commanding appearance - Ambitious - Confident - Enthusiastic er gets disappointed - Earn by fair means - False prestige - donates much</t>
  </si>
  <si>
    <t xml:space="preserve">High and bushy eye brows - Lean - Weak - Beautiful - Lazy - Lethargic - Failures-obstacles - Philosopher - Black Money - Loss of speculation - Jealousy - Miserly - benefitted by friends - suspects wife and Business partner </t>
  </si>
  <si>
    <t xml:space="preserve">Graceful - Fair - Versatile - Crosses floor - Earns by all means - Black Money - Gains in speculations - Interested in games , gives freedom to wife </t>
  </si>
  <si>
    <t xml:space="preserve">Handsome - Well-built - Wins enemies - More confident - Sincere - Firm - Gains in speculations - Lottery - True to wife - Profits </t>
  </si>
  <si>
    <t>Round face - Broad eyes - Good Complexion - Energetic - Magnanimous -  Journey - Higher studies - Steady income - Gains in speculations - True to wife</t>
  </si>
  <si>
    <t>Unreliable - Many love affairs - Make money by all means - Loss in speculation - Failure - False prestige</t>
  </si>
  <si>
    <t xml:space="preserve">Well-built - Commanding appearance - Most enthusiastic - Greedy - Courageous - Stealthy mind - Quick recovery from illness - Loss in speculation - earn by all means - Most extravagant - temper flares up - Free with Partner - Social - No morals – Lacks integrity </t>
  </si>
  <si>
    <t xml:space="preserve">Over liberal - Gets into financial trouble - Spends too much - wavering - Does not respect the society </t>
  </si>
  <si>
    <t xml:space="preserve">Plump body - Charming - Tall - Gigantic figure - Bold - Pushful - Over confident - Law abiding - True &amp; sincere God-fearing - Religious - Earns by fair means - Good in Art and Music - Drawing </t>
  </si>
  <si>
    <t xml:space="preserve">Very fair and lean - Cannot produce children - Cannot satisfy Partner - Stealthy connections - Black-mailing - Writing anonymous letters - Mean in love affairs </t>
  </si>
  <si>
    <t xml:space="preserve">Long nose - Impressive eyes - Charming - Changing ideas - Very bad subordinates </t>
  </si>
  <si>
    <t>Timid - Womanish - always fearing something</t>
  </si>
  <si>
    <t>Plump body - Round face - Highly qualified - commanding appearance - Quick -recovery from illness - Good vitality</t>
  </si>
  <si>
    <t>Interested in Games and Society - Graceful - Fair - Changeability - Unsteady - Hates parents and relatives - Slowly recovery from illness</t>
  </si>
  <si>
    <t xml:space="preserve">Wastes money - Fortune in abroad - Well proportioned body - Commanding appearance - Fair - Over optimistic avaricious - Energetic - success in Examinations- Loss in speculation -Love affairs with divorcee - High class people - Cheat </t>
  </si>
  <si>
    <t xml:space="preserve">Optimistic - Bad intentions </t>
  </si>
  <si>
    <t xml:space="preserve">Lazy - Lethargic - False prestige </t>
  </si>
  <si>
    <t>Magnanimous - Materialistic - True - Honest - Sincere - Fat and bulky body</t>
  </si>
  <si>
    <t xml:space="preserve">Dishonest - Cheat - Meditation </t>
  </si>
  <si>
    <t>Unlawful - Tall - Fake Currency - Gains from Foreigners/Father - Long journey -Partnership Business - Liar - Inherits property from father or stranger</t>
  </si>
  <si>
    <t xml:space="preserve">Timid - Wavery - Always in trouble </t>
  </si>
  <si>
    <t xml:space="preserve">Thin - Lean - Popular - Deep set eyes - Like loneliness - Unsocial - Secret love affairs - Speculate with others money - Reserved - Talks sweetly </t>
  </si>
  <si>
    <t>Timid - Wavering - Failure in first attempt - Disappointment -Pessimist-Partnership business - Attached to Partner - Bony - Thin and Lean</t>
  </si>
  <si>
    <t xml:space="preserve">Muscular - Popular - Success in Litigation/examination - Partner - a working girl </t>
  </si>
  <si>
    <t xml:space="preserve">Delayed ambition - Confused - Disappointed - Pessimist </t>
  </si>
  <si>
    <t xml:space="preserve">Loss to the native - Partner -Gains - Repaying the loans - Sick partner - Frequent tour - Change of house - Loss of prestige </t>
  </si>
  <si>
    <t xml:space="preserve">Thin - Lean - Bony structure Secretive and depressed mind - Timid - Partner depressed </t>
  </si>
  <si>
    <t xml:space="preserve">Wavering and depressed mind - Tall - Talkative - Shuns crowd - Gains from Foreigner or father or brother-in-law </t>
  </si>
  <si>
    <t xml:space="preserve">Wavering - Timid - Sober - Pessimistic - Contemplating - Funky </t>
  </si>
  <si>
    <t xml:space="preserve">Speculative - Beautiful - Deep set eyes - Profuse hair growth on eyes, head and chest - Immoral - happy - Popular - Musician </t>
  </si>
  <si>
    <t xml:space="preserve">Ever in trouble - Danger to life - slow and steady - Position of trust </t>
  </si>
  <si>
    <t xml:space="preserve">Muscular and thin - Thief - Attacked by Dacoits - Success in examination - Danger to Vehicles </t>
  </si>
  <si>
    <t xml:space="preserve">Selfish - Greedy - Arrogant - Violent - Invite troubles </t>
  </si>
  <si>
    <t xml:space="preserve">Acquires landed property - Ever changing of residence - Superiority complex </t>
  </si>
  <si>
    <t xml:space="preserve">Liar - Dacoit - Thief - Quarrelsome - No principles Thin and muscular body -Secretive - Successful in disputes </t>
  </si>
  <si>
    <t xml:space="preserve">Wavering - Funky - Timid - Nervous - Always confused </t>
  </si>
  <si>
    <t xml:space="preserve">Quarrelsome - Short temper - Fickle minded - Organiser of Clubs </t>
  </si>
  <si>
    <t xml:space="preserve">Fair - Pleasing manners - Social worker - Loved by women </t>
  </si>
  <si>
    <t xml:space="preserve">Bold - Honest - Discipline </t>
  </si>
  <si>
    <t xml:space="preserve">Fair - Pleasing - Loved by women </t>
  </si>
  <si>
    <t xml:space="preserve">Lazy - Lethargic - Fond of rest - Arrogant </t>
  </si>
  <si>
    <t>Sincere - Honest - Patience - Pleasing nature - Higher qualities - Scholar – Dynamic</t>
  </si>
  <si>
    <t xml:space="preserve">Lazy and lethargic - Fond of rest </t>
  </si>
  <si>
    <t xml:space="preserve">Intelligent - Strong decision -sometimes act in a foolish way - wrong advisor </t>
  </si>
  <si>
    <t xml:space="preserve">Ugly appearance - Selfish - Bad dreams - Abortive thinking </t>
  </si>
  <si>
    <t xml:space="preserve">Pleasing - Fair - set manners - Liked by all - Good qualities - Well built </t>
  </si>
  <si>
    <t xml:space="preserve">Honest - True - Sincere - Discipline </t>
  </si>
  <si>
    <t>Fair - Pleasing - Liked by all – Sympathetic - Sincere – Dynamic</t>
  </si>
  <si>
    <t xml:space="preserve">Forceful - Independent - Arrogant - Commanding </t>
  </si>
  <si>
    <t xml:space="preserve">Religious minded - Generous - Honest and Sincere </t>
  </si>
  <si>
    <t xml:space="preserve">Lazy - Lethargic - Selfish - Sluggish </t>
  </si>
  <si>
    <t xml:space="preserve">Timid - Funky - Nervous </t>
  </si>
  <si>
    <t xml:space="preserve">Arrogant - Critic - Bad intentions - Henpecked - Miser </t>
  </si>
  <si>
    <t xml:space="preserve">Fair - Loved by all - Pleasing and Sweet manners </t>
  </si>
  <si>
    <t>Honest - Sincere - Discipline - Steady income</t>
  </si>
  <si>
    <t>Pleasing - Liked by all - Soft manners - Fond of travel - Love of Romance - Roaming and changing</t>
  </si>
  <si>
    <t xml:space="preserve">Fair complexion - Courteous - Ever changing habits - Unsteady - Tries to lead a peaceful life - Hospitable - Avoids anxiety - Reliable - Medium built - Fleshy face - Full eyes - Dark hair -Passionate - Mysterious - Loves music and nature - Like change of job - Over work </t>
  </si>
  <si>
    <t>Bold - Emotional - Good health - Independent - Short married life - Quick in understanding – Inspirational</t>
  </si>
  <si>
    <t xml:space="preserve">Arrogant - Rough Character - Disregards Society </t>
  </si>
  <si>
    <t xml:space="preserve">Imaginative - Reserved nature - Anxious - Patient - Economical - Discontentment - Rich person </t>
  </si>
  <si>
    <t xml:space="preserve">Stature above average - Medium complexion - Imaginative - Hospitable - Intelligent -Studious - Learns without a teacher - Traveller - Mathematician - Learns occult Science - Respects others - Unhappy married life - Marries twice - Divorce </t>
  </si>
  <si>
    <t xml:space="preserve">Confusion - Unsteady - Wavering - Timid - Bad dreams - Fraud </t>
  </si>
  <si>
    <t xml:space="preserve">Diplomatic - Selfish - Fair - Loved by women </t>
  </si>
  <si>
    <t xml:space="preserve">Liberal - Honest - Proud - Generous - Fond of jewels </t>
  </si>
  <si>
    <t xml:space="preserve">Pale complexion - Reserved - Calm - Wavering and vacillating - Traditional mind </t>
  </si>
  <si>
    <t xml:space="preserve">White complexion with Red shade - Muscular - Bold - Courageous - Not rash - Impulsive - Aggressive - Patient endurance - Locality - Murderous tendency </t>
  </si>
  <si>
    <t xml:space="preserve">Arrogant - Unfair - Rough manners </t>
  </si>
  <si>
    <t xml:space="preserve">Healthy - Good manners - Pleasing - Gentle and Honest </t>
  </si>
  <si>
    <t xml:space="preserve">Optimistic - Always in good spirits - Broad minded - Versatile - Slow Judgement - Controversial decision - Brings disputes and litigations </t>
  </si>
  <si>
    <t xml:space="preserve">Vacillation - Flexible - Bad dreams - Confused - Sober </t>
  </si>
  <si>
    <t xml:space="preserve">Cheerful - Handsome - Two Partners - Two Partners - Two attachments - Ever smiling - Social prestige - Generous - Many friends - Liked by all - Fond of Fine Arts - Gives Surety and Free from troubles </t>
  </si>
  <si>
    <t xml:space="preserve">Generous - Courteous - Loves nature - Social - Easy life - Fond of opposite sex - Fine Arts - Poetry - sickly wife - Unhappy married life - Interested in Astrology and Astronomy - Ambitious - Capable - Inspiring </t>
  </si>
  <si>
    <t>Average height - Stout - Long hands - Slender - Dark hair - Expressive eyes - Thin and shrill voice - Looks younger - Intelligent - Imaginative - Emotional - Mental Imbalance - Spreads false rumours - Anxious - Learns many languages - Short journeys - Frequent changes - Pessimistic Wiser as age grows up - Criticised by public - Unhappy dealings with relatives</t>
  </si>
  <si>
    <t>Medium stature - Healthy - Round eyes - Narrow waist - Loves. work - duty minded - Quick - Organising ability -Humorous - Ingenious - Constructive - Practical - Business like - Great mental and intellectual powers - Impulsive - Rash - Irritated and Irritates others - Disputes - Litigations - Risky - Ventures - Hasty decision - Public scandal - Criticised by others - Loss in speculation - Fraud - Cheating - Physical fight with wife</t>
  </si>
  <si>
    <t xml:space="preserve">Flexible - Cruel - Bad intentions - Wavering - No Principles </t>
  </si>
  <si>
    <t xml:space="preserve">Huge body - Tall - Stout - Looks younger - Clear thoughts - good Judgement -god-fearing -Honest - Religious-minded - Liberal </t>
  </si>
  <si>
    <t xml:space="preserve">Thin built - Pale complexion - Looks older - Deep set eyes - Fear complex - Spreads rumours </t>
  </si>
  <si>
    <t>10th Profession</t>
  </si>
  <si>
    <t>Military - Machinery</t>
  </si>
  <si>
    <t>Railways - Industry - Slaughter House - Butcher - Horse rider - Jockey</t>
  </si>
  <si>
    <t>Veterinary Surgeon - Criminal Courts - Jail Departments</t>
  </si>
  <si>
    <t>Steam Boilers - Railways</t>
  </si>
  <si>
    <t>Military - Police - Industry - Managing Director</t>
  </si>
  <si>
    <t>Stuntman - Armaments - Iron - Agriculture</t>
  </si>
  <si>
    <t>Factory Heads - Bank Managers - Chief Executives - Criminal Judges</t>
  </si>
  <si>
    <t>Section Officer - Maistry - Land-lord - Mine Owner - Factory Owner</t>
  </si>
  <si>
    <t>Writer - Typist - Mechanical Engineer - Land and Building Owner</t>
  </si>
  <si>
    <t>Railways - Sportsman - Musical Instruments - Maternity - Exhibitions.</t>
  </si>
  <si>
    <t>Advertising - Railways - Industries - Veterinary - Doctor - Criminal Lawyer or Judge - Surgeon.</t>
  </si>
  <si>
    <t>Textiles - Fertilizer - Tea Estates - Hotels - Farmers - Ship- yard - Silicon - Photonics</t>
  </si>
  <si>
    <t>Barber - Sportsman - Vessels Dealer - Cinema Theatre -Studio - Marriage Halls -Surgeon</t>
  </si>
  <si>
    <t>Automobile Industry and Slaughter house.</t>
  </si>
  <si>
    <t>Sportsman - Goldsmith - Theatres - Animal Husbandry - Farmer - Estate owner - Judges - Income Tax Officer</t>
  </si>
  <si>
    <t>Wrestler - Slaughter house - Fertilizer - Mine products - Transports - Surgeon -Farmer.</t>
  </si>
  <si>
    <t>Books writer - Engineering Contractor - Hotelier - Importer and Exporter.</t>
  </si>
  <si>
    <t>Veterinary Surgeon - Leather goods - Dealer in roots and pulps</t>
  </si>
  <si>
    <t>Military - Police - Surgeon</t>
  </si>
  <si>
    <t>Navy - Travel Agency - Chemical and Tonics</t>
  </si>
  <si>
    <t>Military - War materials and Explosives - Matches Iron and Steel - Vessels</t>
  </si>
  <si>
    <t>Fighter - Butcher - Ironworker - Ambulance - Armament</t>
  </si>
  <si>
    <t>Architecture - Design - Photography - Wool - Leprosy - Clinics</t>
  </si>
  <si>
    <t>Jewellery - Textiles - International Trade - Music - Opera - Architecture, Design, Decoration - Taxes</t>
  </si>
  <si>
    <t>Drawing Master - Draftsman - Sculptor – Industry - Barber - Wool - Hair</t>
  </si>
  <si>
    <t>Medical Representative - Bill Collector - Broker – Engineer - Assessor</t>
  </si>
  <si>
    <t>Photographer - VD Expert - Executive officer – Religious Endowment</t>
  </si>
  <si>
    <t>Gains in speculation - Business - Chemistry - Business - Social affair - Music - Fine arts</t>
  </si>
  <si>
    <t>Dairy farm - Milk - Sugar - Perfumery - Shipping</t>
  </si>
  <si>
    <t>Instrumental Music - Hotels - Lodging House - Bars – Sandalwood - Navy - Pearls - Acids - Cows</t>
  </si>
  <si>
    <t>Dealer in Plastic - Dyes - Tannery - Fisherman</t>
  </si>
  <si>
    <t>Bakeries - Shipping - Judge - Politician – Pharmacy</t>
  </si>
  <si>
    <t>Hotels - Bar - Ice Cream - Paint - Petrol - Oil – Tannery - Submarine</t>
  </si>
  <si>
    <t>Broker - Engineer - Shipping - Hospitals - Yarn – Pearls dealer - Contractor</t>
  </si>
  <si>
    <t>Yogin - Dealer in Fruits, skin and Petrol</t>
  </si>
  <si>
    <t>Rich person - Dealings in Glass - Plastic - Dairy Farm – Shipping - Fisheries - Petrol - Paints - oil</t>
  </si>
  <si>
    <t>Deals with Bakeries, Perfumeries, Acids, Shipping, Farmer, Sugar Industry</t>
  </si>
  <si>
    <t>Deals with Machines - Automobiles - tailoring - coral</t>
  </si>
  <si>
    <t>Deals with Tobacco - Taxi - Hire Purchase - Cinema Photography</t>
  </si>
  <si>
    <t>Deals with Estate - Exhibition – Platinum - Animal Husbandry - Fruits – Taxes</t>
  </si>
  <si>
    <t>Deals with land and building - Eversilver - Tailor – Estate and Death Duty - Driver - Bricks - Butcher - Toilet articles</t>
  </si>
  <si>
    <t>Deals with Electrical goods - Telephone - Radio – Electronics - Building Contractor</t>
  </si>
  <si>
    <t>Deals with Surgical instruments - Mechanical Engineering – Telephones - Dams</t>
  </si>
  <si>
    <t>Deals with Cables - Electronics - Textiles - Fruits – Flowers - Messengers</t>
  </si>
  <si>
    <t>Deals with Telephones - Surgeon - Soldier – Press Reporter - Radio</t>
  </si>
  <si>
    <t>Ambassadors - Mathematics Teacher – Irrigation Engineer - Salesman - Broker - Bus Operator</t>
  </si>
  <si>
    <t>Literarian - Atomic Energy - Research Department</t>
  </si>
  <si>
    <t>Store Keeper - Writer - Finance Broker - Statistician - Exporter</t>
  </si>
  <si>
    <t>Physics - Finger Print Expert</t>
  </si>
  <si>
    <t>Salesman - Communication - Transport - Atomic Energy - Write: - Author - Dynamics</t>
  </si>
  <si>
    <t>Research Department - Dealer in Poisonous drugs - Darned goods - Gravitational pull</t>
  </si>
  <si>
    <t xml:space="preserve">Salesman - Posts &amp; Telegraphs (P&amp;T) Department - Transport - Radio - Bus </t>
  </si>
  <si>
    <t>Public department - Atomic - Research Department</t>
  </si>
  <si>
    <t>Boatmen - Explorer - Nurse - Engineer - Dealings in drugs</t>
  </si>
  <si>
    <t xml:space="preserve">Mechanical Engineer - Finger Print Expert - Police Department </t>
  </si>
  <si>
    <t xml:space="preserve">Journalist - Writer - Merchant - Advertisement -Finance Broker - Mayor - Astrologer - Religious </t>
  </si>
  <si>
    <t>Servants - Messenger - Postman - Insurance Agent - Provision - Wool</t>
  </si>
  <si>
    <t xml:space="preserve">Salesman - Book Seller - Higher Official - Examiner - Research Scholar - - Astrologer - Automobile </t>
  </si>
  <si>
    <t xml:space="preserve">Interpreter - Secretary Astrologer </t>
  </si>
  <si>
    <t xml:space="preserve">Auditor - Civil Judge - Civil Engineer - Tailor - Native Language Literary Pandit </t>
  </si>
  <si>
    <t xml:space="preserve">Advertising - Visual Publicity - Judges - Tax - Auditor - Registrar - Deputy Secretary </t>
  </si>
  <si>
    <t>Merchant - Broker - Mayor - Councillor - Interpreter - School Master</t>
  </si>
  <si>
    <t xml:space="preserve">Banker - Advocate - Judge - Traveller - Sailor - Nurse - Water supply - dealer in liquids </t>
  </si>
  <si>
    <t xml:space="preserve">Politician - Banker - Physician - Religious Head - statistics - Judge - Professor - Government Transport </t>
  </si>
  <si>
    <t xml:space="preserve">Politician - Principal - Economics - Sailor - Dealer in fluids - Salesman - Jail for Women - Lady official </t>
  </si>
  <si>
    <t xml:space="preserve">Economics - Kerosene - Canals - Tunnels - Submarine - Jailor </t>
  </si>
  <si>
    <t xml:space="preserve">Position of Trust - Canals - Water works - Pump sets - Bridges - Kerosene </t>
  </si>
  <si>
    <t>Farming - Mine Products - Plumber - Grave - Grave digger - Fisherman</t>
  </si>
  <si>
    <t xml:space="preserve">Petrol - Engineer - Trenches - Draftsman - Constructing dams </t>
  </si>
  <si>
    <t xml:space="preserve">Mines and Minerals - Underground workers </t>
  </si>
  <si>
    <t xml:space="preserve">Fishermen - Agriculture - Kerosene - Digging Wells - Constructing Tanks and Reservoirs work in the night </t>
  </si>
  <si>
    <t xml:space="preserve">Petrol - Coal - Tunnels - Trenches - Canals - Land excavation </t>
  </si>
  <si>
    <t xml:space="preserve">Farmer - Jailor - Grave Digger - Dealer in oil </t>
  </si>
  <si>
    <t>Farmer - Position of trust - Head of the Department - Deals with mines</t>
  </si>
  <si>
    <t xml:space="preserve">Commercial Correspondent - Deals with Yarn - Water Diviner </t>
  </si>
  <si>
    <t xml:space="preserve">Guide - Hostess - Midwife - Nurse - Plurality in everything </t>
  </si>
  <si>
    <t xml:space="preserve">International Trade - Ambassador - Travel Agents - Midwife - Hostess - Nurse - Paints - Good Painter </t>
  </si>
  <si>
    <t xml:space="preserve">Textiles - Nurse - Mental Hospital </t>
  </si>
  <si>
    <t xml:space="preserve">Salesman - Artist - Deals with Ink - Water works Engineer - Textiles Engineer - Midwife </t>
  </si>
  <si>
    <t xml:space="preserve">Manufacturer of Inks - Textiles </t>
  </si>
  <si>
    <t>Teacher - Plumber - Fisherman - Waterworks - Mines</t>
  </si>
  <si>
    <t xml:space="preserve">Writer - Author - International Trade - Ambassador - Accounts, Commerce and Banking </t>
  </si>
  <si>
    <t xml:space="preserve">Water Diviner - Hostess - Nurse - Manufacturer of Inks - Service in Textile Department </t>
  </si>
  <si>
    <t xml:space="preserve">Government - Medical - Physician - Security in Service - Chemicals </t>
  </si>
  <si>
    <t xml:space="preserve">Transport - Automobile - Chemical skin expert - Women and children hospital </t>
  </si>
  <si>
    <t xml:space="preserve">Hospital - Medical - Permanent service </t>
  </si>
  <si>
    <t>Boilers - Shipping - Navy</t>
  </si>
  <si>
    <t xml:space="preserve">Defence - Police - Foundry </t>
  </si>
  <si>
    <t>Jail Department - Lethal Chamber</t>
  </si>
  <si>
    <t xml:space="preserve">Religious Endowments - Judges - Advocates - Administrators - Banks </t>
  </si>
  <si>
    <t xml:space="preserve">Head of the Department - Factory - Real Estates - Homeopathy - Copper - Steel -Mines </t>
  </si>
  <si>
    <t xml:space="preserve">Typist - Journalist - Petition Writer - Advertising </t>
  </si>
  <si>
    <t xml:space="preserve">Gains in speculation business - Chemistry - Business - Social affair - Music - Fine arts </t>
  </si>
  <si>
    <t xml:space="preserve">Service in Hospitals, Chemistry Department - Government Service - Stock Exchange - Music - Radio - Women and Children Hospital </t>
  </si>
  <si>
    <t xml:space="preserve">Service in cosmetics and Refineries - Navy - Shipping </t>
  </si>
  <si>
    <t>Sports - Musical instruments - Advertisement - Display - Automobile - Chemicals - Transports - Surgical Instruments - Petrol - Medicinal Soaps</t>
  </si>
  <si>
    <t xml:space="preserve">Photography - wool - Leper clinics </t>
  </si>
  <si>
    <t xml:space="preserve">Judge - Tax Department - Administrator in Transport - Animal Husbandry - Women's College and Hospital </t>
  </si>
  <si>
    <t xml:space="preserve">Slaughterhouse - Canning meat and fish - skin and hides - Lethal Chamber - Doctor in skin disease </t>
  </si>
  <si>
    <t xml:space="preserve">Drugs Salesman - Sanitary and Chemical Engineer </t>
  </si>
  <si>
    <t xml:space="preserve">Religious endowments - Executive Officer </t>
  </si>
  <si>
    <t xml:space="preserve">Permanent position - Managing Director - Administrator - Dictator - Jeweller - Doctor - Medical Department - Police - Sports - Cinema </t>
  </si>
  <si>
    <t>Shipping - Captain - Marine Engineer - Dealings in liquids - Tonics</t>
  </si>
  <si>
    <t xml:space="preserve">Stock Exchange - War materials - Military - Police - High command - Successful Surgeon </t>
  </si>
  <si>
    <t xml:space="preserve">Jail Department - Sanatorium </t>
  </si>
  <si>
    <t xml:space="preserve">Accountant in jail - Medical Departments - Designer - Engineer - Consultant -Supply contract to the above department </t>
  </si>
  <si>
    <t xml:space="preserve">School Master - Interpreter - Registrar - Journalist - Inspector of Schools - Religious Teacher - Banks - Revenue - Income Tax. </t>
  </si>
  <si>
    <t xml:space="preserve">Engineer in Mines - Deals with Coal - Lead - Lino Typist - Compositor - Handwriting expert. </t>
  </si>
  <si>
    <t xml:space="preserve">Writer Literarian - Interpreter - Messenger - Postman </t>
  </si>
  <si>
    <t xml:space="preserve">Typist - Journalist - Advertising </t>
  </si>
  <si>
    <t xml:space="preserve">Dancer - Artist - Bakery - Worker </t>
  </si>
  <si>
    <t xml:space="preserve">Shipping and Clearance Agent - Textiles - Engineer in Water Works </t>
  </si>
  <si>
    <t xml:space="preserve">Dealers in fluids - Boilers - Mechanical Engineer - Marine Engineer - Printing Inks - Fish supplying Agent </t>
  </si>
  <si>
    <t xml:space="preserve">Dealers in fluids - jail department - Drugs </t>
  </si>
  <si>
    <t xml:space="preserve">Printer - Publisher - Navy - Accountant - Port Trust - Textile Mills - Cloth Merchant or Agent </t>
  </si>
  <si>
    <t xml:space="preserve">Diggers of wells - Canals - Excavation - Geologists - Mine Engineer - Deals with Petrol - Diesel </t>
  </si>
  <si>
    <t xml:space="preserve">Personal Assistant - Camp Clerk - Messenger - Engaged - Orator - Engineer- Salesman - Midwife </t>
  </si>
  <si>
    <t xml:space="preserve">Guide - Hostess - Midwife - Nurse </t>
  </si>
  <si>
    <t xml:space="preserve">Deals with sweet juice - Shipping - Marine and Textile Engineer  - Manufacturer of glass or spectacles - Artificial silk Cloth printing </t>
  </si>
  <si>
    <t xml:space="preserve">Mechanical and Marine Engineer - Nurse - Nervous - Department in Hospitals - Supply Contractor to Government </t>
  </si>
  <si>
    <t xml:space="preserve">Typing - Printing Press - Mechanical and Military Engineer </t>
  </si>
  <si>
    <t xml:space="preserve">Warden - Jail Department - Lethal Chamber </t>
  </si>
  <si>
    <t xml:space="preserve">Acquires a good partner - Accountant in Bank - Vice-Principal - Professors - Religious teacher - Administrative Department in Engineering </t>
  </si>
  <si>
    <t xml:space="preserve">Mathematics - Physics - Dynamics - Mines Engineer - Finger Prints </t>
  </si>
  <si>
    <t xml:space="preserve">Adviser - Story writer - Publisher </t>
  </si>
  <si>
    <t xml:space="preserve">Veterinary Surgeon - Deals with skin and hides - Roots and bulbs </t>
  </si>
  <si>
    <t xml:space="preserve">Deals with second-hand goods - Able salesman </t>
  </si>
  <si>
    <t xml:space="preserve">Transport Department - Loco Shed - Airport </t>
  </si>
  <si>
    <t xml:space="preserve">Hotel - Lodging House - Deals with liquids and acids </t>
  </si>
  <si>
    <t xml:space="preserve">Atomic Energy - Science and Research </t>
  </si>
  <si>
    <t xml:space="preserve">Store Keeper - Writer - Explorer - Finance Broker - Judge - Poet </t>
  </si>
  <si>
    <t xml:space="preserve">Clinics - Leather goods </t>
  </si>
  <si>
    <t xml:space="preserve">Salesman - Communications Department - Writer - Author - Dynamics - Transport - Atomic Energy </t>
  </si>
  <si>
    <t xml:space="preserve">Research Department -Deals with Poisonous drugs - Canned food </t>
  </si>
  <si>
    <t xml:space="preserve">Artist - Salesman - Telephone - Transport - Radio </t>
  </si>
  <si>
    <t xml:space="preserve">Hot water equipments - X ray </t>
  </si>
  <si>
    <t xml:space="preserve">Music - Opera - Artist - Cook - Bakery - Butlers </t>
  </si>
  <si>
    <t xml:space="preserve">Automobile - Transport - Plastic - Mica </t>
  </si>
  <si>
    <t xml:space="preserve">Judge - Broker - Money lender - Professor in Ladies' College - Cashier in Ladies' Club </t>
  </si>
  <si>
    <t xml:space="preserve">Subordinate in Revenue Department - Banks - Courts - Transport Departments -Leather Goods </t>
  </si>
  <si>
    <t xml:space="preserve">Income Tax - Writer of Comedy - Publicity - Audit &amp; Accounts Departments - Glass - Mirror  - Engineer </t>
  </si>
  <si>
    <t xml:space="preserve">Racing - Betting - Port Trust - Village Munsif - Ayurvedic Medicines </t>
  </si>
  <si>
    <t xml:space="preserve">Loan sanction in Banks - Transport - Income-tax - Air travel </t>
  </si>
  <si>
    <t xml:space="preserve">Deals in Chemicals, Drugs - Income-tax - Sales-tax, Revenue, Court - Religious Endowments - Hospitals - Security - Air Service </t>
  </si>
  <si>
    <t xml:space="preserve">Nurse - Midwife - Navy - Shipping - Politician - Clubs -Society - Petrol - Liquids - Edible oils - Businessman - Manufacture of glasses, spectacles </t>
  </si>
  <si>
    <t xml:space="preserve">Politician - Banking - Judge - Vice-Principal </t>
  </si>
  <si>
    <t xml:space="preserve">Estate owner - Agriculturist - Labour - Port Trust </t>
  </si>
  <si>
    <t xml:space="preserve">Criminal Lawyer - Racing - Betting - Industrial labour </t>
  </si>
  <si>
    <t xml:space="preserve">Deals with Mine and Mine products - Lands and Estate - Potatoes - Onions - Carrots - Turnips - Ground Nuts </t>
  </si>
  <si>
    <t>Spy - Service in CID &amp; CBI Departments - Finger prints - Investigation - Diagnostics</t>
  </si>
  <si>
    <t xml:space="preserve">Medicines - hotels - brothels - oil crushing - mine ores - Criminal Lawyer </t>
  </si>
  <si>
    <t xml:space="preserve">Deals with hides and skin - Tanning - Eversilver - Meat shop - Grave digger </t>
  </si>
  <si>
    <t>Deals with wool - Hair - Mines and Metals</t>
  </si>
  <si>
    <t>Registrar of Deaths - CID - Military - Police</t>
  </si>
  <si>
    <t xml:space="preserve">Deals with Bull-dozer -Tractor - Spade - Ploughing instruments - Laying pipes and sewage - tunnels - Cremation grounds - Police - Jails - Casualty ward and mortuary - Bone Specialist </t>
  </si>
  <si>
    <t xml:space="preserve">Jail Department - Laying Tar Roads - Watchman - Hard labour - Coal and Mine Owner </t>
  </si>
  <si>
    <t xml:space="preserve">Owner of Mines - Philosopher - Psychologist </t>
  </si>
  <si>
    <t xml:space="preserve">Typist - Proof Reader - Press Worker Machinery - Good Lawyer - Actor - - Representative - Liaison Officer </t>
  </si>
  <si>
    <t xml:space="preserve">Deals with Surgical Instruments - Mechanical Engineering - Telegraph - Dam Construction - Thieves </t>
  </si>
  <si>
    <t xml:space="preserve">lakes and rivers - Railways Bridges - Tailor - Goldsmith - Garlands </t>
  </si>
  <si>
    <t xml:space="preserve">Military Engineer - Mechanical Engineer - Advisor - Government Press - Mint - Reserve Bank - Officer in-charge of Old Currency </t>
  </si>
  <si>
    <t xml:space="preserve">Deals with Textiles - Electrical Engineering - Power House Boiler Writer Liquids - Ribbons - Dyer - Bridge Contractor </t>
  </si>
  <si>
    <t xml:space="preserve">Surgeon - Mechanical Engineer - Press Technology - Iron Bridge - Cost Account -Inspector </t>
  </si>
  <si>
    <t xml:space="preserve">Warden - Jail Superintendent - Police Department </t>
  </si>
  <si>
    <t xml:space="preserve">Income-tax - Auditor - Chartered Accountant - Press - Manager Engineering Department - Head of Postal Department - Communication Department </t>
  </si>
  <si>
    <t xml:space="preserve">Handwriting expert - Service in Press - Mines Engineer - Deals with Metals - Stenographer - Drainage - Cooling equipment - Ice and Ice Plants </t>
  </si>
  <si>
    <t xml:space="preserve">Councillor - Race Course Member - Social Worker - International Trade </t>
  </si>
  <si>
    <t xml:space="preserve">Ambassador - Cabinet Official - Doctor - Exporter </t>
  </si>
  <si>
    <t xml:space="preserve">Bank - Education - Revenue - Religious - Departments </t>
  </si>
  <si>
    <t xml:space="preserve">Politics - Banker - Exporter </t>
  </si>
  <si>
    <t xml:space="preserve">Surgeon - Manager - Director - Traveller - Fortune abroad </t>
  </si>
  <si>
    <t xml:space="preserve">Purohit - Ayurveda - Jockey - Servant in Embassies - Deals with roots and seeds </t>
  </si>
  <si>
    <t xml:space="preserve">Revenue Department - Religious Department - Doctor - College - Banks </t>
  </si>
  <si>
    <t xml:space="preserve">Social worker - Deals with roots and pulps - Export and Import </t>
  </si>
  <si>
    <t xml:space="preserve">Accountant - Auditor - Revenue - Bank - Teacher - Astrologer - Journalist </t>
  </si>
  <si>
    <t xml:space="preserve">Midwife - Nurse - Good Businessman </t>
  </si>
  <si>
    <t xml:space="preserve">Doctor - Judge - Banker - Accountant - Sugar - Rubber </t>
  </si>
  <si>
    <t xml:space="preserve">Deals with Petrol - Rubber and Milk </t>
  </si>
  <si>
    <t xml:space="preserve">Automobile - Transport - Auditor - Income-tax Officer - Bank manager - college Principal - Religious Head </t>
  </si>
  <si>
    <t>Jail Department - Works in isolated Hospitals - Ayurvedic medicines - Health Centres and Hospitals for women and children - Fraud detection</t>
  </si>
  <si>
    <t xml:space="preserve">Broker in Estates - Architect - Designer - Animal Husbandry - Breeding, expanding - Manager - Choultry - Minister - Popular, successful politician </t>
  </si>
  <si>
    <t xml:space="preserve">Slaughter house - Mine products - Transports - Draftsman - statistics - Revenue Intelligence - Staff in Foreign Exchange </t>
  </si>
  <si>
    <t xml:space="preserve">Railway - Engineering - Accountant - Auditor - Income Tax - Vice-Principal - Vice-Chancellor - All India Radio - Journalist - Music - Transport - Revenue Department - Secretary - Deputies - Mint - Currency Editor </t>
  </si>
  <si>
    <t xml:space="preserve">Deals with Sugar, Jaggery - Animal Husbandry - Ayurvedic - Garden - Nursery - Restaurants </t>
  </si>
  <si>
    <t xml:space="preserve">Physician - Medical Department - Reserve Bank - Government Colleges </t>
  </si>
  <si>
    <t xml:space="preserve">Politician - Minister-Import and Export - Foreign jobs </t>
  </si>
  <si>
    <t xml:space="preserve">Government Officer - Lawyer - Judge - Industrialist - Bank Manager and Agent-Animal Husbandry </t>
  </si>
  <si>
    <t xml:space="preserve">Shipping Trade - Ayurveda - Jail Departments - Refugee Camp - Hospitals </t>
  </si>
  <si>
    <t xml:space="preserve">Jail Department - Hospitals - Isolated Camps </t>
  </si>
  <si>
    <t xml:space="preserve">Religious Teacher - Agent -. Representative - Bank Manager - Member of Legislative Assembly (MLA) - Member of Parliament (MP) etc. - High Courts - Municipality – Health Department </t>
  </si>
  <si>
    <t xml:space="preserve">Dealers in Hairs - Cement - Metals - Geologist - Director of Records - Antiques - CID-CBI </t>
  </si>
  <si>
    <t xml:space="preserve">Deals with bones - stones - cement - Geology - Communication - Astrologer - Advisor to Government - Government Propagandist - Government Publications - Labour in Aerodrome </t>
  </si>
  <si>
    <t>Mines and Minerals - Coal - Wool - Jail Department  - Staff control departments - Skins and Hides - Alternative medicine</t>
  </si>
  <si>
    <t xml:space="preserve">Labour in Airlines - Skin and Hides - Government Transport - Potatoes - Groundnut - Turnips </t>
  </si>
  <si>
    <t xml:space="preserve">Ice - Cement - Hair - Sanitary-ware - Electricity. Department - Corporation - Electronics Department </t>
  </si>
  <si>
    <t xml:space="preserve">Wools - Agriculture - Tea-Estates - Liquor - Military - Police - Secondhand goods - Bicycles - Transport - Boring Plants - Agriculture implements - Minister - Building Contractor – Railways - Estate Broker - Furniture - Hire-purchase </t>
  </si>
  <si>
    <t xml:space="preserve">Jail Department - Kerosene - Trenches - Tunnels - Agriculture - Night Watchman </t>
  </si>
  <si>
    <t xml:space="preserve">Temple Priest - Eminent Judge - Educationist - Propagandist - Publicity Officer - Religious head - Registrar of death - Estate Duty - Revenue Department </t>
  </si>
  <si>
    <t xml:space="preserve">Deals with oil, mine products - Wells - Trenches - Tunnels - Fisherman - Night watchman </t>
  </si>
  <si>
    <t xml:space="preserve">Coarse varieties of cloth - Accountant in agriculture Department - Sanitary Engineer - Writer of Secret Novels </t>
  </si>
  <si>
    <t xml:space="preserve">Agriculture - Plumber - Sanitary Department - Petrol - Tar etc. </t>
  </si>
  <si>
    <t xml:space="preserve">Exchange Broker - Deals in Oil, Petrol - Excavation - Cement - Metals - Soap - Skin and hides </t>
  </si>
  <si>
    <t xml:space="preserve">Partnership business - Minister - Member of Legislative Assembly (MLA) - Members of Parliament (MP) - Government Contractor - Geology - Mines &amp; Minerals </t>
  </si>
  <si>
    <t xml:space="preserve">Police - Repair of old goods - Machinery parts - Landed property - weapons -agricultural implements - Geologist - Farm labourer - Sanitary-ware - Fertiliser -Tractor </t>
  </si>
  <si>
    <t xml:space="preserve">Jail Department - Slaughter house - Labourer - Rehabilitation centre - Tools and Spare parts </t>
  </si>
  <si>
    <t xml:space="preserve">Principal - Headmaster - Lecturer in Philosophy - Finance department - Police - Military - Religious Department - Education Department - Old furniture - Old goods </t>
  </si>
  <si>
    <t xml:space="preserve">Weapons of older times - Arms and Ammunitions dealer - Lands and Estates - Old Machinery and goods - Skin and Hides </t>
  </si>
  <si>
    <t xml:space="preserve">Mechanical and Mines Engineer - Industrialist - Registrar of Deaths </t>
  </si>
  <si>
    <t xml:space="preserve">Farming - Tea - Steel Plant - Retrenchment Office - Skin and hides </t>
  </si>
  <si>
    <t xml:space="preserve">Skin and hides - Shoes - Antiques - Archaeology </t>
  </si>
  <si>
    <t xml:space="preserve">Geology - Mines and Minerals - Defence Department - Cemetery </t>
  </si>
  <si>
    <t xml:space="preserve">Excavation of wells - Tanks - canals - tunnels - Pump sets - Liquids </t>
  </si>
  <si>
    <t xml:space="preserve">Electronics - Atomic Energy - Literature - Municipality - Corporation - Share Broker – Anti Corruption Department - CID </t>
  </si>
  <si>
    <t xml:space="preserve">Astrologer - Religious Teacher - Scientist - Historian - Translation, Department - Atomic Science </t>
  </si>
  <si>
    <t>Ration Office - Stock Exchange - Slaughter house - Tanneries - Forensic</t>
  </si>
  <si>
    <t xml:space="preserve">Census - Counterfeits - Statistics </t>
  </si>
  <si>
    <t xml:space="preserve">Travel Agency - Census Department - Slaughter house </t>
  </si>
  <si>
    <t>Retrenchment Department - Factories - Tanneries</t>
  </si>
  <si>
    <t xml:space="preserve">Atomic Energy - Research and Public Departments - Statistics - Mines and Minerals - Government Contractor </t>
  </si>
  <si>
    <t xml:space="preserve">Scientist - Technician - Deals with liquids - Ice - Beverages </t>
  </si>
  <si>
    <t>Ration Office - Census Department - Atomic Energy - Chemical Engineering - Data Analytics</t>
  </si>
  <si>
    <t xml:space="preserve">Teacher - Lecturer in Philosophy - Banker - Advocate - Surgeon - Post-mortem </t>
  </si>
  <si>
    <t xml:space="preserve">College - Schools - Partnership Business - Wool - Provisions </t>
  </si>
  <si>
    <t xml:space="preserve">Journalist - Novelist - Editor - Publisher- Consultant - Bank Manager - Estate Broker </t>
  </si>
  <si>
    <t xml:space="preserve">Municipality - Corporation - Retrenchment Office - Insurance </t>
  </si>
  <si>
    <t xml:space="preserve">Legal Adviser - Judge - Music - Drama - Cinema - Connected to Girls' School </t>
  </si>
  <si>
    <t xml:space="preserve">Physician - Government service - Inspector - Education Department - Legal Department </t>
  </si>
  <si>
    <t>Service in Bank - Orator - Police</t>
  </si>
  <si>
    <t xml:space="preserve">Gardening - Clothing - Fish - Milk - Marine - Navy </t>
  </si>
  <si>
    <t xml:space="preserve">Auditors - Ministers - Judges - Advocates -Administrators. </t>
  </si>
  <si>
    <t xml:space="preserve">Criminal Lawyer - Jail Department - Isolated Hospitals - Explorer - Surgeon - Arbitrator </t>
  </si>
  <si>
    <t xml:space="preserve">Deals with corns - Hairs - Skin and hides </t>
  </si>
  <si>
    <t xml:space="preserve">Mines Engineer - Statistics Accountant in Mines </t>
  </si>
  <si>
    <t xml:space="preserve">Jail Department - Asylums - Sanatorium - Isolated - Hospitals - Engineer - Import and Export - Oils - Breweries - Fisheries </t>
  </si>
  <si>
    <t xml:space="preserve">Administrator in Oil Companies - Petrol - Insecticides - Condensers </t>
  </si>
  <si>
    <t xml:space="preserve">Government Service - Magistrate - Coins Department - Goldsmith </t>
  </si>
  <si>
    <t>Mechanical and Water Works Engineer - Sanitary Inspector - Kerosene</t>
  </si>
  <si>
    <t xml:space="preserve">Agriculture - Museum - Stadium </t>
  </si>
  <si>
    <t xml:space="preserve">Jail Department - Politics - Labourer in Docks - Import and Export - Hospitals -Asylums </t>
  </si>
  <si>
    <t xml:space="preserve">Physician - Real Estate Broker - Service in Banks - Laboratories - Political Office - Mines - Societies &amp; Clubs - Birth Control Appliances - Propagandists </t>
  </si>
  <si>
    <t xml:space="preserve">Bank service - Law - Literature - Journalist - Editor - Export and Import - Civil Engineer - Mathematician - Auditor - Accountant - Astrologer </t>
  </si>
  <si>
    <t>Lawyer - Judge - Customs - Port Trust - Broker - Agent - Mathematician Representative - Radio - Communications</t>
  </si>
  <si>
    <t>Transport - Scents and Perfumery - Painting - Makeup - Earns through music - Radio - TV Jewellery - Dress Rubber - Optician - Cinema - Broadcasting - Analytical Chemist - Business Analytics</t>
  </si>
  <si>
    <t xml:space="preserve">Chief Engineer - Accountant General - Publicity Officer - Mathematician </t>
  </si>
  <si>
    <t xml:space="preserve">Nurses and Doctors </t>
  </si>
  <si>
    <t xml:space="preserve">Accounts or Audit Department - Military and Mechanical Engineer - Stock Exchange - Share Broker - Adding Machines - Microscope - Printing - Posts &amp; Telegraphs </t>
  </si>
  <si>
    <t>J upiter</t>
  </si>
  <si>
    <t xml:space="preserve">Criminal Lawyer - Jail Department - Isolated Hospitals - Excise - Customs - Dock Labourer - Broker -Agent - Representative </t>
  </si>
  <si>
    <t xml:space="preserve">Accountant in Banks - Advertising - Agent - Auctioneer - Books - Calendars - Salesman - Stationery - Journalist - Correspondent - Good Astrologer - Administrative Department in Engineering - Treasury - Literature -Commerce </t>
  </si>
  <si>
    <t xml:space="preserve">Engineer - Census Department - Shorthand writer (Stenographer) - CID - Wood Cutter - Teacher - Scientist - Land and Mine Owner - Laboratories - Clubs and Societies </t>
  </si>
  <si>
    <t>*Free Online KP Astrology Software*</t>
  </si>
  <si>
    <t>Tested by me once and Found ok. Not done thorough testing:</t>
  </si>
  <si>
    <t>https://www.kpnox.com/index.html - KP Nox - One of our students recommend this. I tested it once with LOKPA and found the sublords to be matching. I haven't done detailed research on it. Free web version is limited 5 charts. Free windows edition is limited to birth charts.</t>
  </si>
  <si>
    <t>https://www.rahasyavedicastrology.com/kp-astrology-software/ - KP Astrology by RVA Astrology. FREE online, web-based.</t>
  </si>
  <si>
    <t>https://www.jyotishyadeepika.com/ Jyotishya Deepika Pro 2022 Rel 2.0. Paid Version only. Trial for 7 uses.</t>
  </si>
  <si>
    <t>*Tested by me and Not found to be accurate:*</t>
  </si>
  <si>
    <t>www.AstroSage.com - Another KP Natal and Horary Software by AstroSage</t>
  </si>
  <si>
    <t>http://astrosage.com/m - Works with Nokia, Windows Mobile, iPhone and any other GPRS/ 3G/ WAP2 mobile phone</t>
  </si>
  <si>
    <t>*Not Tested by me:*</t>
  </si>
  <si>
    <t>https://www.MyKundali.com - KP Natal and Horary Software by AstroSage</t>
  </si>
  <si>
    <t>http://www.GPShorary.com - For creating horary charts and time charts</t>
  </si>
  <si>
    <t>http://www.astro.com - Comprehensive latitude/ longitude database (city database)</t>
  </si>
  <si>
    <t>http://www.astraura.org - Online KP astrology software</t>
  </si>
  <si>
    <t>http://www.vedicastrologer.org/jh - Primay vedic astrology software for windows, but can be used with KP with some customization.</t>
  </si>
  <si>
    <t>http://kpstarone.com/</t>
  </si>
  <si>
    <t>https://play.google.com/store/apps/details?id=com.vishdroid.jyotisha&amp;hl=en_CA&amp;gl=US&amp;pli=1 JyotishApp - Astrology Jyotish</t>
  </si>
  <si>
    <t>The KP Astrology Softwares I Use</t>
  </si>
  <si>
    <t>LOKPA https://bestkpastrologysoftware.com/ Found it to be easy and convenient to use. Accurate sublords.</t>
  </si>
  <si>
    <t>http://kpastrologys.net/services/ Recommended by Prof. KSK Hariharan, son of Prof. K.S. Krishnamurti, founder of KP Astrology. Accurate but not convenient for me to use. Needs a key disk to run it.</t>
  </si>
  <si>
    <t>Be Blessed by the Divine!</t>
  </si>
  <si>
    <t>Krish Murali Eswar.</t>
  </si>
  <si>
    <t>House</t>
  </si>
  <si>
    <t>House Meaning</t>
  </si>
  <si>
    <t>Physical stature, Colour. Form and Shape, Constitution, Health Vitality Vigour, Habit of thinking, Natural disposition, Tendencies, Personality, Struggle for Life, Success or failure, of attempts, Honour, Dignity, Life in a foreign country, Gambling with other's money, Gains and Profits to younger brother, Patrimony of mother, Prosperity, General well being, Head and upper parts of face, Virtues, Longevity and age, Suffering, Name, fame reputation, higher studies, Long journey, Children's contact with stranger, Children in Hostels, Danger to maternal uncle, Demise of Partner, Father’s speculations, Elder Brothers, Neighbour and his short journey. The person questioning the Astrologer.</t>
  </si>
  <si>
    <t>Money matters, fortune, Profit, Gain or Loss. One's poser and resources, Worldly attainments, Possession of extrinsic value. Jewellery and precious stones and Metals, Documents and Bonds. Securities, Stocks and Shares, Promissory Notes, Mortgages, Banks Balance, Negotiable Assets,Ability to express his/her thoughts. Second marriage, Vision on the -power of observations, Right eye., Memory, Miserliness, Liberality, Oratorical ability, Gold and Silver, Corns, Cereals, Close dependent, Ruby, Minerals, Purchas,.. of House lard, Vehicle by elder brother. Imagination - Nails, Tongue., Nose, Teeth, Cheeks and Chin - Protection of family members Law suits - Extravagant -Economical- Loans - Money lent or borrowed - Death of natives- Nation s wealth- Revenue - Banking activities - Money of the querist - truth or falsehood - Garments- Copper - Diamond and Pearl - Gem trade - Soft in speech. Effort to acquire wealth - Loss to younger brother and his changes - Mother's gain. Professional success to children - Rank and Position -Long journey to maternal uncle - Danger to Partner - Share of Profits to the Partner - Father's common diseases.</t>
  </si>
  <si>
    <t>Mental inclination and ability, Memory, Intelligence, Inclination to study, Courage, Valour, Heroism, Younger brother, sister and cousins, Neighbours, Short travel, Vehicles, correspondence, Letters, Papers, writings, Accounting, Mathematics,communications, Post Office, Letter Box, Telephones, telegraphs, Teleprints, Arms. Nervous systems, Neighbouring countries, Treaties, Female Servant, Fruits. Television - Telecommunication - Radio news - Signals - Airmail Messengers Mediators- Publicity Officer - Reporter - Editor - Information Officer - Journalist change of residence - Restlessness - Library - Book-Store - Bargain - Signature - Signing of contracts of Agreements - Rumours - Carrying tales - Hands - Throat - Shoulder blade .Collar bones - Confused mind - Eating good food - Partition of properties - Edible roots - Blindess - eyesight</t>
  </si>
  <si>
    <t>Mother, Ones house or residence, Domestic environment, Grave, Private affairs,secrets and Secret life, Vehicles, fields, Pastures; farms, Orchards, Mines, Real Estates, Gardens, Public Buildings, Ancient dwellings, Monuments and antiques, Agriculture, Learning. Boats - Small wells - Water.- Milk - Trusts - False allegations Tent - Pavillion -Pond - mansion - art - entrance of a house - Place where stolen property is kept - Vedic and Secret texts - Herbs - hereditary properties and treasures - Schools and Colleges.</t>
  </si>
  <si>
    <t>Progeny, Inclination, Pleasure, Society with taster and fancies. artistic talents, Gains to Partner and his luck, Recreation, entertainment, amusements, Sports and Games. Romance and similar interests, Cinema, Drama, Opera, Dance &amp;. Music, Banquet, Merriments and amusements, Playing Cards, Crossword puzzles, Dice. Horse racing, Liaison with courtesan - chanting of mantras and spiritual practice. Lottery - Gambling or betting - stock Exchange - Love affairs - courtships -Licentiousness - Rape and kidnap - Envoys - Ambassadors - Morale - Mechanical art -discretion - discrimination between Good and Bad; Chanting of vedic hymns - religious mind - good learning and wisdom - Enormous riches - Festive occasion - Full satisfaction.</t>
  </si>
  <si>
    <t>House of sickness, Disease, Nourishing food, Dietary habits, Service of exhaustion, Employees, Subordinates or Servants, Debt or borrowings, Pet animals, small cattle, tenants; enmity, dress and Hygiene, Sanitation, Herbs, Food and Clothing, Success in competition, Obstacle in undertakings, Maternal Uncle, Insanity, Miserliness, Anxieties. Frequent eye. troubles - Untimely meals - theft - calamity - Prisons - Industries -Sanitation and Public Health - Purchase or sale of vehicles by younger brother or sister Mother's short journey - Bank position and profession of the first child - Loss to Partner - investment or Purchases made by Partner - secret enemies of Partner - Father's occupation or business - danger to elder brother.</t>
  </si>
  <si>
    <t>Legal wife, Legal Bondage, Mix-up freely in society, Break of journey, Danger to life, Description of the thief, foreign affairs and war, Public Meetings, Servants' money. Adopted child, Death and difficulties. Business Partner - Contact with Public - Fines - Contracts - Influence in foreign country, honour and reputations there - recovery of lost property - Internal relations -International Trade - Open warfare - Mother's property and vehicle - Danger by secret. enemy - father's friends and partnership with them.</t>
  </si>
  <si>
    <t>Longevity, Span of life. House of death, Inheritance, Legacies,Wills and Insurance, Gratuity, Natural death, drowning fire accident or suicide, Mystery, Misfortune, Misery, Sorrow, Worries and privations, Delay and dejection, Defeat and disappointment, Loss and obstruction,. Blame and ill repute, Accident, Danger from animal, National Export &amp; import, travel,territory of another country, Interest Rates, Estate Duty, Insured money of the deceased, sufferings caused by enemies, Lottery, Gains to mother. Wrong actions - Theft and Robbery - Seize of a Fort and fighting - Dowry - unearned wealth - Share of profit - Surgeons - Medical Officers - Health Inspectors- slaughter Houses - Butchers - Public Morality - Death rate - Flood and Fire - Famines -Epidemics- Diseases - Earthquakes - National Calamity or grief - Financial relations with foreign countries - Surrender or loss - Public Loan and Debts - Deficit Budget - Public - sales-difficulties in journeys - Corruption - Prize Bond or speculations.</t>
  </si>
  <si>
    <t>Faith and Wisdom, Divine worship, Philosophy and Religion, Devoted and Religious, Orthodox, Meditation, Intuition and fore-thought, Research and Invention, Father &amp; Guruji, teaching of Dharma, Communications with Spirits; Publishing books of intrinsic value, Devotion to God, Universities. National Trade Import and. Export. Radio,Vedic sacrifice, Penance, Mythology, Coronation Hall, Wells, Lakes, Taas, short journeys, Speculative gains and Pleasure of Children, Younger brother's wife. Temples, Churches, Mosques - Places of worship - Spiritual welfare - Pilgrimage, circular Reservoir - Sacrifice and Charity - Discovery and exploration - Legal arbitration -Dreams and Visions - Long journeys by Air, Land and Sea - Internal affairs - Legal Departments - Emigration and immigration Department - Communication, Cables and ,wireless - Clarity of mind - Good conduct - Horses, Elephants and buffaloes - Circulation of money - Water Sheds, Monetary vows and Pilgrimage - Servants vehicle and Prosperity - Mother's illness - Elder brothers and friends.</t>
  </si>
  <si>
    <t>Profession and Status. Honour and dignity, Public name and fame, Power and Prestige, Credit and Conduct, Rank and Success, Respect and Reputation, Ambition and Authority, Worldly activities, responsibilities, Permanency, Promotion, Progress, appointments, Business and occupation, Karmasthana and last rites to parents, Religious functions, Employer &amp; Master, Judge and Government, Pilgrimage to Holy places Owners and Trainers of Horses, Head of State, Father's property, Permanent possessions or Vehicle of Partner, Sickness to children, Enemies of mother. Government Honours, Seal of authority - Horse riding - Athletics - Service and Sacrifice - Agriculture - Doctor - Talisman - Morality - Medicines - Prosperity - Adopted child - Teaching mantras - Rain - Retirement - Power of learning - Articles stolen by thieves - Judges and Stewards - President in Race clubs - National Leaders - National Trade - Maraka of Parents - Pleasurable pursuit of servants - Debts, Litigations and Danger to younger brothers - Elder brother loss and obstacles.</t>
  </si>
  <si>
    <t>Friends, Society and Community, Favourites, Flatterers, Admirers, Advisors, Associates, Supporters, Well-wishers, Close acquaintances, Hopes and wishes, Aspirations and ambitious, Fulfilments of desires, Success in all attempts, Foreign collaboration, Election, Litigation, Speculations, Writings, Wealth and Profit, Incoming wealth, Principal &amp; Interest, Pleasure and Prosperity, Profits and Progress, Peace of mind, Ornaments, Decoration, Sovereign, Money, Son-in-law or Daughter-in-law, Parliament, Legislative Assembly, Corporation, Municipal Bodies, District Boards and Panchayats, Government Policies and Plannings, International relations, Gains through correspondence, Pleasurable pursuits of Partner, Recovery from illness, Opposition to children, Danger to younger brother, Long journey, Freedom from misery and relief from pain, Discharge from Hospital. Partnership - Permanent tie of friendship - Unconventional activities - Elder brother - Trust - Cure from diseases - Left ear and hands - Right foot - Influence - Paternal uncle - Devotion to God - Luck - Easy gains - Brother-in-law; - Mother's longevity - Knee cap - happy news - Dawn of fortune - Ministership Badhakasthana for Chara Lagna borns - Knowledge - Income - Houses - Elephants - Vehicles, Chariots - Furniture - Exchange amenities - Co- operative Stores and Societies - Stewards and cl Committee under them in Horse racing - Number of the Winner in Horse racing - Government Loans - Electric Companies- Gas - Museum - Agriculture - Estates - Irrigation - Silk - Father's short journey - Birth of children - Speculation - Victory. over enemies.</t>
  </si>
  <si>
    <t>Loss and Impediments; Restraint and Limitation, Wastes and extravagance, Expenses, Drudgery and Deception, Purchases and Investments, Donations and Charity, Philanthropic, Institution, Separation from family, Far off places, Sorrow and sin, Sedition and segregation, Obstacles and Impediments, Misery and Misfortune, Poverty and Persecution, Intrigue and Imprisonment, Secret toil of mind, Fear and Inferiority complex, Success in Occult affairs, Danger from animals, Success in a foreign land, Aid from charitable Institutions, Banished persons, Malfactors, Lost goods never recovered, -Disobedient people, Hidden side of life, Sound sleep, Mental pain and agitation, Feet and left eye, Fear from enemies; Amputation, Bodily injury and harm, Wretchedness,imprisonment, Anger, Termination of job, Comfort of bed, Unexpected demands, Spies, Secret and and Occult Societies, Vehicles, Sickness to wife, Mother's long journey. Solitude and Secrecy - Silent suffering and self undoing - Greatest self-sacrifice Jealous and social barriers-- unexpected troubles - Secret Plots and Schemes - Conspiracy and cunningness - envy and Malice - Fraud and Treachery - suicide - Murder Exile and Extradition - Mystery and Psychic research - investigation = Detective work Confinement in Hospital - Nefarious ,activities - scandals - disgrace and secret pain -Invention of chemical process - Laborious. work - Pressure of money - Uncommon expenses - gift - Charity, Donation - Jails and Asylums- Invalid and Prisoner-Sanatorium - Nursing Home - Mental Hospitals - Life in a foreign country - Trials and Tribulations - Arson, Loot, Rape - Sorrow and self undoing poisoning - Boot-legging - smuggling and Black-mailing - Restrictions to Horse owner - Restrictions and fines on Jockeys - Fraud and Deceptive action - Treason and Assassination - Charitable Institutions - Crime in general - Underground activities - Father - Permanent possession - Danger to children - Younger brother's job and prosperity.</t>
  </si>
  <si>
    <r>
      <rPr>
        <b/>
        <sz val="13.5"/>
        <rFont val="Times New Roman"/>
        <family val="1"/>
      </rPr>
      <t>KP TABLE FOR 1-249 HORARY NUMBERS</t>
    </r>
  </si>
  <si>
    <r>
      <rPr>
        <b/>
        <sz val="13.5"/>
        <rFont val="Times New Roman"/>
        <family val="1"/>
      </rPr>
      <t>Sign, Star And Sub Table</t>
    </r>
  </si>
  <si>
    <r>
      <rPr>
        <sz val="12"/>
        <rFont val="Times New Roman"/>
        <family val="1"/>
      </rPr>
      <t>No.</t>
    </r>
  </si>
  <si>
    <r>
      <rPr>
        <sz val="12"/>
        <rFont val="Times New Roman"/>
        <family val="1"/>
      </rPr>
      <t>Sign</t>
    </r>
  </si>
  <si>
    <t>Star</t>
  </si>
  <si>
    <r>
      <rPr>
        <sz val="12"/>
        <rFont val="Times New Roman"/>
        <family val="1"/>
      </rPr>
      <t>From (Deg/Min/Sec)</t>
    </r>
  </si>
  <si>
    <r>
      <rPr>
        <sz val="12"/>
        <rFont val="Times New Roman"/>
        <family val="1"/>
      </rPr>
      <t>To (Deg/Min/Sec)</t>
    </r>
  </si>
  <si>
    <r>
      <rPr>
        <sz val="12"/>
        <rFont val="Times New Roman"/>
        <family val="1"/>
      </rPr>
      <t>Sign Lord</t>
    </r>
  </si>
  <si>
    <r>
      <rPr>
        <sz val="12"/>
        <rFont val="Times New Roman"/>
        <family val="1"/>
      </rPr>
      <t>Star Lord</t>
    </r>
  </si>
  <si>
    <r>
      <rPr>
        <sz val="12"/>
        <rFont val="Times New Roman"/>
        <family val="1"/>
      </rPr>
      <t>Sub Lord</t>
    </r>
  </si>
  <si>
    <r>
      <rPr>
        <sz val="12"/>
        <rFont val="Times New Roman"/>
        <family val="1"/>
      </rPr>
      <t>Aries</t>
    </r>
  </si>
  <si>
    <t>Ashvini</t>
  </si>
  <si>
    <r>
      <rPr>
        <sz val="12"/>
        <rFont val="Times New Roman"/>
        <family val="1"/>
      </rPr>
      <t>00°00′00″</t>
    </r>
  </si>
  <si>
    <r>
      <rPr>
        <sz val="12"/>
        <rFont val="Times New Roman"/>
        <family val="1"/>
      </rPr>
      <t>00°46′40″</t>
    </r>
  </si>
  <si>
    <r>
      <rPr>
        <sz val="12"/>
        <rFont val="Times New Roman"/>
        <family val="1"/>
      </rPr>
      <t>Mars</t>
    </r>
  </si>
  <si>
    <r>
      <rPr>
        <sz val="12"/>
        <rFont val="Times New Roman"/>
        <family val="1"/>
      </rPr>
      <t>Ketu</t>
    </r>
  </si>
  <si>
    <r>
      <rPr>
        <sz val="12"/>
        <rFont val="Times New Roman"/>
        <family val="1"/>
      </rPr>
      <t>03°00′00”</t>
    </r>
  </si>
  <si>
    <r>
      <rPr>
        <sz val="12"/>
        <rFont val="Times New Roman"/>
        <family val="1"/>
      </rPr>
      <t>Venus</t>
    </r>
  </si>
  <si>
    <r>
      <rPr>
        <sz val="12"/>
        <rFont val="Times New Roman"/>
        <family val="1"/>
      </rPr>
      <t>03°00′00″</t>
    </r>
  </si>
  <si>
    <r>
      <rPr>
        <sz val="12"/>
        <rFont val="Times New Roman"/>
        <family val="1"/>
      </rPr>
      <t>03°40′00”</t>
    </r>
  </si>
  <si>
    <r>
      <rPr>
        <sz val="12"/>
        <rFont val="Times New Roman"/>
        <family val="1"/>
      </rPr>
      <t>Sun</t>
    </r>
  </si>
  <si>
    <r>
      <rPr>
        <sz val="12"/>
        <rFont val="Times New Roman"/>
        <family val="1"/>
      </rPr>
      <t>03°40′00″</t>
    </r>
  </si>
  <si>
    <r>
      <rPr>
        <sz val="12"/>
        <rFont val="Times New Roman"/>
        <family val="1"/>
      </rPr>
      <t>04°46’40”</t>
    </r>
  </si>
  <si>
    <r>
      <rPr>
        <sz val="12"/>
        <rFont val="Times New Roman"/>
        <family val="1"/>
      </rPr>
      <t>Moon</t>
    </r>
  </si>
  <si>
    <r>
      <rPr>
        <sz val="12"/>
        <rFont val="Times New Roman"/>
        <family val="1"/>
      </rPr>
      <t>04°46′40″</t>
    </r>
  </si>
  <si>
    <r>
      <rPr>
        <sz val="12"/>
        <rFont val="Times New Roman"/>
        <family val="1"/>
      </rPr>
      <t>05°33’20”</t>
    </r>
  </si>
  <si>
    <r>
      <rPr>
        <sz val="12"/>
        <rFont val="Times New Roman"/>
        <family val="1"/>
      </rPr>
      <t>05°33′20″</t>
    </r>
  </si>
  <si>
    <r>
      <rPr>
        <sz val="12"/>
        <rFont val="Times New Roman"/>
        <family val="1"/>
      </rPr>
      <t>07°33’20”</t>
    </r>
  </si>
  <si>
    <r>
      <rPr>
        <sz val="12"/>
        <rFont val="Times New Roman"/>
        <family val="1"/>
      </rPr>
      <t>Rahu</t>
    </r>
  </si>
  <si>
    <r>
      <rPr>
        <sz val="12"/>
        <rFont val="Times New Roman"/>
        <family val="1"/>
      </rPr>
      <t>07°33′20″</t>
    </r>
  </si>
  <si>
    <r>
      <rPr>
        <sz val="12"/>
        <rFont val="Times New Roman"/>
        <family val="1"/>
      </rPr>
      <t>09°20’00”</t>
    </r>
  </si>
  <si>
    <r>
      <rPr>
        <sz val="12"/>
        <rFont val="Times New Roman"/>
        <family val="1"/>
      </rPr>
      <t>Jupiter</t>
    </r>
  </si>
  <si>
    <r>
      <rPr>
        <sz val="12"/>
        <rFont val="Times New Roman"/>
        <family val="1"/>
      </rPr>
      <t>09°20′00″</t>
    </r>
  </si>
  <si>
    <r>
      <rPr>
        <sz val="12"/>
        <rFont val="Times New Roman"/>
        <family val="1"/>
      </rPr>
      <t>11°26’40”</t>
    </r>
  </si>
  <si>
    <r>
      <rPr>
        <sz val="12"/>
        <rFont val="Times New Roman"/>
        <family val="1"/>
      </rPr>
      <t>Saturn</t>
    </r>
  </si>
  <si>
    <r>
      <rPr>
        <sz val="12"/>
        <rFont val="Times New Roman"/>
        <family val="1"/>
      </rPr>
      <t>11°26′40″</t>
    </r>
  </si>
  <si>
    <r>
      <rPr>
        <sz val="12"/>
        <rFont val="Times New Roman"/>
        <family val="1"/>
      </rPr>
      <t>13°20’00”</t>
    </r>
  </si>
  <si>
    <r>
      <rPr>
        <sz val="12"/>
        <rFont val="Times New Roman"/>
        <family val="1"/>
      </rPr>
      <t>Mercury</t>
    </r>
  </si>
  <si>
    <t>Bharani</t>
  </si>
  <si>
    <r>
      <rPr>
        <sz val="12"/>
        <rFont val="Times New Roman"/>
        <family val="1"/>
      </rPr>
      <t>13°20′00″</t>
    </r>
  </si>
  <si>
    <r>
      <rPr>
        <sz val="12"/>
        <rFont val="Times New Roman"/>
        <family val="1"/>
      </rPr>
      <t>15°33′20”</t>
    </r>
  </si>
  <si>
    <r>
      <rPr>
        <sz val="12"/>
        <rFont val="Times New Roman"/>
        <family val="1"/>
      </rPr>
      <t>15°33′20″</t>
    </r>
  </si>
  <si>
    <r>
      <rPr>
        <sz val="12"/>
        <rFont val="Times New Roman"/>
        <family val="1"/>
      </rPr>
      <t>16°13′20”</t>
    </r>
  </si>
  <si>
    <r>
      <rPr>
        <sz val="12"/>
        <rFont val="Times New Roman"/>
        <family val="1"/>
      </rPr>
      <t>16°13’20”</t>
    </r>
  </si>
  <si>
    <r>
      <rPr>
        <sz val="12"/>
        <rFont val="Times New Roman"/>
        <family val="1"/>
      </rPr>
      <t>17°20’00”</t>
    </r>
  </si>
  <si>
    <r>
      <rPr>
        <sz val="12"/>
        <rFont val="Times New Roman"/>
        <family val="1"/>
      </rPr>
      <t>18°06’40”</t>
    </r>
  </si>
  <si>
    <r>
      <rPr>
        <sz val="12"/>
        <rFont val="Times New Roman"/>
        <family val="1"/>
      </rPr>
      <t>20°06’40”</t>
    </r>
  </si>
  <si>
    <r>
      <rPr>
        <sz val="12"/>
        <rFont val="Times New Roman"/>
        <family val="1"/>
      </rPr>
      <t>21°53’20”</t>
    </r>
  </si>
  <si>
    <r>
      <rPr>
        <sz val="12"/>
        <rFont val="Times New Roman"/>
        <family val="1"/>
      </rPr>
      <t>24°00’00”</t>
    </r>
  </si>
  <si>
    <r>
      <rPr>
        <sz val="12"/>
        <rFont val="Times New Roman"/>
        <family val="1"/>
      </rPr>
      <t>25°53’20”</t>
    </r>
  </si>
  <si>
    <r>
      <rPr>
        <sz val="12"/>
        <rFont val="Times New Roman"/>
        <family val="1"/>
      </rPr>
      <t>26°40’00”</t>
    </r>
  </si>
  <si>
    <t>Krittika</t>
  </si>
  <si>
    <r>
      <rPr>
        <sz val="12"/>
        <rFont val="Times New Roman"/>
        <family val="1"/>
      </rPr>
      <t>26°40′00”</t>
    </r>
  </si>
  <si>
    <r>
      <rPr>
        <sz val="12"/>
        <rFont val="Times New Roman"/>
        <family val="1"/>
      </rPr>
      <t>27°20′00”</t>
    </r>
  </si>
  <si>
    <r>
      <rPr>
        <sz val="12"/>
        <rFont val="Times New Roman"/>
        <family val="1"/>
      </rPr>
      <t>27°20’00”</t>
    </r>
  </si>
  <si>
    <r>
      <rPr>
        <sz val="12"/>
        <rFont val="Times New Roman"/>
        <family val="1"/>
      </rPr>
      <t>28°26’40”</t>
    </r>
  </si>
  <si>
    <r>
      <rPr>
        <sz val="12"/>
        <rFont val="Times New Roman"/>
        <family val="1"/>
      </rPr>
      <t>29°13’20”</t>
    </r>
  </si>
  <si>
    <r>
      <rPr>
        <sz val="12"/>
        <rFont val="Times New Roman"/>
        <family val="1"/>
      </rPr>
      <t>30°00’00”</t>
    </r>
  </si>
  <si>
    <r>
      <rPr>
        <sz val="12"/>
        <rFont val="Times New Roman"/>
        <family val="1"/>
      </rPr>
      <t>Taurus</t>
    </r>
  </si>
  <si>
    <r>
      <rPr>
        <sz val="12"/>
        <rFont val="Times New Roman"/>
        <family val="1"/>
      </rPr>
      <t>00°00’00”</t>
    </r>
  </si>
  <si>
    <r>
      <rPr>
        <sz val="12"/>
        <rFont val="Times New Roman"/>
        <family val="1"/>
      </rPr>
      <t>01°13’20”</t>
    </r>
  </si>
  <si>
    <r>
      <rPr>
        <sz val="12"/>
        <rFont val="Times New Roman"/>
        <family val="1"/>
      </rPr>
      <t>03°00’00’</t>
    </r>
  </si>
  <si>
    <r>
      <rPr>
        <sz val="12"/>
        <rFont val="Times New Roman"/>
        <family val="1"/>
      </rPr>
      <t>03°00’00”</t>
    </r>
  </si>
  <si>
    <r>
      <rPr>
        <sz val="12"/>
        <rFont val="Times New Roman"/>
        <family val="1"/>
      </rPr>
      <t>05°06’40”</t>
    </r>
  </si>
  <si>
    <r>
      <rPr>
        <sz val="12"/>
        <rFont val="Times New Roman"/>
        <family val="1"/>
      </rPr>
      <t>07°00’00”</t>
    </r>
  </si>
  <si>
    <r>
      <rPr>
        <sz val="12"/>
        <rFont val="Times New Roman"/>
        <family val="1"/>
      </rPr>
      <t>07°46’40”</t>
    </r>
  </si>
  <si>
    <r>
      <rPr>
        <sz val="12"/>
        <rFont val="Times New Roman"/>
        <family val="1"/>
      </rPr>
      <t>07:46’40”</t>
    </r>
  </si>
  <si>
    <r>
      <rPr>
        <sz val="12"/>
        <rFont val="Times New Roman"/>
        <family val="1"/>
      </rPr>
      <t>10°00’00”</t>
    </r>
  </si>
  <si>
    <t>Rohini</t>
  </si>
  <si>
    <r>
      <rPr>
        <sz val="12"/>
        <rFont val="Times New Roman"/>
        <family val="1"/>
      </rPr>
      <t>10°00′00”</t>
    </r>
  </si>
  <si>
    <r>
      <rPr>
        <sz val="12"/>
        <rFont val="Times New Roman"/>
        <family val="1"/>
      </rPr>
      <t>11°06′40”</t>
    </r>
  </si>
  <si>
    <r>
      <rPr>
        <sz val="12"/>
        <rFont val="Times New Roman"/>
        <family val="1"/>
      </rPr>
      <t>11°06’40”</t>
    </r>
  </si>
  <si>
    <r>
      <rPr>
        <sz val="12"/>
        <rFont val="Times New Roman"/>
        <family val="1"/>
      </rPr>
      <t>11°53’20”</t>
    </r>
  </si>
  <si>
    <r>
      <rPr>
        <sz val="12"/>
        <rFont val="Times New Roman"/>
        <family val="1"/>
      </rPr>
      <t>13°53’20”</t>
    </r>
  </si>
  <si>
    <r>
      <rPr>
        <sz val="12"/>
        <rFont val="Times New Roman"/>
        <family val="1"/>
      </rPr>
      <t>15°40’00”</t>
    </r>
  </si>
  <si>
    <r>
      <rPr>
        <sz val="12"/>
        <rFont val="Times New Roman"/>
        <family val="1"/>
      </rPr>
      <t>17°46’40”</t>
    </r>
  </si>
  <si>
    <r>
      <rPr>
        <sz val="12"/>
        <rFont val="Times New Roman"/>
        <family val="1"/>
      </rPr>
      <t>19°40’00”</t>
    </r>
  </si>
  <si>
    <r>
      <rPr>
        <sz val="12"/>
        <rFont val="Times New Roman"/>
        <family val="1"/>
      </rPr>
      <t>20°26’40”</t>
    </r>
  </si>
  <si>
    <r>
      <rPr>
        <sz val="12"/>
        <rFont val="Times New Roman"/>
        <family val="1"/>
      </rPr>
      <t>22°40’00”</t>
    </r>
  </si>
  <si>
    <r>
      <rPr>
        <sz val="12"/>
        <rFont val="Times New Roman"/>
        <family val="1"/>
      </rPr>
      <t>23°20’00”</t>
    </r>
  </si>
  <si>
    <t>Mrigashīrsha</t>
  </si>
  <si>
    <r>
      <rPr>
        <sz val="12"/>
        <rFont val="Times New Roman"/>
        <family val="1"/>
      </rPr>
      <t>24°06:40”</t>
    </r>
  </si>
  <si>
    <r>
      <rPr>
        <sz val="12"/>
        <rFont val="Times New Roman"/>
        <family val="1"/>
      </rPr>
      <t>24°06’40”</t>
    </r>
  </si>
  <si>
    <r>
      <rPr>
        <sz val="12"/>
        <rFont val="Times New Roman"/>
        <family val="1"/>
      </rPr>
      <t>26°06’40”</t>
    </r>
  </si>
  <si>
    <r>
      <rPr>
        <sz val="12"/>
        <rFont val="Times New Roman"/>
        <family val="1"/>
      </rPr>
      <t>27°53’20”</t>
    </r>
  </si>
  <si>
    <r>
      <rPr>
        <sz val="12"/>
        <rFont val="Times New Roman"/>
        <family val="1"/>
      </rPr>
      <t>Gemini</t>
    </r>
  </si>
  <si>
    <r>
      <rPr>
        <sz val="12"/>
        <rFont val="Times New Roman"/>
        <family val="1"/>
      </rPr>
      <t>01°53’20”</t>
    </r>
  </si>
  <si>
    <r>
      <rPr>
        <sz val="12"/>
        <rFont val="Times New Roman"/>
        <family val="1"/>
      </rPr>
      <t>02°40’00”</t>
    </r>
  </si>
  <si>
    <r>
      <rPr>
        <sz val="12"/>
        <rFont val="Times New Roman"/>
        <family val="1"/>
      </rPr>
      <t>04°53’20”</t>
    </r>
  </si>
  <si>
    <r>
      <rPr>
        <sz val="12"/>
        <rFont val="Times New Roman"/>
        <family val="1"/>
      </rPr>
      <t>06°40’00”</t>
    </r>
  </si>
  <si>
    <t>Ardra</t>
  </si>
  <si>
    <r>
      <rPr>
        <sz val="12"/>
        <rFont val="Times New Roman"/>
        <family val="1"/>
      </rPr>
      <t>08°40’00”</t>
    </r>
  </si>
  <si>
    <r>
      <rPr>
        <sz val="12"/>
        <rFont val="Times New Roman"/>
        <family val="1"/>
      </rPr>
      <t>10°26’40”</t>
    </r>
  </si>
  <si>
    <r>
      <rPr>
        <sz val="12"/>
        <rFont val="Times New Roman"/>
        <family val="1"/>
      </rPr>
      <t>12°33’20”</t>
    </r>
  </si>
  <si>
    <r>
      <rPr>
        <sz val="12"/>
        <rFont val="Times New Roman"/>
        <family val="1"/>
      </rPr>
      <t>12°33’20</t>
    </r>
  </si>
  <si>
    <r>
      <rPr>
        <sz val="12"/>
        <rFont val="Times New Roman"/>
        <family val="1"/>
      </rPr>
      <t>14°26’40”</t>
    </r>
  </si>
  <si>
    <r>
      <rPr>
        <sz val="12"/>
        <rFont val="Times New Roman"/>
        <family val="1"/>
      </rPr>
      <t>15°13’20”</t>
    </r>
  </si>
  <si>
    <r>
      <rPr>
        <sz val="12"/>
        <rFont val="Times New Roman"/>
        <family val="1"/>
      </rPr>
      <t>17°26’40”</t>
    </r>
  </si>
  <si>
    <r>
      <rPr>
        <sz val="12"/>
        <rFont val="Times New Roman"/>
        <family val="1"/>
      </rPr>
      <t>19°13’20”</t>
    </r>
  </si>
  <si>
    <r>
      <rPr>
        <sz val="12"/>
        <rFont val="Times New Roman"/>
        <family val="1"/>
      </rPr>
      <t>20°00’00”</t>
    </r>
  </si>
  <si>
    <t>Punarvasu</t>
  </si>
  <si>
    <r>
      <rPr>
        <sz val="12"/>
        <rFont val="Times New Roman"/>
        <family val="1"/>
      </rPr>
      <t>21°46’40”</t>
    </r>
  </si>
  <si>
    <r>
      <rPr>
        <sz val="12"/>
        <rFont val="Times New Roman"/>
        <family val="1"/>
      </rPr>
      <t>23°53’20”</t>
    </r>
  </si>
  <si>
    <r>
      <rPr>
        <sz val="12"/>
        <rFont val="Times New Roman"/>
        <family val="1"/>
      </rPr>
      <t>25°46’40”</t>
    </r>
  </si>
  <si>
    <r>
      <rPr>
        <sz val="12"/>
        <rFont val="Times New Roman"/>
        <family val="1"/>
      </rPr>
      <t>26°33’20”</t>
    </r>
  </si>
  <si>
    <r>
      <rPr>
        <sz val="12"/>
        <rFont val="Times New Roman"/>
        <family val="1"/>
      </rPr>
      <t>28°46’40”</t>
    </r>
  </si>
  <si>
    <r>
      <rPr>
        <sz val="12"/>
        <rFont val="Times New Roman"/>
        <family val="1"/>
      </rPr>
      <t>29°26’40”</t>
    </r>
  </si>
  <si>
    <r>
      <rPr>
        <sz val="12"/>
        <rFont val="Times New Roman"/>
        <family val="1"/>
      </rPr>
      <t>Cancer</t>
    </r>
  </si>
  <si>
    <r>
      <rPr>
        <sz val="12"/>
        <rFont val="Times New Roman"/>
        <family val="1"/>
      </rPr>
      <t>00°33’20”</t>
    </r>
  </si>
  <si>
    <r>
      <rPr>
        <sz val="12"/>
        <rFont val="Times New Roman"/>
        <family val="1"/>
      </rPr>
      <t>01°20’00”</t>
    </r>
  </si>
  <si>
    <r>
      <rPr>
        <sz val="12"/>
        <rFont val="Times New Roman"/>
        <family val="1"/>
      </rPr>
      <t>03°20’00”</t>
    </r>
  </si>
  <si>
    <t>Pushya</t>
  </si>
  <si>
    <r>
      <rPr>
        <sz val="12"/>
        <rFont val="Times New Roman"/>
        <family val="1"/>
      </rPr>
      <t>05°26’40”</t>
    </r>
  </si>
  <si>
    <r>
      <rPr>
        <sz val="12"/>
        <rFont val="Times New Roman"/>
        <family val="1"/>
      </rPr>
      <t>07°20’00”</t>
    </r>
  </si>
  <si>
    <r>
      <rPr>
        <sz val="12"/>
        <rFont val="Times New Roman"/>
        <family val="1"/>
      </rPr>
      <t>08°06’40”</t>
    </r>
  </si>
  <si>
    <r>
      <rPr>
        <sz val="12"/>
        <rFont val="Times New Roman"/>
        <family val="1"/>
      </rPr>
      <t>10°20’00”</t>
    </r>
  </si>
  <si>
    <r>
      <rPr>
        <sz val="12"/>
        <rFont val="Times New Roman"/>
        <family val="1"/>
      </rPr>
      <t>11°00’00’</t>
    </r>
  </si>
  <si>
    <r>
      <rPr>
        <sz val="12"/>
        <rFont val="Times New Roman"/>
        <family val="1"/>
      </rPr>
      <t>12°06’40’</t>
    </r>
  </si>
  <si>
    <r>
      <rPr>
        <sz val="12"/>
        <rFont val="Times New Roman"/>
        <family val="1"/>
      </rPr>
      <t>12°53’20”</t>
    </r>
  </si>
  <si>
    <r>
      <rPr>
        <sz val="12"/>
        <rFont val="Times New Roman"/>
        <family val="1"/>
      </rPr>
      <t>14°53’20”</t>
    </r>
  </si>
  <si>
    <r>
      <rPr>
        <sz val="12"/>
        <rFont val="Times New Roman"/>
        <family val="1"/>
      </rPr>
      <t>16°40’00”</t>
    </r>
  </si>
  <si>
    <t>Āshleshā</t>
  </si>
  <si>
    <r>
      <rPr>
        <sz val="12"/>
        <rFont val="Times New Roman"/>
        <family val="1"/>
      </rPr>
      <t>18°33’21”</t>
    </r>
  </si>
  <si>
    <r>
      <rPr>
        <sz val="12"/>
        <rFont val="Times New Roman"/>
        <family val="1"/>
      </rPr>
      <t>19°20’00”</t>
    </r>
  </si>
  <si>
    <r>
      <rPr>
        <sz val="12"/>
        <rFont val="Times New Roman"/>
        <family val="1"/>
      </rPr>
      <t>21°33’20”</t>
    </r>
  </si>
  <si>
    <r>
      <rPr>
        <sz val="12"/>
        <rFont val="Times New Roman"/>
        <family val="1"/>
      </rPr>
      <t>22°13’20”</t>
    </r>
  </si>
  <si>
    <r>
      <rPr>
        <sz val="12"/>
        <rFont val="Times New Roman"/>
        <family val="1"/>
      </rPr>
      <t>23°20’00</t>
    </r>
  </si>
  <si>
    <r>
      <rPr>
        <sz val="12"/>
        <rFont val="Times New Roman"/>
        <family val="1"/>
      </rPr>
      <t>Leo</t>
    </r>
  </si>
  <si>
    <t>Maghā</t>
  </si>
  <si>
    <r>
      <rPr>
        <sz val="12"/>
        <rFont val="Times New Roman"/>
        <family val="1"/>
      </rPr>
      <t>00°46’40”</t>
    </r>
  </si>
  <si>
    <r>
      <rPr>
        <sz val="12"/>
        <rFont val="Times New Roman"/>
        <family val="1"/>
      </rPr>
      <t>03°40’00”</t>
    </r>
  </si>
  <si>
    <r>
      <rPr>
        <sz val="12"/>
        <rFont val="Times New Roman"/>
        <family val="1"/>
      </rPr>
      <t>04°46’40’</t>
    </r>
  </si>
  <si>
    <t>Pūrva Phalgunī</t>
  </si>
  <si>
    <r>
      <rPr>
        <sz val="12"/>
        <rFont val="Times New Roman"/>
        <family val="1"/>
      </rPr>
      <t>15°33’20”</t>
    </r>
  </si>
  <si>
    <t xml:space="preserve">Uttara Phalgunī </t>
  </si>
  <si>
    <r>
      <rPr>
        <sz val="12"/>
        <rFont val="Times New Roman"/>
        <family val="1"/>
      </rPr>
      <t>Virgo</t>
    </r>
  </si>
  <si>
    <t>Hasta</t>
  </si>
  <si>
    <t>Chitra</t>
  </si>
  <si>
    <r>
      <rPr>
        <sz val="12"/>
        <rFont val="Times New Roman"/>
        <family val="1"/>
      </rPr>
      <t>Libra</t>
    </r>
  </si>
  <si>
    <t>Svati</t>
  </si>
  <si>
    <r>
      <rPr>
        <sz val="12"/>
        <rFont val="Times New Roman"/>
        <family val="1"/>
      </rPr>
      <t>08°40’00’</t>
    </r>
  </si>
  <si>
    <t>Vishakha</t>
  </si>
  <si>
    <r>
      <rPr>
        <sz val="12"/>
        <rFont val="Times New Roman"/>
        <family val="1"/>
      </rPr>
      <t>Scorpio</t>
    </r>
  </si>
  <si>
    <t>Anuradha</t>
  </si>
  <si>
    <r>
      <rPr>
        <sz val="12"/>
        <rFont val="Times New Roman"/>
        <family val="1"/>
      </rPr>
      <t>11°00’00”</t>
    </r>
  </si>
  <si>
    <r>
      <rPr>
        <sz val="12"/>
        <rFont val="Times New Roman"/>
        <family val="1"/>
      </rPr>
      <t>12°06’40”</t>
    </r>
  </si>
  <si>
    <t>Jyeshtha</t>
  </si>
  <si>
    <r>
      <rPr>
        <sz val="12"/>
        <rFont val="Times New Roman"/>
        <family val="1"/>
      </rPr>
      <t>18°33’20”</t>
    </r>
  </si>
  <si>
    <r>
      <rPr>
        <sz val="12"/>
        <rFont val="Times New Roman"/>
        <family val="1"/>
      </rPr>
      <t>Sagittarius</t>
    </r>
  </si>
  <si>
    <t>Mula</t>
  </si>
  <si>
    <r>
      <rPr>
        <sz val="12"/>
        <rFont val="Times New Roman"/>
        <family val="1"/>
      </rPr>
      <t>00°46’40</t>
    </r>
  </si>
  <si>
    <r>
      <rPr>
        <sz val="12"/>
        <rFont val="Times New Roman"/>
        <family val="1"/>
      </rPr>
      <t>05°53’20”</t>
    </r>
  </si>
  <si>
    <t>Purva Ashadha</t>
  </si>
  <si>
    <t>Uttara Ashadha</t>
  </si>
  <si>
    <r>
      <rPr>
        <sz val="12"/>
        <rFont val="Times New Roman"/>
        <family val="1"/>
      </rPr>
      <t>28°26’40</t>
    </r>
  </si>
  <si>
    <r>
      <rPr>
        <sz val="12"/>
        <rFont val="Times New Roman"/>
        <family val="1"/>
      </rPr>
      <t>Capricorn</t>
    </r>
  </si>
  <si>
    <t>Shravana</t>
  </si>
  <si>
    <r>
      <rPr>
        <sz val="12"/>
        <rFont val="Times New Roman"/>
        <family val="1"/>
      </rPr>
      <t>17°46’40</t>
    </r>
  </si>
  <si>
    <r>
      <rPr>
        <sz val="12"/>
        <rFont val="Times New Roman"/>
        <family val="1"/>
      </rPr>
      <t>20°46’40”</t>
    </r>
  </si>
  <si>
    <t>Dhanishta</t>
  </si>
  <si>
    <r>
      <rPr>
        <sz val="12"/>
        <rFont val="Times New Roman"/>
        <family val="1"/>
      </rPr>
      <t>Aquarius</t>
    </r>
  </si>
  <si>
    <r>
      <rPr>
        <sz val="12"/>
        <rFont val="Times New Roman"/>
        <family val="1"/>
      </rPr>
      <t>06°40’20”</t>
    </r>
  </si>
  <si>
    <t>Shatabhisha</t>
  </si>
  <si>
    <t>Purva Bhadrapada</t>
  </si>
  <si>
    <r>
      <rPr>
        <sz val="12"/>
        <rFont val="Times New Roman"/>
        <family val="1"/>
      </rPr>
      <t>Pisces</t>
    </r>
  </si>
  <si>
    <t>Uttara Bhādrapadā</t>
  </si>
  <si>
    <t>Revati</t>
  </si>
  <si>
    <r>
      <rPr>
        <sz val="12"/>
        <rFont val="Times New Roman"/>
        <family val="1"/>
      </rPr>
      <t>27°53’20</t>
    </r>
  </si>
  <si>
    <t>Wealth</t>
  </si>
  <si>
    <t>#</t>
  </si>
  <si>
    <t>Primary House</t>
  </si>
  <si>
    <t>Supporting Houses</t>
  </si>
  <si>
    <t>2, 6, 11</t>
  </si>
  <si>
    <t>Jewels</t>
  </si>
  <si>
    <t>2, 8, 10, 11</t>
  </si>
  <si>
    <t>Lottery</t>
  </si>
  <si>
    <t>3, 5, 8</t>
  </si>
  <si>
    <t>3, 5, 8, 2, 11</t>
  </si>
  <si>
    <t>Stock Trading</t>
  </si>
  <si>
    <t>5, 8, 11</t>
  </si>
  <si>
    <t>2, 8, 11</t>
  </si>
  <si>
    <t xml:space="preserve">Returning borrowed money </t>
  </si>
  <si>
    <t>4, 5, 8, 10</t>
  </si>
  <si>
    <t>Ancestral wealth</t>
  </si>
  <si>
    <t>Inheritance of Vehicles or Property</t>
  </si>
  <si>
    <t>4, 11</t>
  </si>
  <si>
    <t>4, 9, 11 + (2, 6 for income) + (10 for fame)</t>
  </si>
  <si>
    <t>2, 6, 10, 11</t>
  </si>
  <si>
    <t>Salary increment and promotion</t>
  </si>
  <si>
    <t>Debt ridden life</t>
  </si>
  <si>
    <t>5, 8, 12</t>
  </si>
  <si>
    <t>Born to be poor</t>
  </si>
  <si>
    <t>Loss of wealth</t>
  </si>
  <si>
    <t>Loss of income from job</t>
  </si>
  <si>
    <t>Loss of income from retirement</t>
  </si>
  <si>
    <t>5, 9</t>
  </si>
  <si>
    <t>For women, first pregnancy</t>
  </si>
  <si>
    <t>2, 5, 11</t>
  </si>
  <si>
    <t>For women, second pregnancy</t>
  </si>
  <si>
    <t>For women, third pregnancy</t>
  </si>
  <si>
    <t>For women, fourth pregnancy</t>
  </si>
  <si>
    <t>For women, fifth pregnancy</t>
  </si>
  <si>
    <t>For women, six pregnancy onwards 5, 7, 9, 11, 2</t>
  </si>
  <si>
    <t>For men, avoid predicting. If unavoidable, check 11th houses for all children</t>
  </si>
  <si>
    <t>For women and men, if &lt;5&gt;th house lord and it's star lord are in barren signs of Aries, Gemini, Leo or Virgo</t>
  </si>
  <si>
    <t>No Child</t>
  </si>
  <si>
    <t>Denial of Child birth</t>
  </si>
  <si>
    <t>1, 4, 10</t>
  </si>
  <si>
    <t>Always in poor health</t>
  </si>
  <si>
    <t>1, 6, 8, 12</t>
  </si>
  <si>
    <t>Life long diseases</t>
  </si>
  <si>
    <t>School education damaged</t>
  </si>
  <si>
    <t>Ill Health</t>
  </si>
  <si>
    <t>1, 8, 12</t>
  </si>
  <si>
    <t>Loss of job</t>
  </si>
  <si>
    <t>Change of job</t>
  </si>
  <si>
    <t>5</t>
  </si>
  <si>
    <t>Full recovery / cure from disease / Good health</t>
  </si>
  <si>
    <t>5, 11</t>
  </si>
  <si>
    <t>Live in partner / Premarital sex</t>
  </si>
  <si>
    <t>Marriage</t>
  </si>
  <si>
    <t>2, 7, 11 + Fruitful signs</t>
  </si>
  <si>
    <t>Separation</t>
  </si>
  <si>
    <t>1, 6, 10</t>
  </si>
  <si>
    <t>Love marriage</t>
  </si>
  <si>
    <t>2, 7, 11 + 5</t>
  </si>
  <si>
    <t>Delayed marriage</t>
  </si>
  <si>
    <t>2, 7, 11 + 4 + 10</t>
  </si>
  <si>
    <t>Unhappy married life</t>
  </si>
  <si>
    <t>4, 6, 8, 10, 12</t>
  </si>
  <si>
    <t>Divorce</t>
  </si>
  <si>
    <t>1, 6, 10, 12</t>
  </si>
  <si>
    <t>Short travel</t>
  </si>
  <si>
    <t>3, 9, 11, 12</t>
  </si>
  <si>
    <t>Local travel within 30 kms</t>
  </si>
  <si>
    <t>Long travel 30 to 300 kms</t>
  </si>
  <si>
    <t>Long travel above 300 kms</t>
  </si>
  <si>
    <t>Foreign travel</t>
  </si>
  <si>
    <t>Receipt of Visa / Passport / Greencard / Permanent Resident / Citizenship</t>
  </si>
  <si>
    <t>3, 6, 9, 11, 12</t>
  </si>
  <si>
    <t>Construct house</t>
  </si>
  <si>
    <t>Purchase of car</t>
  </si>
  <si>
    <t>4, 9, 10, 11 (+12 for vehicle loan)</t>
  </si>
  <si>
    <t>Sale of property</t>
  </si>
  <si>
    <t>3, 5, 10 + (2/11 for profit) + (8/12 for loss)</t>
  </si>
  <si>
    <t>Income from Partnership Business, Public Relations, Public Contracts, Public Service</t>
  </si>
  <si>
    <t>Direct</t>
  </si>
  <si>
    <t>Sun, Moon, Rahu, Ketu</t>
  </si>
  <si>
    <t>Retrograde</t>
  </si>
  <si>
    <t>Planet appears to go in reverse</t>
  </si>
  <si>
    <t>Mercury, Venus, Mars, Jup, Saturn</t>
  </si>
  <si>
    <t>stars</t>
  </si>
  <si>
    <t>Planets</t>
  </si>
  <si>
    <t>Astrologer/Spiritual</t>
  </si>
  <si>
    <t>Planet always moves in one direction</t>
  </si>
  <si>
    <t>Check rule book and enter rule below</t>
  </si>
  <si>
    <t>Deposition is more important than ownership</t>
  </si>
  <si>
    <t>Step</t>
  </si>
  <si>
    <t>Rule</t>
  </si>
  <si>
    <t>Primary House of Matter in Question:</t>
  </si>
  <si>
    <t>MEENA - PISCES - Jupiter</t>
  </si>
  <si>
    <t>MESHAM - ARIES - Mars</t>
  </si>
  <si>
    <t>VRISHABAM - TAURUS - Venus</t>
  </si>
  <si>
    <t>MITHUNA - GEMINI - Mercury</t>
  </si>
  <si>
    <t>Dual</t>
  </si>
  <si>
    <t>Fruitful</t>
  </si>
  <si>
    <t>Feet</t>
  </si>
  <si>
    <t>Masculine</t>
  </si>
  <si>
    <t>Barren</t>
  </si>
  <si>
    <t>Head</t>
  </si>
  <si>
    <t xml:space="preserve">Feminine </t>
  </si>
  <si>
    <t>Semi Fruitful</t>
  </si>
  <si>
    <t>Throat &amp; Neck</t>
  </si>
  <si>
    <t>Lungs</t>
  </si>
  <si>
    <t>Movable</t>
  </si>
  <si>
    <t>Water</t>
  </si>
  <si>
    <t>Mute</t>
  </si>
  <si>
    <t>Fire</t>
  </si>
  <si>
    <t>Violent</t>
  </si>
  <si>
    <t>Fixed</t>
  </si>
  <si>
    <t>Land</t>
  </si>
  <si>
    <t>Bestial</t>
  </si>
  <si>
    <t>Common</t>
  </si>
  <si>
    <t>Air</t>
  </si>
  <si>
    <t>Human</t>
  </si>
  <si>
    <t>REVATHI</t>
  </si>
  <si>
    <t>16°40 - 30°00</t>
  </si>
  <si>
    <t>MERCURY</t>
  </si>
  <si>
    <t xml:space="preserve">ASHWINI </t>
  </si>
  <si>
    <t>00°00 - 13°20</t>
  </si>
  <si>
    <t>KETU</t>
  </si>
  <si>
    <t>KRITIKA</t>
  </si>
  <si>
    <t>00°00 - 10°00</t>
  </si>
  <si>
    <t>SUN</t>
  </si>
  <si>
    <t>MARIGASHIRA</t>
  </si>
  <si>
    <t>00°00-06°40</t>
  </si>
  <si>
    <t>MARS</t>
  </si>
  <si>
    <t>UTHARABADRAPADHA</t>
  </si>
  <si>
    <t>03°20 - 16°40</t>
  </si>
  <si>
    <t>SATURN</t>
  </si>
  <si>
    <t>BHARANI</t>
  </si>
  <si>
    <t>13°20 - 26°40</t>
  </si>
  <si>
    <t>VENUS</t>
  </si>
  <si>
    <t>ROHINI</t>
  </si>
  <si>
    <t>10°00 - 23°20</t>
  </si>
  <si>
    <t>MOON</t>
  </si>
  <si>
    <t>ARDRA</t>
  </si>
  <si>
    <t>06°40-20°00</t>
  </si>
  <si>
    <t>RAHU</t>
  </si>
  <si>
    <t>PURVABADRAPADHA</t>
  </si>
  <si>
    <t>00°00 - 03°20</t>
  </si>
  <si>
    <t>JUPITER</t>
  </si>
  <si>
    <t>26°40 - 30°00</t>
  </si>
  <si>
    <t>23°20 - 30°00</t>
  </si>
  <si>
    <t>PUNARVASU</t>
  </si>
  <si>
    <t>20°00-30°00</t>
  </si>
  <si>
    <t>KUMBHA - AQUARIUS - Saturn</t>
  </si>
  <si>
    <t>KARKATAKA - CANCER - Moon</t>
  </si>
  <si>
    <t>Ankle</t>
  </si>
  <si>
    <t>Chest &amp; Stomach</t>
  </si>
  <si>
    <t>20°00 - 30°00</t>
  </si>
  <si>
    <t>SHATHABISHA</t>
  </si>
  <si>
    <t>06°40 - 20°00</t>
  </si>
  <si>
    <t>PUSHYA</t>
  </si>
  <si>
    <t>DHANISHTA</t>
  </si>
  <si>
    <t>00°00 - 06°40</t>
  </si>
  <si>
    <t>ASHLESHA</t>
  </si>
  <si>
    <t>MAKARA - CAPRICORN - Saturn</t>
  </si>
  <si>
    <t>SIHMHA - LEO - Sun</t>
  </si>
  <si>
    <t>Knees</t>
  </si>
  <si>
    <t>Heart &amp; Spine</t>
  </si>
  <si>
    <t>23°20-30°00</t>
  </si>
  <si>
    <t>MAGHA</t>
  </si>
  <si>
    <t>SHRAVANA</t>
  </si>
  <si>
    <t>10°00-23°20</t>
  </si>
  <si>
    <t>PURVAPHALGUNI</t>
  </si>
  <si>
    <t>13°20-26°40</t>
  </si>
  <si>
    <t>UTHARASHADA</t>
  </si>
  <si>
    <t>UTHARAPHALGUNI</t>
  </si>
  <si>
    <t>26°40-30°00</t>
  </si>
  <si>
    <t>DHANUS - SAGITTARIUS - Jupiter</t>
  </si>
  <si>
    <t>VRISCHIKAM - SCORPIO - Mars</t>
  </si>
  <si>
    <t>THULA - LIBRA - Venus</t>
  </si>
  <si>
    <t>KANYA - VIRGO - Mercury</t>
  </si>
  <si>
    <t>Hips &amp; Thighs</t>
  </si>
  <si>
    <t>Sex Organs</t>
  </si>
  <si>
    <t>Kidney &amp; Loin</t>
  </si>
  <si>
    <t>Bowel &amp; Abdomen</t>
  </si>
  <si>
    <t>Earth</t>
  </si>
  <si>
    <t>JYESHTA</t>
  </si>
  <si>
    <t>VISHAKHA</t>
  </si>
  <si>
    <t>PURVASHADA</t>
  </si>
  <si>
    <t>ANURADHA</t>
  </si>
  <si>
    <t>SWATHI</t>
  </si>
  <si>
    <t>HASTHA</t>
  </si>
  <si>
    <t>MULA</t>
  </si>
  <si>
    <t>VISHAKA</t>
  </si>
  <si>
    <t>CHITRA</t>
  </si>
  <si>
    <r>
      <rPr>
        <sz val="16"/>
        <rFont val="Calibri"/>
        <family val="2"/>
        <scheme val="minor"/>
      </rPr>
      <t>From (Deg/Min/Sec)</t>
    </r>
  </si>
  <si>
    <r>
      <rPr>
        <sz val="16"/>
        <rFont val="Calibri"/>
        <family val="2"/>
        <scheme val="minor"/>
      </rPr>
      <t>To (Deg/Min/Sec)</t>
    </r>
  </si>
  <si>
    <t>Mahadasa</t>
  </si>
  <si>
    <r>
      <rPr>
        <sz val="16"/>
        <rFont val="Calibri"/>
        <family val="2"/>
        <scheme val="minor"/>
      </rPr>
      <t>00°00′00″</t>
    </r>
  </si>
  <si>
    <r>
      <rPr>
        <sz val="16"/>
        <rFont val="Calibri"/>
        <family val="2"/>
        <scheme val="minor"/>
      </rPr>
      <t>00°46′40″</t>
    </r>
  </si>
  <si>
    <r>
      <rPr>
        <sz val="16"/>
        <rFont val="Calibri"/>
        <family val="2"/>
        <scheme val="minor"/>
      </rPr>
      <t>03°00′00”</t>
    </r>
  </si>
  <si>
    <r>
      <rPr>
        <sz val="16"/>
        <rFont val="Calibri"/>
        <family val="2"/>
        <scheme val="minor"/>
      </rPr>
      <t>03°00′00″</t>
    </r>
  </si>
  <si>
    <r>
      <rPr>
        <sz val="16"/>
        <rFont val="Calibri"/>
        <family val="2"/>
        <scheme val="minor"/>
      </rPr>
      <t>03°40′00”</t>
    </r>
  </si>
  <si>
    <r>
      <rPr>
        <sz val="16"/>
        <rFont val="Calibri"/>
        <family val="2"/>
        <scheme val="minor"/>
      </rPr>
      <t>03°40′00″</t>
    </r>
  </si>
  <si>
    <r>
      <rPr>
        <sz val="16"/>
        <rFont val="Calibri"/>
        <family val="2"/>
        <scheme val="minor"/>
      </rPr>
      <t>04°46’40”</t>
    </r>
  </si>
  <si>
    <r>
      <rPr>
        <sz val="16"/>
        <rFont val="Calibri"/>
        <family val="2"/>
        <scheme val="minor"/>
      </rPr>
      <t>04°46′40″</t>
    </r>
  </si>
  <si>
    <r>
      <rPr>
        <sz val="16"/>
        <rFont val="Calibri"/>
        <family val="2"/>
        <scheme val="minor"/>
      </rPr>
      <t>05°33’20”</t>
    </r>
  </si>
  <si>
    <r>
      <rPr>
        <sz val="16"/>
        <rFont val="Calibri"/>
        <family val="2"/>
        <scheme val="minor"/>
      </rPr>
      <t>05°33′20″</t>
    </r>
  </si>
  <si>
    <r>
      <rPr>
        <sz val="16"/>
        <rFont val="Calibri"/>
        <family val="2"/>
        <scheme val="minor"/>
      </rPr>
      <t>07°33’20”</t>
    </r>
  </si>
  <si>
    <r>
      <rPr>
        <sz val="16"/>
        <rFont val="Calibri"/>
        <family val="2"/>
        <scheme val="minor"/>
      </rPr>
      <t>07°33′20″</t>
    </r>
  </si>
  <si>
    <r>
      <rPr>
        <sz val="16"/>
        <rFont val="Calibri"/>
        <family val="2"/>
        <scheme val="minor"/>
      </rPr>
      <t>09°20’00”</t>
    </r>
  </si>
  <si>
    <r>
      <rPr>
        <sz val="16"/>
        <rFont val="Calibri"/>
        <family val="2"/>
        <scheme val="minor"/>
      </rPr>
      <t>09°20′00″</t>
    </r>
  </si>
  <si>
    <r>
      <rPr>
        <sz val="16"/>
        <rFont val="Calibri"/>
        <family val="2"/>
        <scheme val="minor"/>
      </rPr>
      <t>11°26’40”</t>
    </r>
  </si>
  <si>
    <r>
      <rPr>
        <sz val="16"/>
        <rFont val="Calibri"/>
        <family val="2"/>
        <scheme val="minor"/>
      </rPr>
      <t>11°26′40″</t>
    </r>
  </si>
  <si>
    <r>
      <rPr>
        <sz val="16"/>
        <rFont val="Calibri"/>
        <family val="2"/>
        <scheme val="minor"/>
      </rPr>
      <t>13°20’00”</t>
    </r>
  </si>
  <si>
    <t>Star/Quarter</t>
  </si>
  <si>
    <t>Star-wise Profession</t>
  </si>
  <si>
    <t>Service in factory, police, military, medical, surgery, criminal courts, jail, railways, machinery, iron, steel, copper, commandants, Physicians, Attendants, horses, horse- riders, horse-dealers, horse-groom, handsome, persons as traders, Physiotherapist</t>
  </si>
  <si>
    <t>Makes money through pleasure, sports, music or musical instruments art advertisement, show display, exhibition, silver utensils, eversilver, silk, mobile, automobile, fertilizer, industry, railway, factory, wrestler, cinema theatre, studio, mansion for marriage, animal husbandry, veterinary doctor, slaughter house, tea or coffee estates, caterers, hotels, restaurants, criminal lawyer, judge, leather manufacturer, skins and hides, building contractors, engineer, those who assess and pass orders, revenue department, surgeon, maternity, venereal expert, optician, agriculturist.</t>
  </si>
  <si>
    <t>Krittika 1Q</t>
  </si>
  <si>
    <t>Acquisition of lands, buildings or possession of patrimony, bold punter, dauntless speculator, military, police, industry medical, surgical, navy (Moon in this position or a planet in this star and Moon sub). Defense department, travels, manufacturing chemicals, bombs, crackers, explosives, match boxes, iron and steel utensils, war material, Brahmins and particularly those performing daily Agnihotra, reciters of sacred hymns, white flowers, grammarians, barbers, miners, priests, astrologers, potters and those who know the sacrificial rules.</t>
  </si>
  <si>
    <t>Krittika 2-3-4Q</t>
  </si>
  <si>
    <t xml:space="preserve">Benefit through Government, Victory over enemies, acquires costly jewels and dress, contacts with foreigners, (credit card dues) money collection agents, event managers, music, dance, drama, opera, poet, artist, drawing master, draftsman, sculpture, silk, photography, international trade, installation of parks, decoration, industry, medical department, engineer, tax collector, wool dealer, export of hair, assessment, venereal expert. </t>
  </si>
  <si>
    <t>Caters to the need of the public, hotels, restaurants, lodging -houses, bakeries, boarding houses with comforts and conveniences, bar attached, dealers in houses, lands, fruits, automobile, petrol, oils, milk, dairy farm, ice cream, glass, plastic, scents, perfumeries, soap, sandalwood oil, paints, water, colour, dyes, liquids, acids,  marriage broker, dress and pearls dealer, navy, shipping, clearing agent, judge, politician, tannery, yarn merchant, sugar, sugarcane, sugar- coated tablets, etc. King, wealthy person, observers of vows, merchandises, cartman, cows, bulls, aquatic animals. agriculturists, yogins, mountains and men in authority.</t>
  </si>
  <si>
    <t>Mrigashīrsha 1-2Q</t>
  </si>
  <si>
    <t>Estate owners, land, building, instrumental music, exhibition, display, eversilver, platinum, tailor, dressmaker, mobile structurals, fertilizer, automobile, engineering, income tax and sales tax department, skins and hides, tobacco, snuff, confectionary, marriage, mandapam owners, veterinary doctors, animal husbandry lethal chamber, cartman, rickshaw pullers, taxi drivers, fruit sellers like apple, banana, etc., gains through business, textiles, cinema industry, sound engineer, photography, diamonds, rubies, corals, jewellery, vaseline, snow, face powder, sandal powder, tooth paste, brush, etc.</t>
  </si>
  <si>
    <t>Mrigashīrsha 3-4Q</t>
  </si>
  <si>
    <t>Dealing in machineries, tools instruments, electrical goods, surgical instruments, telephones, telegraph, cables, wires, engineers, surgeons, soldiers, mathematicians, ambassadors, astronomers, building contractors, highways, bridge or dam site constructors, textile, engineers, tape recorder, gramophone, radio dealers, press, publication, computers, calculators, salesman, representatives, agents, brokers, jobbers, thieves, etc. (Aquatic products, fragrant things, flowers, fruits, garments, gems, birds, beasts, foresters, drinkers of Soma juice, letter-bearers, lovers and musicians).</t>
  </si>
  <si>
    <t xml:space="preserve">Salesman, book-seller, stock keeper, Post &amp; Telegraphs Department. Communication, Transport, atomic energy, aerial, radio, advertising, publicity, writer, author, research department, explorer, dealing in drugs, beverages, canned goods, hand-writing expert, fingerprint expert, public appointments, finance broker. Any how this zone of 13°-20' is barren. This area is good for statistics, physics, dynamics, gravitation. </t>
  </si>
  <si>
    <t>Punarvasu 1-2-3Q</t>
  </si>
  <si>
    <t xml:space="preserve">Success in journalism, editing, publishing, correcting, inspecting, story-writing, advertising, publicity, religion, law, literature, poetry, insurance agency, finance broker, accountants, auditors, civil judge, civil engineer, mayor, councilor, school master, preceptor, interpreter, secretary, registrar, messenger, Tamil pandit, astrologer, mathematician, clerk, postman, clothier, woolen merchant, provision dealer. </t>
  </si>
  <si>
    <t>Punarvasu 4Q</t>
  </si>
  <si>
    <t xml:space="preserve">Banker, physician, religious head, temples, economics, statistics, advocate, judge, professor, principal, merchant, sailor, traveller, manager of public conveyance, dealers in fluids, salesman, nurse, midwife, water supplier, female officials. </t>
  </si>
  <si>
    <t xml:space="preserve">Deals in mine products, kerosene, petrol, petroleum products, coal, lands, produce, wells, excavations, canals, trenches, deals in agricultural lands, holds position of trust, plumber, sexton, jailer, grave-digger, engineer digging wells, tanks, etc., and constructing bridges, dams, tunnels, those who work at night and underground, dealers in oils, working in submarine. </t>
  </si>
  <si>
    <t>Salesman, agent, representative, business, commerce, international trade, clerk correspondent, author, writer, manufacturer of ink, paints, accounts, auditing, teacher, interpreter, ambassador, water supply engineer, textile engineer, dealer in yarn, paper, pen, ink, travelling agent, guide, hostess, astrologer, mathematician, water diviner, midwife, nurse, bulbs, roots, fruits, reptile, poison, worms, counterfeits, robbers, husk grain, and all classes of physicians.</t>
  </si>
  <si>
    <t>Contracts big factories, chemical drug manufacturer, criminal lawyers, defense department, surgeons, medical department, Government service or security in service, manufacturer of imitation jewelry, cheap ornaments, electroplating, manufacturers of nickel and chromium plated surgical instruments, weapons (depending on the planet in this position or the sub in Government service includes from menial to minister, peon to president). (People rich in money and corn, men who are devoted to their elders and manes, granaries mountaineers, heroes, women haters, carnivorous beings), Physiotherapist</t>
  </si>
  <si>
    <t>Government service, Transport, Radio, Music, renovation of ancient paintings, preservation of monuments, museums, sports, mobile, automobile, disinfectant for crops, cinema theatre, studio, film section, photography, animal husbandry, slaughter house, lethal chamber, veterinary surgeon, leather, skin, hides, hotels, canteens, revenue department, house building, maternity surgeon, venereal expert, educationist, Vice Chancellor, service in women's colleges or jails, optician, glass dealers, cigarette  manufacturers.</t>
  </si>
  <si>
    <t>Uttara Phalgunī  1Q</t>
  </si>
  <si>
    <t xml:space="preserve">Any service under Government, medical, defense, shipping, navy. industry, commerce, stock exchange-share business, maternity home, heart specialist. </t>
  </si>
  <si>
    <t>Uttara Phalgunī  2-3-4Q</t>
  </si>
  <si>
    <t>Amalgamating a few companies, astronomer, astrologer, communication department, education department, handwriting experts, governor, tourist department, engineering, press, lecturer, correspondent, publication, public relation officer, megaphone, loudspeaker, manufacturer, telephone, mine engineering, State Trading, Corporation, contractors, agents industry, chemical engineering, physician, public health department, hospitals, Registrar of Newspaper, Registrar of birth and death, ambassadors, postal department.</t>
  </si>
  <si>
    <t>Salesman, commerce, overseas, communication, mail order business, shipping, clearing agent, textiles, yarn engineer, bridges, dam sites, canals, tunnels, ink, press, ink manufacturer, advocate, sanitary engineer, export, import, artist, painter, politician, ambassador, embassy, messenger.</t>
  </si>
  <si>
    <t>Chitra 1-2Q</t>
  </si>
  <si>
    <t>Mechanical Engineer, Press, Publication, Building contractor or broker Supplier to jail, criminal lawyer, tax department, Sales Tax, Income-tax, revenue, nor, finance department, factory, industry, electricity, mine, tunnel, trenches, finger print  expert, Police of Law and order and traffic, defense department, military accounts, cost accountant. Persons skilled in the art of ornamenting, painting, jewelry, singing, writing, perfumery, as well as mathematicians, weavers, physicians.</t>
  </si>
  <si>
    <t>Chitra 3-4Q</t>
  </si>
  <si>
    <t xml:space="preserve">Lawyer, Surgeon, scientist, philosopher, religious, endowment, board,  business, Military, Defence Department, Industry, Partnership in business, building contractor, litho press, artistic advertisement, decorators, scents, perfumeries powder, marriage broker, registrar of marriages, sports materials, music, telescope, microscope, radio, television, tape recorder dealers, lady doctor, surgeons, tailors, cigarette and snuff merchants, petroleum products, automobile, spare parts dress, jewels. </t>
  </si>
  <si>
    <t xml:space="preserve">All imitations, mobile, automobile, transport, tourist, music, opera, drama, art, paint, decoration, exhibition, tube light, fan, Frigidaire, hot water equipment, hot air blower, X-ray instrument manufacturer, female enmity, scientists, service in clinics, judge, poet, toilet set manufacturer, confectionery, bakery, women's apparel, fancy goods, perfumeries, readymade dress, maid servant, plastic, mica, ground glass, scents, pasteurized milk, leather goods, Nadaswaram, cooks, builders, silk-mercers, embroiderers, gloves, bonnets. </t>
  </si>
  <si>
    <t>Vishakha 1-2-3Q</t>
  </si>
  <si>
    <t xml:space="preserve">Business with partners, travelling agent, tourist officer, shipping, air travel, dealings with foreigners, pawnbroker, banker's speculator, race-goer, works in building construction, fruit gardens, Tax and revenue departments, foreign trade, floats big companies, judge, auditor, professor, principal, physician, manufacturers, coloured papers , cinema publicity, advertisement through slides, actor, costly dress, lace, jewels, perfumeries, minting, etc.  (Green-gram, sesame, black gram, Bengal Gram, tree with red blossoms and fruits, cotton and men devoted to Indra or Agni). </t>
  </si>
  <si>
    <t>Vishakha 4Q</t>
  </si>
  <si>
    <t>Bank, judge, Criminal Lawyer, Insurance Company, chemical and drug manufacturer, land, estate owner, agriculturist, share market operations, more by jobbing  than by investing, racing, cards, betting, dice, customs, industrial units, harbour, port Trust, defence department, Defence Minister, Village Munsif, Ayurveda medicine.</t>
  </si>
  <si>
    <t xml:space="preserve">Mines engineer, criminal lawyer, medicine, surgeon, instrumental music, industries, mechanical engineer, lead type foundry, actor, Homeopathy, brothel, leather trade, skins and hides, woollen articles, water diviner, kerosene merchant of oil engine, oil crusher, amputation surgeon, Dentist, service in jail, judge, watchman undertaker, plumber, laborious work, arduous nature, coal, mine ores dealers, linseed, groundnut, mustard, cottonseed. </t>
  </si>
  <si>
    <t xml:space="preserve">Chemical Engineer, press publication, ink, typewriter, textile mill, machinery, industry, dam site, canals, thermal station, power house. impounded reservoir, music instrument, jalatharangam, Insurance agent, Surgeon, surgical instrument, tonics, serums manufacturer. Military, Navy accounts, advertisement, publicity, boilers, pumpsets, sessions judge, gallows, jails, postmortem, calculators, telegraph sets, cable and wire manufacturer, boatman representatives. </t>
  </si>
  <si>
    <t>Religious endowment, advocate, judge, teacher, purohit, puranas, ambassador. Congressman, literate, cabinet official, physician, Ayurveda, social worker, counsellor, provision dealers, horse-racing, gain through big ventures, international trade, assembly speaker, exchange, imports, Medicines, Physician, Deacon of Corporations, very rich man, persons dealing in flowers, roots and fruits, seeds, and those that feed on fruits and roots.</t>
  </si>
  <si>
    <t xml:space="preserve">Judge, advocate, banker, cashier, accountant, director, revenue and finance department, food, sugar, silk, cotton, rubber, railways road, building, air travel. Goddess temple, social studies, welfare officer, animal husbandry, garden, nursery, transport, music, film show, foreign trade, foreign exchange, stock exchange, restaurants, hostels, business partner, Ayurveda medicine, physician, women and children hospital, health centre. </t>
  </si>
  <si>
    <t>Uttara Ashadha 1Q</t>
  </si>
  <si>
    <t>Arbitrator, judge, politician,- bank, finance department, shipping, education, religion, international trade, Embassy, Export promotion, Free Trade Physician, Ayurveda medicine, Port Trust, Customs, Jail Department, Refugee Camp, Hospitals, Charitable Institutions.</t>
  </si>
  <si>
    <t>Uttara Ashadha 2-3-4Q</t>
  </si>
  <si>
    <t>Position of trust, estate, mine, coal. Income-tax Officer attending to wealth duty, estate duty, scientific research, finance department, curtailing expenses, control department, archaeology, monuments, antiquities, wool, Homeopathy, jail, Engineer, ancient languages, skins, hides.</t>
  </si>
  <si>
    <t xml:space="preserve">Mine, Mine products, liquids, oils, kerosene, petrol, coal, wetlands, wells, trenches, excavation, tunnels, fisherman, minister, king, agriculturist, plumber, mine engineer, ice cream, Frigidaire, air-cooler, those who serve at night at work underground, driver, pearls, submarine. </t>
  </si>
  <si>
    <t>Dhanishta 1-2Q</t>
  </si>
  <si>
    <t>Mine and ground engineer, death duty, estate duty, insurance, philosopher, Homeopathy, Ayurvedic, Jail department, gallows, murderer, slaughter, house, surgeon dealing with fractures, amputation labourer, labour department, welfare department, refugee camp, rehabilitation, industry, tools, spare parts, etc, distilleries, zinc, cement, metallurgy, lead, quarry, jute, barley, potato.</t>
  </si>
  <si>
    <t>Dhanishta 3-4Q</t>
  </si>
  <si>
    <t>Agriculture, tea, coal, steel plants explorer, mine lead, ferruginous. control and ration office, reclamation of waste lands, Retrenchment office, mine engineer leather, skin, hides, postmortem, slaughter house, police, military, communication, press, foundry, rehabilitation of sufferers from floods, earthquake and war or riots and revolts, monuments, archaeology, building contractor, television, telegram, telephone, electricity, atomic energy, all research stations, silk.</t>
  </si>
  <si>
    <t>Scientist, occult subjects, gravitation, dynamics, electricity, atomic theory, air travel, astronomer, astrologer, amputator, stretcher-carrier, renovation of the ancient science, history, Ration office, census, censor, statistics, stock exchange. Technician, jail department, translation and transliterations of old manuscripts, laboratories, factories, Tanneries, counterfeit.</t>
  </si>
  <si>
    <t>Purva Bhadrapada 1Q</t>
  </si>
  <si>
    <t>Teacher-Dynamics, Statistics, Astronomy, Astrology, medicine, aeroplane, municipality, Corporation, public united concerns, stock exchange, share broker, air travel, research worker, Planning Commission, International trade, overseas bank, Foreign exchange, education, finance, revenue department, insurance, temple, trustee, executive officer, mint currency, mining, corruption department, intelligence department. (C.I.D.)</t>
  </si>
  <si>
    <t>Purva Bhadrapada 2-3-4Q</t>
  </si>
  <si>
    <t>Politician, Professor, Minister, Councilor, President, Legal Education, Religious and Finance department, Judge, Criminal Lawyer, arbitrator, Trustee, Visitor of jails, Hospitals, Famine and refugee camps, Planning Commission, decontrol, Tourist explorer, Physician and Surgeon, Bank, Foreign exchange, Prisoners of war, Risky investments, Associations, Public companies.</t>
  </si>
  <si>
    <t>Home department, Prisons, Asylum, Sanatorium, Isolated hospitals, Prisoner of war, civil jail, political jail, mines, excavator, Engineer, Export, Import, Harbour, Storekeeper, inheritance, traditional business, gains through societies, clubs companies, public appointment, hospitals, religious and charitable institutions, submarine, shipping, foundries, legal, Insurance, intelligence department, C.I.D., education, Tourist home, manufacturer of raincoats, umbrella, sponger boats, life boats etc., oils, fisheries, breweries, river and canal constructor, tunnel construction, trench excavators.</t>
  </si>
  <si>
    <t>Publisher, editor, religious, legal, civil engineering departments, share broker, advertisement, publicity, propaganda, communication, lawyer, judge, professor, politician, ambassador, representative, telephone, typewriter, radio, tape recorder, currency notes, International trade, messengers, embassy, accountant, auditor, trustee, Governor, University, employment exchange, newspapers, clerk, shipping, import, export, excise, customs, harbour, Port Trust, Religious Head-Purohits-Preachers, Industry, Fingerprint expert, successful diplomats, astrologer, mathematician, broker, agent, representative, bank, etc.</t>
  </si>
  <si>
    <t>Parts of the Body</t>
  </si>
  <si>
    <t>Diseases (Sixth Bhava)</t>
  </si>
  <si>
    <t>Aswini</t>
  </si>
  <si>
    <t xml:space="preserve">Head, Cerebral hemispheres. </t>
  </si>
  <si>
    <t>Injury in the head, congestion in the brains, thrombosis, cerebral anaemia, faintings, epilepsy, violence, spasms, severe headache on any one side, neuralgia, coma, trance, cerebral hemorrhages, paralytic stroke, insomnia, malaria, meningitis, smallpox.</t>
  </si>
  <si>
    <t xml:space="preserve">Head, Cerebral hemisphere, organs within the head, eyes. </t>
  </si>
  <si>
    <t xml:space="preserve">Injury in the head, mostly in the forehead and just around the eyes, cold venereal distemper, syphilis affecting face and vision, catarrh in the head, mucus, moist humours, reins afflicted, weakness due to gratifying one's tastes and pleasurable emotions in dissipating habits. </t>
  </si>
  <si>
    <t>Karthikai 1st Quarter</t>
  </si>
  <si>
    <t xml:space="preserve">Head, eyes, Wain, vision. </t>
  </si>
  <si>
    <t xml:space="preserve">Sharp fever, malaria, filaria, plague, smallpox, wounds, cerebral meningitis, brain fever, injury, cuts, accident, explosions, carbuncle, fire accident. </t>
  </si>
  <si>
    <t>Karthikai 2, 3 and 4th Quarters</t>
  </si>
  <si>
    <t xml:space="preserve">Face, neck, Larynx, tonsils, lower jaw, occipital region. </t>
  </si>
  <si>
    <t xml:space="preserve">Pimples, cuts, reddish eye, eyesore, throat troubles, tumours in the knee, quinsy, swelling above neck, polypus of the nose. </t>
  </si>
  <si>
    <t xml:space="preserve">Face, mouth tongue, tonsils, palate, neck, cerebellum, atlas cervical vertebra. </t>
  </si>
  <si>
    <t>Sore-throat, cold, cough, pains in the legs and feet, paining into breast, goiter, apoplexy, irregular menses, swellings.</t>
  </si>
  <si>
    <t>Mrigasira First Half</t>
  </si>
  <si>
    <t>Face, chin, cheeks, larynge, palate, carotid, arteries, jugular veins, inflamed Tonsils.</t>
  </si>
  <si>
    <t xml:space="preserve">Pimples, cuts, and injuries in those parts, pain in the throat, adenoids, diphtheria,weak loins and king's evil, nosebleed, goiter, constipation, venereal, distemper, polypus. </t>
  </si>
  <si>
    <t>Mrigasira Second Half</t>
  </si>
  <si>
    <t>Throat, vocal cord, arms, shoulders, ears, thymus gland, upper ribs.</t>
  </si>
  <si>
    <t>Corrupted blood, stitches, wounds, and fracture of arms, collarbone,fractured femur, sciatica, surfeit, fever, pains in the shoulders near collar bone, arms, disorders in secret parts, inflammation of pericardium.</t>
  </si>
  <si>
    <t>Arudra</t>
  </si>
  <si>
    <t xml:space="preserve">Throat, arms, shoulders. </t>
  </si>
  <si>
    <t>Septic throat, mumps, asthma, eosinophilia, dry cough, diphtheria, ear trouble, pus in the ear.</t>
  </si>
  <si>
    <t>Punarvasu 1, 2, 3 quarter</t>
  </si>
  <si>
    <t xml:space="preserve">Ear, throat, shoulder blades. </t>
  </si>
  <si>
    <t xml:space="preserve">Pleurisy, bronchitis, pneumonia, reins disorder, pericardium inflammation, swelling and pain in the ear, goiter due to iodine deficiency, infiltration in the upper lobe of the lungs, pulmonary apoplexy. </t>
  </si>
  <si>
    <t>Punarvasu 4th Quarter</t>
  </si>
  <si>
    <t xml:space="preserve">Lungs, respiratory system, chest, stomach, oesophagus, diaphragm, pancreas, mammae, lacteals, upper lobes of liver, thoracic. </t>
  </si>
  <si>
    <t xml:space="preserve">Dropsy, beri-beri, stomach upset, irregular appetite, corrupt blood, tuberculosis, pneumonia, bronchitis, liver complaint, jaundice, gourmandize, dyspepsia. </t>
  </si>
  <si>
    <t>Pushyam</t>
  </si>
  <si>
    <t xml:space="preserve">Lungs, stomach and ribs. </t>
  </si>
  <si>
    <t>Tuberculosis, ulcerations in the respiratory system, gastric ulcer, gallstones, nausea, belching, obstruction, bruises in the breast, scurvy, cancer, phthisis, jaundice, cough, hiccough, eczema, pyorrhoea, dyspepsia.</t>
  </si>
  <si>
    <t>Aslesha</t>
  </si>
  <si>
    <t xml:space="preserve">Lungs, stomach, oesophagus, diaphragm, pancreas, liver. </t>
  </si>
  <si>
    <t xml:space="preserve">Vitamin 'B' deficiency, cold stomach, windiness, wind pressing the diaphragm making it difficult to breathe, distillation of rectum, pains in knees and legs. Drunkenness, phlegm, flatulence, nephritis, hypochondria, hysteria, dropsy, jaundice, nervous, indigestion. </t>
  </si>
  <si>
    <t>Makam</t>
  </si>
  <si>
    <t xml:space="preserve">Heart, back, spinal cord, spleen, dorsal region of spine, aorta. </t>
  </si>
  <si>
    <t xml:space="preserve">Heart affected by sudden shock, grief or, poison, pains in the back, cholera, humours, gravel in kidneys, palpitation, regurgitation, faintings, spinal meningitis. </t>
  </si>
  <si>
    <t>Poorvapalguni</t>
  </si>
  <si>
    <t xml:space="preserve">Heart, Spinal Cord. </t>
  </si>
  <si>
    <t>Due to disappointment in love, heart affected. Loss of children, affecting hearts, all due to shocks and irreparable loss. Curvature of the spine, anaemia, hydraemia, pain in legs, swelling of ankle, .blood pressure, aneurysm, swelling of heart, valves affected.</t>
  </si>
  <si>
    <t>Uthrapalguni I-Quarter</t>
  </si>
  <si>
    <t xml:space="preserve">Spinal cord. </t>
  </si>
  <si>
    <t xml:space="preserve">Pains in the back and in the head, spotted fever, plague, hyperaemia. faintings, blood pressure, becomes mad temporarily due to clotting of blood in the capillaries in the brain, palpitation, backache. </t>
  </si>
  <si>
    <t>Uthrapalguni-2nd, 3rd and 4th Padas</t>
  </si>
  <si>
    <t xml:space="preserve">Intestines, bowels, liver. </t>
  </si>
  <si>
    <t xml:space="preserve">Tumours in the bowels, obstructions, stomach also disordered, sore-throat and swelling in neck. </t>
  </si>
  <si>
    <t>Hastham</t>
  </si>
  <si>
    <t xml:space="preserve">Bowels, intestines, secreting, glands, enzyme. </t>
  </si>
  <si>
    <t>Vitamin `B' deficiency, gas formation, flatulence, loose bowels, pain and disorder in the bowels, obstructions, sarms and shoulders weak, short breath, worms, mucus, cholera, diarrhea, typhoid, amoebic, and bacillary dysentery, neuralgia (imagination), fear complex, hysteria.</t>
  </si>
  <si>
    <t>Chitra - First Half</t>
  </si>
  <si>
    <t xml:space="preserve">Belly, Lower part. </t>
  </si>
  <si>
    <t xml:space="preserve">Ulcers, sharp and acute pains, choleric humours, worms, irritation and itching, legs paining, dry-griping p wounds from insects, reptiles and animals. </t>
  </si>
  <si>
    <t>Chitra 3rd and 4th Padas</t>
  </si>
  <si>
    <t>Kidney, Loins, Hernia, Appendicitis, lumbar region of the spine, vasomotor system.</t>
  </si>
  <si>
    <t xml:space="preserve">Polyuria, inflammation of ureter connecting kidney and bladder, Bright's diseases, lumbago, kidney trouble, excess of urine, haemorrhage of the kidneys, renal stone, sunstroke, brain fever, pains in head. </t>
  </si>
  <si>
    <t>Swathi</t>
  </si>
  <si>
    <t xml:space="preserve">Skin, kidneys, ureter, appendicitis, hernia, bladder. </t>
  </si>
  <si>
    <t xml:space="preserve">Polyuria, urinary trouble, ureters ulcerated, pus formation, Bright's disease, eczema, skin trouble, leprosy. </t>
  </si>
  <si>
    <t>Visakam - 1, 2 and 3 Padas</t>
  </si>
  <si>
    <t>Lower abdomen, parts near bladder, kidneys and pancreatic gland.</t>
  </si>
  <si>
    <t xml:space="preserve">Deficiency of Adrenal secretion, renal abscess, skin eruption, diabetes, kidney sluggish, insulin deficient, congestion of brain, coma, vertigo. </t>
  </si>
  <si>
    <t>Visakam 4th Quarter</t>
  </si>
  <si>
    <t>Bladder, Urethra, genital organs, rectum, descending colon, prostate gland.</t>
  </si>
  <si>
    <t>Diseases of the womb, fibroid tumour, prostate gland enlargement, urinary trouble, frequent micturition, abnormal bleeding during menses, rupture, renal stones and gravel, uterine tumours, urethral abscess, dropsy, hydraemia, urates in excess,strangury, apoplexy, nose bleed.</t>
  </si>
  <si>
    <t xml:space="preserve">Bladder, genital organs, rectum, nasal bones, bones near genital organs. </t>
  </si>
  <si>
    <t>Suppression of menses, poor bleeding and severe pain stricture, sterility, constipation, piles, painful and not bleeding, nasal catarrh, phlegm, sore throat, fracture, hip-bone.</t>
  </si>
  <si>
    <t>Jyeshta</t>
  </si>
  <si>
    <t xml:space="preserve">Colon, anus genital organs, ovaries, womb. </t>
  </si>
  <si>
    <t xml:space="preserve">Leucorrhoea, bleeding piles, fistula, tumour, distemper in secret parts, affliction of bowels, pains in arms and shoulders. </t>
  </si>
  <si>
    <t>Moolam</t>
  </si>
  <si>
    <t xml:space="preserve">Hips, thighs, femur, ilium, sciatic nerves. </t>
  </si>
  <si>
    <t>Locomotor ataxia, rheumatism, lumbago, hip diseases, pulmonary troubles</t>
  </si>
  <si>
    <t>Poorvashada</t>
  </si>
  <si>
    <t xml:space="preserve">Thighs, hips, the coccygeal and sacral regions of the spine, the iliac arteries and veins. </t>
  </si>
  <si>
    <t xml:space="preserve">Sciatica, diabetes, rheumatism. respiratory diseases, cancer in lungs, hip gout, surfeits, cold, moist, humour, putrefaction of blood. swellings above the knees. </t>
  </si>
  <si>
    <t>Uthrashada I Quarter</t>
  </si>
  <si>
    <t xml:space="preserve">Thighs, femur, arteries. </t>
  </si>
  <si>
    <t xml:space="preserve">Sciatica, Paralysis of limbs, pulmonary diseases, eyes affected. </t>
  </si>
  <si>
    <t>Uthrashada-2nd, 3rd and 4th padas</t>
  </si>
  <si>
    <t>Skin, knees, patella.</t>
  </si>
  <si>
    <t>Eczema, skin diseases. leprosy. crysipelas, digestive trouble, uneasiness due to gas in the stomach, dull pain, rheumatism, palpitation of hearts, cardiac thrombosis.</t>
  </si>
  <si>
    <t>Sravana</t>
  </si>
  <si>
    <t>Lymphatic vessels, knee, skin</t>
  </si>
  <si>
    <t>Filaria, eczema, skin diseases, leprosy, boils, pus formation, rheumatism, tuberculosis, pleurisy and poor digestion.</t>
  </si>
  <si>
    <t>Dhanishta First Half</t>
  </si>
  <si>
    <t>Knee-cap bones.</t>
  </si>
  <si>
    <t xml:space="preserve">Injury in the leg, Eosinophilia, dry cough, Hiccough, flying gout, lameness, amputation. </t>
  </si>
  <si>
    <t>Dhanishta Second Half</t>
  </si>
  <si>
    <t>Ankles, limbs, portion between knees and ankles.</t>
  </si>
  <si>
    <t>Fracture of the leg, Varicose Veins, blood poisoning, heart failure, Cardiac thrombosis, high blood pressure, overheated blood, palpitation, fainting.</t>
  </si>
  <si>
    <t>Sathabhisha</t>
  </si>
  <si>
    <t>Portion between knees and ankles, calf muscle.</t>
  </si>
  <si>
    <t>Rheumatism, rheumatic heart, eczema, leprosy, palpitation, high blood pressure, fracture, amputation, lame, guinea worm.</t>
  </si>
  <si>
    <t>Poorvapathrapada- 1,2,3 Quarters,</t>
  </si>
  <si>
    <t>Ankles.</t>
  </si>
  <si>
    <t>Apoplexy, irregularity of heart, dropsy, milk- leg, swollen ankles, palpitation, dilated heart, low blood pressure.</t>
  </si>
  <si>
    <t>Pourvapathrapada IV quarter</t>
  </si>
  <si>
    <t>Feet, Toes.</t>
  </si>
  <si>
    <t>Swelling, perspiring feet, enlarged liver, abdominal tumour, intestines affected, hernia, jaundice, sprue, corns.</t>
  </si>
  <si>
    <t>Uthrapathrapada</t>
  </si>
  <si>
    <t>Feet.</t>
  </si>
  <si>
    <t>Rheumatic pains drop foot, indigestion, Constipation, hernia, flatulence fracture in the foot, coldfoot, tuberculosis, dropsy.</t>
  </si>
  <si>
    <t xml:space="preserve">Revathi </t>
  </si>
  <si>
    <t>Feet and toes.</t>
  </si>
  <si>
    <t>Abdominal disorders, troubles, deformities of the feet, intestinal ulcers mostly due to drinks and drugs, gout in the feet, cramps. Nephritis, lassitude, deafness, pus in the ear.</t>
  </si>
  <si>
    <t>Planet</t>
  </si>
  <si>
    <t>Deposition</t>
  </si>
  <si>
    <t>Signification</t>
  </si>
  <si>
    <t>Generous, determined, frank, dignity, independent, hopeful, good constitution, satisfactory immunity, successful attempts, good relationship with officers, promotion, smooth life, defective vision, boastful, lofty, proud, magnanimous, confident, just, ambitious, hot temper, proud and haughty, noble and aspiring, loves science and arts, fond of opposite sex, chemist, doctor, gains fame and name.</t>
  </si>
  <si>
    <t>Inheritance, gain by one's Industry or through Government or holding responsible position. Generous, social, fond of sports and pleasure. If afflicted loss of money, immoral life, nasty talk, extravagant and impulsive expenses.</t>
  </si>
  <si>
    <t>Commands respect, bold, courageous, gains through relatives, good understanding with neighbours, success in agency, good for business, creative, victory over enemies, good health, reputation and honour. If afflicted, troubles, anxious, anonymous petitions, false reports, difficulties.</t>
  </si>
  <si>
    <t>Realise ambition, purchase of property, land or gain through estate, inherits property. If afflicted, obstacles, troubles, difficulty in old age, blood pressure, undomestic environments and loss of property.</t>
  </si>
  <si>
    <t>Gains through speculation, children, amusement, cinema etc. Difficulty during childbirth. May go on journey to forest region, intestinal disorders. If afflicted, loss, rivalry in courtship, difficulty through love affairs and trouble with children.</t>
  </si>
  <si>
    <t>Not good for health, weakness, constitution, gain through service, promotion, chemistry, medicine, hospital, heart trouble, organic trouble, intelligent, bold, victory over enemies, big family, self-esteem.</t>
  </si>
  <si>
    <t>Success after marriage, magnanimous, determined, permanent attachment, popular, litigation averted by arbitration, compromise, gains through partners in business, if afflicted loose morals, late marriage, henpecked, travels, both partners character questionable; beneficial aspect shows virtuous, two wives, illness to partner, venereal disease, defective vision, displeasure from officials.</t>
  </si>
  <si>
    <t>Better luck after marriage, gains by partnership. End by self-sacrifice or any heroic action. Improves vitality, contributes long life, Few children. if afflicted weak constitution, defective vision, economical, violent end. In a female's chart, the husband passes away first, loss of wealth, immoral connection, litigation and poverty.</t>
  </si>
  <si>
    <t>Religious, connection with colleges or legal department, gains through travels, desire to carry out research, success in overseas, sincere, constant in religious beliefs, self-reliance, increase in popularity, does meritorious deeds, success in attempts, much self-acquired properties.</t>
  </si>
  <si>
    <t>Increase in income, improvement in status, honour, and authority. Independent, decent inheritance, very steady improvement in business, profession, promotion, good vitality, possesses jewels, tactful, fond of music, arts, head of small society or village, success in political life.</t>
  </si>
  <si>
    <t>Ambitious, fulfills one's desire, respectful, loyal, honest, connection with people in power, hopeful, permanent friends, social success, good business, many conveyance, unfriendly with politicians, principled.</t>
  </si>
  <si>
    <t>Success in medicine, chemistry, occult science, association with hospital, prison, sanatorium etc.  Prefers to lead a secluded life. self-sacrificing if afflicted poverty, not straight forward, like widows, unscrupulous, dispute with parents, danger to children, loss in foreign land.</t>
  </si>
  <si>
    <t>Weak constitution, dyspepsia, disease in micturition, defect in the ear, many brothers and sisters, worries, never steady, ever changeful, fertile imagination, gains in business, happy domestic life, good dreams, if afflicted, mental disease, danger from water and  liquids. Unstable in mind, fond of other sex, quiet, fond of society and friendship, gains through the lower class, timid, generous ambitious, aspiring, fond of drinks, low class people, bad behaviour, filthy talk, fond of science and astrology, respect, firm, industrious, kind and quiet, loves peace and calmness.</t>
  </si>
  <si>
    <t>Increase in income, books, larger profits, happy sexual life, versatile, handsome, intelligent, break in education, respected by all, sweet speech, gains through ladies, mother etc.</t>
  </si>
  <si>
    <t>Popular, many sisters, good health. If afflicted dyspepsia, good education, bold, mind ever engaged and alert, fond of journeys, changes new surroundings, social life.</t>
  </si>
  <si>
    <t>Gains through parents, happy domestic life, inherits, popular, change of residence, over indulgence, gains from wetland, possesses building, vehicle, etc. If afflicted, disappointment, difficulties, theft, fraud, estrangement, loss of parents, complications etc.</t>
  </si>
  <si>
    <t>Fond of pleasure, enjoys life in the society of children, speculative mind, fond of music, opera, swimming pool, handsome wife, affects education, birth of many daughters, a good adviser, wise decision, changeable affection, unsteady.</t>
  </si>
  <si>
    <t>Weak health, susceptivity for infectious disease; lazy, henpecked, suffers from dysentery, gas trouble, diarrhoea, loss of money, pressure from bank, misunderstanding with mother, loves widows, pilfering habits, changes service, treachery, loss through pet animals, poultry etc.</t>
  </si>
  <si>
    <t>The partner will be fond of change and travel. Unsettled nature, engaged in public work, early marriage, fond of other ladies, two wives, narrow outlook, jealousy, short journey and honeymoon.</t>
  </si>
  <si>
    <t>Danger to Mother, disharmony with material people, ill-health, lack of comforts, agony, loss through ladies, gains venereal disease. Profitable transaction; receives the goods of the debt; lean body, defective vision and short life.</t>
  </si>
  <si>
    <t>Does meritorious deeds, success in attempts, becomes popular, intelligent, builds temples and charitable institutions, possess lands, jewels, becomes wealthy, makes long voyages, lives in foreign land, romantic and fanciful mind, good dreams, psychic experiences.</t>
  </si>
  <si>
    <t>Public life, changes business or profession, unstable, becomes popular, increases inheritances, makes voyages, charitable, loves widows, long life, respect for elders.</t>
  </si>
  <si>
    <t>Many friends, mostly reliable, only a few permanent ones, gains through social life, politics, realises ambition, lucky children, wide-awake, well informed, gains by agriculture, principled.</t>
  </si>
  <si>
    <t>Fond of occult subject, romance, indiscreet love affairs, loss, gains through hospitals or isolated positions, makes voyages, ill-repute, loss of money, mean behaviour, defective organ.</t>
  </si>
  <si>
    <t>Ambitious. aspiring, assertive, bold, rash, cruel, wicked, burn or scar in the head, pilfering habits, commands respect, danger to elders, wandering, both constructive and destructive. Hold, generous, angry, haughty, selfish, careful, fond of other sex, quarrelsome, fond of travels, change-seaman, Chemist, Doctor, daring, independent, rash, strong stubborn, aspiring ambitious, face with scars and cuts.</t>
  </si>
  <si>
    <t>Irritable, extravagant, increase in income, equal-expenses, education affected, mixes with wicked people, danger to partner, gains through iron, steel, timber, chemicals and skill promotion.</t>
  </si>
  <si>
    <t>Very bold, danger to brother, wealth increases, success in enterprise, victory over enemies, adulterous, fond of dancing girls, danger during journey, if afflicted thoughts of suicide.</t>
  </si>
  <si>
    <t>Loss of wealth, unhealthy to mother, chest pain, danger during journey, danger to parents, dispute in the family, brutal, indecent in the treatment of ladies, loss by theft, fire, litigation in property.</t>
  </si>
  <si>
    <t>Surgical aid during, delivery, good sportsman, muscular exercise, rash, attraction to the opposite sex, over-indulgence, danger of injury to first child. Lost in speculation, dispute with children. Government displeasure, criminal activities, scandal.</t>
  </si>
  <si>
    <t>Rich, plenty of lands, political life, success, victory over enemies, unhealthy uncle, active careless, inflammation or injury, loss through animals and poultry.</t>
  </si>
  <si>
    <t>Unhealthy wife, piles, many brothers intelligent, dispute with ladies, evil friendship, long journey. If afflicted death of partner, impetuous in loss through litigation, competition business.</t>
  </si>
  <si>
    <t>Defective vision, short life, loves dancing girls,loses partner danger to father, misery unhappy, partner extravagant, loss by the fire and theft.</t>
  </si>
  <si>
    <t>Loss in agriculture, short tempered father, sickly, international trade, export, power and prestige-increase, danger of violence in other places, dreams, distressful, a frantic, skeptic, does not pay respects to early religious teachings, enterprising, self-made.</t>
  </si>
  <si>
    <t>Impulsive, intellectual, reasonable, independent, courageous, gains through business, promotion, salesman, industrial pursuit, head of a society, colony or town, makes money in agriculture, owns estate.</t>
  </si>
  <si>
    <t>Gains through agriculture, income increases, promotion, prosperity, progress, popularity, well informed elder brothers, self made, possesses property, a few reliable friends.</t>
  </si>
  <si>
    <t>Danger, injury, scandal, treacherous, visits jails, liability to imprisonment, a cheat, loss of partner, sore eyes, difficulties.</t>
  </si>
  <si>
    <t>Good speech, learned, well informed, learns magic, astronomy, astrology, mathematics, engineering, etc. Studious habits, changeable, artist, adaptable, fertile imagination, journeys. Quick-witted, sharp, fluent in speech, skilled, crafty, head- strong, orator, loves science - Chemist or Doctor, inquisitive, quick in judgement, changeable, proud.</t>
  </si>
  <si>
    <t>Gains by teaching, writing or by commissions. Advertising, stationery books press. Many children, acquires property, stores, grain, happy.</t>
  </si>
  <si>
    <t>Frequent short journeys, broad outlook, fond of reading, teaching, anxious, mental development, many brothers, weak body, deception.</t>
  </si>
  <si>
    <t>Good in education, robust health, pleasant mother, new friends, happy domestic life, but change of residence, no fixed abode, gain money through land, mine, estate, newspaper, library, registrar office, etc. Intelligent mother, ever changes the car.</t>
  </si>
  <si>
    <t>More of mental pleasure than of muscular one. Anyhow worry, anxiety and obstacles. A minister or an adviser, intelligent children, success in attempts.</t>
  </si>
  <si>
    <t>Petty quarrels, labour trouble, studies hygiene, chemistry, medicine, active mind, nervous breakdown; suicidal tendency, stomach trouble, dispute with maternal uncle; loss of money through litigation; education affected; disease in the tips of fingers.</t>
  </si>
  <si>
    <t>Unsettled wedded life, partner more intelligent, shrewd, partner younger, may be employed, marriage by advertisement, litigation and legal dispute if afflicted. Loss of vitality,showy, happy mother, many vehicles, adulterous.</t>
  </si>
  <si>
    <t>Troubles, difficulties, dispute litigation with partner; misunderstanding with neighbour: journey to attend funeral ceremony, nervous breakdown; paralysis; long life, few children, much wealth, popular helps relatives.</t>
  </si>
  <si>
    <t>Studious, higher education, success in long journeys, life in foreign place, indecisive, high position, respected by public, fortunate father, learns music.</t>
  </si>
  <si>
    <t>Success in business, promotion, additional charge public life, novelist, teacher, reporter, electrician-railway, antiquities, research, promotion, possesses good house and vehicle, success in education.</t>
  </si>
  <si>
    <t>Owns much property, increases wealth, prosperous, generous, charitable, many respectful, many acquaintances, only a few permanent friends, associates with youngsters, good in mathematics and astrology.</t>
  </si>
  <si>
    <t>Adulterous, danger to mother and uncle, poor number of children, lazy, poverty, fond of occultism, secret arts, unusual thoughts, petty quarrels; anxiety; scandal.</t>
  </si>
  <si>
    <t>Robust health, satisfactory financial position, providential help, birth of children, reputation, advancement in career, good education, grammar, politician, Lucky life, stout body; optimistic, jovial, honest, true, banker, physician, judge, lawyer, teacher, theologian, cashier, if afflicted suffers from cancer, imps re blood, excessive stoutness, plephorea. Generous, bold,  successful, proud, fond of recreation, faithful. Help others fond of sports, drinks, entertainment, free, just, religious, loves honour, liberal.</t>
  </si>
  <si>
    <t>Successful career, increase in income, prosperous, good for business, gains influence, eloquent, liberal, charitable, gains through banking, religion, education, insurance, etc.</t>
  </si>
  <si>
    <t>Philosophical, sympathetic, courteous, many brothers, adopts methods unscrupulously to gain one's object, addicted to evil, likes the company of the other sex, gains through 3rd house matters. Advertising publicity. etc.</t>
  </si>
  <si>
    <t>Happy domestic life, gains through parents, successful estates, possession of building, vehicle, cattle etc. Lucky mother, success in education, happy end.</t>
  </si>
  <si>
    <t>Good children, gains through love affairs, pleasant life, fond of amusement, cinema, music etc, gains in speculation, wholesale merchant, social success, political career, wise-counsel.</t>
  </si>
  <si>
    <t>Maintains health, all comforts given and gains during unhealthy period (One may ask how it is possible to gain when one is ill. A friend of mine admitted himself in a hospital during the period ;of-the planet occupying the constellation of Jupiter occupying the 6th house in his horoscope. During that time. he made friendship with a foreigner On a later date the foreigner was responsible to arrange foreign collaboration for his business. Thus planets occupying the constellation of Jupiter when it is occupying the 6th house does good to the native.) Victory in election, adulterous, dyspeptic trouble.</t>
  </si>
  <si>
    <t>Partner well behaved and true, magnanimous, increase in wealth, become very rich, reputation, success in agriculture, gains through partners, good business, wins in litigation.</t>
  </si>
  <si>
    <t>Loss of property, secret activities, narrow outlook, fond of drinks, never afraid of misappropriation especially public money, pretends to be honest and generous, prosperity after marriage, gains by legacy, handle other's money freely.</t>
  </si>
  <si>
    <t>Reputation, religious, lawful, correct intuition, clear thought, philanthropic, good for Travel, logical, optimistic, luck to father, association with foreigners, a good adviser, consultant, many children.</t>
  </si>
  <si>
    <t>Noble birth, optimistic, influential, good business, political life, sportsman, timely promotion, good relationship with higher officials, social, financial success, does meritorious deeds, possesses lands, vehicle, head of a village, commands many servants.</t>
  </si>
  <si>
    <t>Good friends, well placed in life, gains through Jupiterians, social success, popularity, realises ambition, birth of children, learns music, masters it, possesses building, enjoys all comforts.</t>
  </si>
  <si>
    <t>Gains through law, medicine, occult subjects, service in public institutions, visits hospital and asylums. Connections with foreigners, danger to children, or limited number of children, enlargement of spleen, evil tendencies and scandal if afflicted. Wanders, becomes a sanyasi, pious, in the end of life Moksha.</t>
  </si>
  <si>
    <t>Reliable, affectionate, emotional, social, fond of arts pleasure, music, fortune, fruitful, successful, mathematician, poet, if afflicted defect in ovaries, kidneys, cheeks affected, diabetes, accumulates wealth, purchases jewels, costly dress etc., pleases the partner in sex affairs, fortunate, loved by other sex, fond of entertainment, generous, kind, fond of drinks, veteran in fine arts, wins by love, good in music and arts.</t>
  </si>
  <si>
    <t>Fortune, favour from ladies, higher officials, artists etc. social success, marriage pleasant, purchases jewels, runs hotels, fond of adornment, luxuries, nevertheless increase in wealth, happy married life, charming wife, musician.</t>
  </si>
  <si>
    <t>Brothers prosperous, liking for painting, cheerful, optimistic, relatives and neighbours are favourable, saves money, keeps health, if afflicted unhappy, poor, economical, unpopular, dissatisfaction in married life.</t>
  </si>
  <si>
    <t>Happy domestic life, prefers his own native place, easily gets inheritance, possesses property, fortune, glutton, beautiful mother, possesses castle, plenty of milk and milky products, owns estates, cars, service in transport, educational institution.</t>
  </si>
  <si>
    <t>Birth of beautiful children especially daughters, talented in music, gains through love affairs, speculation, investment, music, summer resorts, etc. A good administrator and adviser, danger to mother.</t>
  </si>
  <si>
    <t>Can maintain health, avoid excesses, no labour problem, gains in maternity nursing and maintaining pet animals, poultry etc. skin diseases kidney or ovary troubles, diabetes. Wins in election, victory over enemies, fond of ladies of all kinds.</t>
  </si>
  <si>
    <t>Social and financial success, good partners. success in business, public relation satisfactory, very clever in adultery, fond of other women, over thinking of sexual pleasure, happy domestic life, pleasant journey, extravagant expenses.</t>
  </si>
  <si>
    <t>Increase in income, ill-health to mother, successful business, wealth through partner, God-fearing, profit by legacy, insurance, fuel, forest, deals in wood, closet bathroom fittings.</t>
  </si>
  <si>
    <t>Sympathetic, obliging, higher education, successful, good in music, arts, happy long journey,success in foreign land, may marry out of caste or a foreigner, reputation, good fortune, head of infantry, may fall in love with teachers or Purohits daughter, high position, honour.</t>
  </si>
  <si>
    <t>Pleasing manners, popular, success with other sex, permanent friends, never rubs on the wrong side, gain through elders and through music, happy domestic life, harmonious, wedded life, gain through jewellery, luxury, amusement, speculation, decoration, possesses house, conveyance, some breaks in education, few elder sisters, success in litigation.</t>
  </si>
  <si>
    <t>Very rich, luxurious comforts, learned, possesses lands, gains in agriculture, uses good conveyance, pleasant friend, social success, prosperity after marriage.</t>
  </si>
  <si>
    <t>Romantic life, investigates secret arts, gains through charitable and public institution, enjoys peaceful life in seclusion, happy and satisfactory sexual bliss, immoral tendencies in plenty, does not reject women though low born, pleasant promises and unworthy performance.</t>
  </si>
  <si>
    <t>Lazy, lethargic, abortive tendency, loss of children, unscrupulous, adulterous, obstacles, wandering, poor, loss of wife, if afflicted methodical, industrious, if ill-placed affects the bone, teeth, right ear, knees, spleen, constipation, rheumatism, stone in adder etc. Timid, cautious, reserved, revengeful, jealous, free, honest, rash, suspicious, hardworking, miserly, selfish, shy, stubborn.</t>
  </si>
  <si>
    <t>Maximum labour, minimum wages, uphill struggle, lack of money, success in estate, mine, investment, coal, lead, refrigeration etc. More than one wife. Break in education, fond of drinking.</t>
  </si>
  <si>
    <t>Increase in income, gains wealth, death of brother, victory over enemies, success in litigation, diplomatic, mental control, concentration, very cautious, cares for truth.</t>
  </si>
  <si>
    <t>Chronic disease to mother, loses ancestral property, voyage to distant places, misfortune in his own land, scandal, incomplete education, gains through oil seeds and black grains, enmity with politician, seclusion at the end of life. If well posited and if it receives good aspects from lords of 2, 7, 11 comes by treasure.</t>
  </si>
  <si>
    <t>Abortive tendencies, still born child, may adopt, disappointment in love affairs, likes only old people, in a female chart it shows attraction to widowers, troubles through children, loss in speculation, cinema, criminal prosecution, wandering often, depressed, tale bearer.</t>
  </si>
  <si>
    <t>Deaf, adamant, victory over enemies, court bird, increase in income, popular, greater authority, chronic disease, loss through animal and poultry, labour trouble.</t>
  </si>
  <si>
    <t>Late marriage, sickly wife, fond of other's wives, pain in the ear, prudent and faithful wife, steady in affection, poverty, misery, loss by partnership, unsuited for business, always meets with opposition, failure in litigation, miserable failure in election, scandal.</t>
  </si>
  <si>
    <t>Loss of wealth, criminal activities disputes, untold misery, obstacles, disappointment, dejection, slow death, chronic disease, distressing dreams, death of father, danger of drowning, unwieldy sexual organ, adulterous, fond of drinks, leprosy, consumption, asthma, danger to brother, dishonest, black marketer, secret activities.</t>
  </si>
  <si>
    <t>Philosophical minded, detached attachment, scientific, meditative, geology, mineralogy, occult subject, metaphysics, renovates temple, irreligious, misfortune, unpleasant domestic life.</t>
  </si>
  <si>
    <t>Speedy promotion to a high level, sudden reversal and adversary, ambition for power and prestige. Industrious, yet financial loss in business ultimately (in a few cases it is found that Saturn in 10 for cinema actors and actresses had given a very good life and income. But everything is lost and they lead a miserable life. So also great politicians, and powerful people had Saturn in 10, reached the highest position and fell down to a depth much greater than the height they climbed. It is similar to person climbing up a tree on the shore of the sea, walk along the branch and fall into the sea, the depth of which is much greater than the height that he climbed). Chances to visit holy places, enjoys life  foreign land, becomes the head of religious institutions and ultimately becomes a sanyasi as he does not own anything.</t>
  </si>
  <si>
    <t>Select friends, mostly elders, hopes fulfilled, becomes rich, owns lands, political power, obstacles in education, danger to elder brother, enjoys conveyance, vehicle, commands authority, success in enterprises, promotion, influence, increase in income.</t>
  </si>
  <si>
    <t>Life in a secluded place, danger of imprisonment, secret inimical activities, downfall, loss, accidents, injury, secret sorrows, disappointment in love affairs, dissatisfaction in sexual life, wasting money for nasty purposes, vision defective, ill health to children, weak constitution, misery.</t>
  </si>
  <si>
    <t>Note: Replace Rahu/Ketu with it's star lord and refer to the table above</t>
  </si>
  <si>
    <t>Retrograde Begins</t>
  </si>
  <si>
    <t>Retrograde Ends</t>
  </si>
  <si>
    <t>No. of Days</t>
  </si>
  <si>
    <t>Dec 13, 2023 Cap 08°29’</t>
  </si>
  <si>
    <t>Jan 2, 2024 Sag 22°10’</t>
  </si>
  <si>
    <t>19d</t>
  </si>
  <si>
    <t>Apr 1, 2024 Ari 27°13’</t>
  </si>
  <si>
    <t>Apr 25, 2024 Ari 15°58’</t>
  </si>
  <si>
    <t>23d</t>
  </si>
  <si>
    <t>Aug 5, 2024 Vir 04°06’</t>
  </si>
  <si>
    <t>Aug 28, 2024 Leo 21°24’</t>
  </si>
  <si>
    <t>Nov 26, 2024 Sag 22°40’</t>
  </si>
  <si>
    <t>Dec 15, 2024 Sag 06°23’</t>
  </si>
  <si>
    <t>No Retrograde for Venus in 2024</t>
  </si>
  <si>
    <t>Dec 6, 2024 Leo 06°10’</t>
  </si>
  <si>
    <t>Feb 24, 2025 Can 17°00’</t>
  </si>
  <si>
    <t>79d</t>
  </si>
  <si>
    <t>Oct 9, 2024 Gem 21°20’</t>
  </si>
  <si>
    <t>Feb 4, 2025 Gem 11°16’</t>
  </si>
  <si>
    <t>118d</t>
  </si>
  <si>
    <t>Jun 29, 2024 Pis 19°25’</t>
  </si>
  <si>
    <t>Nov 15, 2024 Pis 12°41’</t>
  </si>
  <si>
    <t>138d</t>
  </si>
  <si>
    <t>Month </t>
  </si>
  <si>
    <t>Date </t>
  </si>
  <si>
    <t>Transit</t>
  </si>
  <si>
    <t>JANUARY </t>
  </si>
  <si>
    <t>JANUARY 15, 2024</t>
  </si>
  <si>
    <t>Sun transit in Capricorn 2024</t>
  </si>
  <si>
    <t>FEBRUARY </t>
  </si>
  <si>
    <t>FEBRUARY 13, 2024</t>
  </si>
  <si>
    <t>Sun transit in Aquarius 2024</t>
  </si>
  <si>
    <t>MARCH </t>
  </si>
  <si>
    <t>MARCH 14, 2024</t>
  </si>
  <si>
    <t>Sun transit in Pisces 2024</t>
  </si>
  <si>
    <t>APRIL </t>
  </si>
  <si>
    <t>APRIL 13, 2024</t>
  </si>
  <si>
    <t>Sun transit in Aries 2024</t>
  </si>
  <si>
    <t>MAY </t>
  </si>
  <si>
    <t>MAY 14, 2024</t>
  </si>
  <si>
    <t>Sun transit in Taurus 2024</t>
  </si>
  <si>
    <t>JUNE </t>
  </si>
  <si>
    <t>JUNE 15, 2024</t>
  </si>
  <si>
    <t>Sun transit in Gemini 2024</t>
  </si>
  <si>
    <t>JULY </t>
  </si>
  <si>
    <t>JULY 16, 2024</t>
  </si>
  <si>
    <t>Sun Transit in Cancer 2024</t>
  </si>
  <si>
    <t>AUGUST </t>
  </si>
  <si>
    <t>AUGUST 16, 2024</t>
  </si>
  <si>
    <t>Sun transit in Leo 2024</t>
  </si>
  <si>
    <t>SEPTEMBER </t>
  </si>
  <si>
    <t>SEPTEMBER 16, 2024</t>
  </si>
  <si>
    <t>Sun transit in Virgo 2024</t>
  </si>
  <si>
    <t>OCTOBER </t>
  </si>
  <si>
    <t>OCTOBER 17, 2024</t>
  </si>
  <si>
    <t>Sun transit in Libra 2024</t>
  </si>
  <si>
    <t>NOVEMBER </t>
  </si>
  <si>
    <t>NOVEMBER 16, 2024</t>
  </si>
  <si>
    <t>Sun transit in Scorpio 2024</t>
  </si>
  <si>
    <t>DECEMBER </t>
  </si>
  <si>
    <t>DECEMBER 16, 2024</t>
  </si>
  <si>
    <t>Sun transit in Sagittarius 2024</t>
  </si>
  <si>
    <t xml:space="preserve">Dry, Masculine, positive, hot planet. Takes one year to orbit all zodiacs. Controls all planets due to magnetic pull. Represents father. Rules the heart, right eye of man, left eye of woman, mouth, throat, and brain. Governs BP, Haemorrhage, Cardiac troubles, Bilious complaints in the head, loss of speech, sharp fevers, typhoid, epilepsy, sun-stroke, ailments in the head. Blesses us with boldness, loyalty, truth and commanding personality, vigour and vitality. Rules over Forests, Mountains, Shiva Temples, Forts and Government Buildings, etc. Sun controls articles of Red or Orange, Gold, Copper, Wheat, Medicine and Chemicals, Rice, Ground-nut, Coconut, Asafoetida, Cardamom, Almonds, Omam, Pepper, Nutmeg, Aromatic Herbs, Thorny trees and grass, medicinal herbs, and Ruby. Sun rules over lion, horse, bear, serpents, cattle and all four legged animals of the forests. He rules over singing birds also. The colour associated with Sun is dark red. </t>
  </si>
  <si>
    <t>Moon is the Satellite of the EARTH and is very close to us than any other Planet. She takes about 27 days and 8 hours to complete her circle around the Earth. She is a wet, cold and feminine Planet. She represents the mother of the native. She governs the left eye of the man and the right eye of the woman. She controls the liquid system of the man, as it has got affinity for liquids. She is the immediate transmitter of light and power from the Stars and Planets and hence, she plays the vital role in deciding the dasa period of a birth. She rules the mind and controls the thought waves of man. She is fastest among the Planets. Her Gem stone is pearl. Her diseases are cold, fever, monthly periods of ladies, breast and stomach disorders, complaints of uterus, spleen, ovaries, bladder, thyroid glands. She is connected with the timidness and changeable characters of a person.  She is connected to the growth of plantations. She governs Milk and Milky products, Tea, Petrol, Liquids, Aquatic fruits, Coffee, Cabbage, Roots, Bulbs, Mush-room, Sugar-cane and Cucumber. She rules over canals, streams, oceans, trenches, washing guts, fisheries, dairy farms, sea-shores. She controls worms, reptiles and other creatures of swiftness in their move. She governs hospitals, pumping stations, sewages, toilets and other watery places. The colour associated with Moon is white.</t>
  </si>
  <si>
    <t xml:space="preserve">Mars is a dry masculine Planet and represents brothers and sisters of the native. His Gem is Coral. He rules over the muscular system of the body, sex functions, blood system, stomach, face, shoulder, bladder, uterus, nose, pelvis, kidney, rectum, testicles and bone marrow. His diseases are boils, short-sight, fever, plague, rupture of capillaries, fistula, brain fever, haemmorrhage, typhoid, ulcer, hernia, malaria, abortion, bleeding, carbuncles, appendicitis, tumours and tetanus. He is connected to boldness, courage and war-like nature of a person and exceeds Sun in this respect. He is also a Planet of vitality and vigour. He rules over thorny plants, garlic, mustard, coriander, tobacco. He governs Tiger, Wolf, hunting dogs. Vultures, Hawks etc. The colour associated with Mars is light red. </t>
  </si>
  <si>
    <t>Mercury is the first member of the Solar family and she is very closer to Sun. She takes up 88 days to make a circle around SUN. Mercury is a dry feminine Planet. She rules over the nervous system, sense organs, brain &amp; skin. Her diseases are mental trouble, brain fever, nervous break-down, stammering, skin diseases, naval and neck troubles, epilepsey, and colic. She rules over medicines, musical Instruments, precision tools, currency notes, textiles. green prism. She controls walls, plastering, chests, trunks, suit cases, hills, play-ground, dining rooms, dolls, nurseries, gardens, hotels, medicine-box, book shelves, libraries. diaries, and store-rooms.  She rules over cameleon, fox, animals and birds of cunningness and intelligence. The colour associated with Moon is dark green.</t>
  </si>
  <si>
    <t xml:space="preserve">Jupiter is the fifth member of the solar family. He takes about 12 years to circle around the Zodiac. He is called the Puthra karaka and governs the children. He is a fruitful, masculine Planet. He controls over liver, fat, marrow, arteries. Diseases are liver complaints, jaundice, dropsy, flatulence, dyspepsia, abcess, hernia, skin troubles, cerebral congestion, catarah and carbuncles. His metals are Gold and Tin. He rules over temples, courthouses, schools, colleges, palaces, assembly Halls, places of relegious activities. He rules over elephant, horses, cow, owls, and peacock. </t>
  </si>
  <si>
    <t>Venus is the second member of the Solar family. She takes about 225 days to circle the Sun. She is Karaka for marriage and indicates life partner. She is feminine. She rules over genital parts and kidney, ovaries and female organs, throat, and chins. Her diseases are anaemic, venereal diseases, diseases of the eye and the skin, pains of joints, ovaries trouble, mucus diseases, cysts, troubles of over-eating, nervous disorders, and Hysteria. She rules over silk, textiles, silver, copper, mica, toilets, perfumery, fancy goods, photo-film, hosiery, confectionery, sandal-wood oil, fruits, flowers, sugar, automobiles, musical instruments, chemicals, rubber, embroidery and tailoring machines, paints, petrol, cotton, jasmine, punugu, nutmeg, condiments, cherry, apple, tobacco, juicy &amp; tasty fruits. She rules over bedroom, dancing hall, cinema theatre, gardens, nurseries, auto factories, chemical and industrial areas, silk and rayon Factories, glass and mica factories. She rules over panther, bulls, cows, buffaloes, goats, dove, peacock and sparrow.</t>
  </si>
  <si>
    <t xml:space="preserve">Saturn is the sixth member of the solar family and takes about 29-1/2 years to circle around the Sun. It is a barren, wet and cold Planet. It is eunuch. It plays a vital role in the longevity of a person. It controls bones, hair, ear, teeth and pneumogastric nerve. Its diseases are lymphatic troubles, trouble in excretory system, hardening of membranes, toothache, small-pox, deafness, diphtheria, asthma, TB, stammering, paralysis, vomiting, impotency, cancer, cardiac trouble, gout, baldness, and leprosy. It rules over lead, kerosene, petrol, coal, ores, cement, leather, wood, hair, wool, blackstone, jute, gingelly oil, banana, potato, black-grains, and barley. It's gems are Blue Sapphire and Prism Violet.  It rules over valleys, hills, forests, caves, deserts, dense old buildings, churches, temples, wells, trenches, slums, stinking Places, saloon, tannery, bone and metal factory. It control buffaloes, elephants, mules, horses, dogs, goats, cows and birds. </t>
  </si>
  <si>
    <t>Rahu Ketu</t>
  </si>
  <si>
    <t>Rahu and Ketu are the nodes (Shadow planets) and have got an anti clockwise motion in the heavens. They are invisible planets and are caused by the intersection of the pathways of the Sun and the Moon. The intersection occurring North of Equator is called Rahu (asceding node or Dragon's head) and that of the South is called Ketu, (descending node or Dragon's tail). They adopt themselves the characters of the conjunct planets, opposing planets, star lords, and the sign lords where they transit, mainly. Rahu indicates the paternal grand-father and Ketu indicates maternal grand-father. They are 180° exactly opposite to each other. Both of them have control over the spleen and cause severe pain and gas trouble. Rahu controls black-gram and Ketu controls Horse-gram. Rahu's gem is Gomedh and Ketu's gem is Vaidooryam. They rule over dark places, caves and tunnels. They rule ove snakes, monkey, wolf, camel, poisonous insects, mosquito, bugs, virus, and bacteria.</t>
  </si>
  <si>
    <t>9th Cuspal Sub Lord</t>
  </si>
  <si>
    <t>Deposited in House</t>
  </si>
  <si>
    <t>Higher Education Stream</t>
  </si>
  <si>
    <t>Chemistry, Doctor</t>
  </si>
  <si>
    <t>Government, Management, Administration</t>
  </si>
  <si>
    <t>Management, Leadership, Business Administration</t>
  </si>
  <si>
    <t>Real Estate, Local Politics</t>
  </si>
  <si>
    <t>Trading, Stock Market, Cinema, Forest Officer</t>
  </si>
  <si>
    <t>Chemistry, Medicine, Hospital</t>
  </si>
  <si>
    <t>Business</t>
  </si>
  <si>
    <t>Religious Studies, Education, Law, Travel and Tourism, Research, International studies</t>
  </si>
  <si>
    <t>Business, Jewels, Music, Arts, Social Work, Politics</t>
  </si>
  <si>
    <t>Business, Social studies</t>
  </si>
  <si>
    <t>Medicine, Chemistry, Occult Science, Criminal and Prison related studies, Mind related, Foreign relations</t>
  </si>
  <si>
    <t>Business, Social studies, Labor relationships, Science, Astrology</t>
  </si>
  <si>
    <t>Literature, Women health</t>
  </si>
  <si>
    <t>Arts, Architecture, Design, Social Science</t>
  </si>
  <si>
    <t>Water Management, Wetland study, Automobile, Civil, Marine</t>
  </si>
  <si>
    <t>Kindergarden, Children studies, Music, Theatre, Swimming, Advisory</t>
  </si>
  <si>
    <t>Banking</t>
  </si>
  <si>
    <t>Public Service</t>
  </si>
  <si>
    <t>Finance</t>
  </si>
  <si>
    <t>Law, Religion, Spiritual, Tourism, Travel, Foreign studies, Design, Arts, Psychology, Marine</t>
  </si>
  <si>
    <t>Public studies, Arts, Design, Mass media, Travel, Study of elders</t>
  </si>
  <si>
    <t>Social studies, Politics, Agriculture</t>
  </si>
  <si>
    <t>Occult science, Arts, Design, Hospitals, Travel</t>
  </si>
  <si>
    <t>Criminology, Legal, Police, Army, Chemist, Doctor</t>
  </si>
  <si>
    <t>Criminology, Legal, Police, Army, Iron, Steel, Timber, Chemical, HR</t>
  </si>
  <si>
    <t>Army, Police, Business, Dancing, Entertainment</t>
  </si>
  <si>
    <t>Real estate, Autombile, Wealth Studies, Catering</t>
  </si>
  <si>
    <t>Surgical science, Medical equipment, Pharma, Sports, Physical Education, Police</t>
  </si>
  <si>
    <t>Real estate, Civil, Politics, Animal, Catering</t>
  </si>
  <si>
    <t>Autombile, Business</t>
  </si>
  <si>
    <t>Dancing, Fire, Police, Natural Disasters</t>
  </si>
  <si>
    <t>Agriculture, International Trade, Export, Enterprises</t>
  </si>
  <si>
    <t>Army, Police, Government Tax Collection, Forestry, Sales, Marketing, Business, Social studies, Agriculture, Real Estate, Civil</t>
  </si>
  <si>
    <t>Agriculture, Civil</t>
  </si>
  <si>
    <t>Jail, Prison, Police</t>
  </si>
  <si>
    <t>Communication, Magic, Astronomy, Astrology, Mathematics, Computer Science, Engineering, Arts, Design, Science, Chemistry, Medical, Crafts, Speech, Accountancy</t>
  </si>
  <si>
    <t>Teaching, Writing, Advertising, Books, Printing, Publishing, Literature</t>
  </si>
  <si>
    <t>Teaching, Mind related, Reading, Library, Computer Science especially design and development</t>
  </si>
  <si>
    <t>Education, Tour guide, Travel, Civil, Real Estate, Journalism, Tourism</t>
  </si>
  <si>
    <t>Political Science, Advisory Studies, Arts, Design, Computer Science, Creative fields</t>
  </si>
  <si>
    <t>Hygience studies, Labor relations, chemistry, medicine, computer science</t>
  </si>
  <si>
    <t>Business, Neuro Science</t>
  </si>
  <si>
    <t>Education, Teaching, Foreign Studies, Public Life, Music, Computer Science</t>
  </si>
  <si>
    <t>Business, Public Studies, Journalism, Literature, Teaching, Electrical, Railways, Archaeology, Automobile, Real Estate, Computer Science</t>
  </si>
  <si>
    <t>Finance, Wealth Management, Social Studies, Mathematics, Astrology, Young Adult Studies, Accountancy</t>
  </si>
  <si>
    <t>Secret Science, Forensic, Occult Science</t>
  </si>
  <si>
    <t>Finance, Child care, Career Management in HR, Languages, Politics, Banking, Physician, Law, Teaching, Theology, Accountant, Computer science</t>
  </si>
  <si>
    <t>Career Management, HR, Finance, Business, Communication, Social work, Banking, Religious studies, Teaching, Insurance, Computer Science</t>
  </si>
  <si>
    <t>Philosophy, Counselling, PR, Advertising, Publicity, Marketing, Computer Science</t>
  </si>
  <si>
    <t>Real Estate, Civil, Automobile, Animal, Education</t>
  </si>
  <si>
    <t>Child Studies, Music, Cinema, Mass Communication, Business, Social Studies, Politics, Law</t>
  </si>
  <si>
    <t>Health Science, Pharma, Natural Science, Politics, Computer Science</t>
  </si>
  <si>
    <t>Business, Agriculture, Finance, Law</t>
  </si>
  <si>
    <t>Secret Science, Detective, Forensic, Catering, Investing</t>
  </si>
  <si>
    <t>Religious Studies, Law, Philosophy, Social Studies, Travel, Foreign Relationships, International trade, Advisory, Consultancy, Computer Science and Research</t>
  </si>
  <si>
    <t>Law, Business, politics, Sports, Government, Social, Finance, Land, Automobile, HR, Hospitality</t>
  </si>
  <si>
    <t>Social studies, Music</t>
  </si>
  <si>
    <t>Law, Medicine, Occult Science, Public Services, Mental Science, Foreign Studies, Religious Studies, Philosophy, Spiritual</t>
  </si>
  <si>
    <t>Arts, Music, Theater, Cinema, Drama, Craft, Mathematics, Poetry, Literature, Mass media, Fine arts</t>
  </si>
  <si>
    <t>Arts, Hotel Management, Beautician, Luxury Goods, Jewellary, Music</t>
  </si>
  <si>
    <t>Painting, Cost Cutting, Preventive Health, Decoration, Design, Architecture</t>
  </si>
  <si>
    <t>Property Management, Finance, Beauty, Diary, Automobile, Transportation, Education</t>
  </si>
  <si>
    <t xml:space="preserve">Paediatrics, Women's Health, Music, Investment, Stock Trading, Resort Management, Recreation, Administration, Advisory </t>
  </si>
  <si>
    <t>Retrenchment, Cost control, Labor, Maternity, Animals, Health, Politics, Women Related</t>
  </si>
  <si>
    <t>Social Studies, Finance, Business, PR, Women Related, Family, Retail Business</t>
  </si>
  <si>
    <t xml:space="preserve">Finance, Business, Insurance, Petroleum, Fuel, Forestry, Wood, Bathroom fittings </t>
  </si>
  <si>
    <t>Education, Music, Arts, Travel, Foreign Studies, PR, Infantry, Spiritual, Religious</t>
  </si>
  <si>
    <t>Geriatrics, Music, Wedding Management, Jewellery, Luxury Goods, Amusement, Stock Trading, Decoration</t>
  </si>
  <si>
    <t>Agriculture, Luxury Goods, Wealth Management, Luxury Cars, Social Events Management</t>
  </si>
  <si>
    <t>Secret science, Public Studies, Social Science</t>
  </si>
  <si>
    <t>Skilled work</t>
  </si>
  <si>
    <t>Skilled work, Geology, Mine, Investment, Coal, Lead, Refrigeration</t>
  </si>
  <si>
    <t>Finance, Wealth, Diplomacy, Mind Control related</t>
  </si>
  <si>
    <t>Property, Land, Civil, Pilgrimage, Tour, Oil seeds, Black Grains</t>
  </si>
  <si>
    <t>Adoption Services, Family counseling, Cinema, Criminal law, Story telling</t>
  </si>
  <si>
    <t>Legal, Wealth</t>
  </si>
  <si>
    <t>Biology, Geology</t>
  </si>
  <si>
    <t>Legal, Forensic, Trading, Secret Sciences</t>
  </si>
  <si>
    <t>Philosophy, Spiritual, Geology, Mineralogy, Occult, Metaphysics</t>
  </si>
  <si>
    <t>Religious, Foreign Studies</t>
  </si>
  <si>
    <t>Agriclture, Politics, Land, Civil, Business, Finance</t>
  </si>
  <si>
    <t>Criminal Law, Secret Arts</t>
  </si>
  <si>
    <t>Job/Promotion</t>
  </si>
  <si>
    <t>CA Final Exam</t>
  </si>
  <si>
    <t>3 = 3, 4, 6, 9, 11 Favorable
3 = 2, 5, 8, 10, 12 Unfavorable</t>
  </si>
  <si>
    <t>Moon = 3</t>
  </si>
  <si>
    <t>3 = 3</t>
  </si>
  <si>
    <t>Favorable in the exams.
11 = 3, 4, 6, 9, 11 for confirmation.
11 = 12, 7 = Difficulty. Unfavorable.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</si>
</sst>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20"/>
      <color theme="1"/>
      <name val="Calibri"/>
      <family val="2"/>
      <scheme val="minor"/>
    </font>
    <font>
      <sz val="20"/>
      <name val="Calibri"/>
      <family val="2"/>
      <scheme val="minor"/>
    </font>
    <font>
      <sz val="10"/>
      <color rgb="FF000000"/>
      <name val="Arial"/>
      <family val="2"/>
    </font>
    <font>
      <sz val="11"/>
      <color rgb="FF000000"/>
      <name val="Calibri"/>
      <family val="2"/>
    </font>
    <font>
      <sz val="11"/>
      <name val="Calibri"/>
      <family val="2"/>
    </font>
    <font>
      <sz val="11"/>
      <color rgb="FF000000"/>
      <name val="Calibri"/>
      <family val="2"/>
      <scheme val="minor"/>
    </font>
    <font>
      <sz val="11"/>
      <name val="Calibri"/>
      <family val="2"/>
      <scheme val="minor"/>
    </font>
    <font>
      <b/>
      <sz val="13.5"/>
      <name val="Times New Roman"/>
      <family val="1"/>
    </font>
    <font>
      <sz val="12"/>
      <name val="Times New Roman"/>
      <family val="1"/>
    </font>
    <font>
      <sz val="12"/>
      <color rgb="FF000000"/>
      <name val="Times New Roman"/>
      <family val="2"/>
    </font>
    <font>
      <b/>
      <sz val="16"/>
      <name val="Calibri"/>
      <family val="2"/>
      <scheme val="minor"/>
    </font>
    <font>
      <sz val="16"/>
      <color theme="1"/>
      <name val="Calibri"/>
      <family val="2"/>
      <scheme val="minor"/>
    </font>
    <font>
      <sz val="16"/>
      <name val="Calibri"/>
      <family val="2"/>
      <scheme val="minor"/>
    </font>
    <font>
      <sz val="16"/>
      <color rgb="FF000000"/>
      <name val="Calibri"/>
      <family val="2"/>
      <scheme val="minor"/>
    </font>
    <font>
      <sz val="10"/>
      <color theme="1"/>
      <name val="Arial"/>
      <family val="2"/>
    </font>
    <font>
      <sz val="24"/>
      <color theme="1"/>
      <name val="Calibri"/>
      <family val="2"/>
      <scheme val="minor"/>
    </font>
    <font>
      <sz val="26"/>
      <color theme="1"/>
      <name val="Calibri"/>
      <family val="2"/>
      <scheme val="minor"/>
    </font>
    <font>
      <sz val="18"/>
      <color theme="1"/>
      <name val="Calibri"/>
      <family val="2"/>
      <scheme val="minor"/>
    </font>
    <font>
      <sz val="10"/>
      <color theme="1"/>
      <name val="Calibri"/>
      <family val="2"/>
      <scheme val="minor"/>
    </font>
    <font>
      <sz val="10"/>
      <name val="Arial"/>
      <family val="2"/>
    </font>
    <font>
      <sz val="10"/>
      <name val="Calibri"/>
      <family val="2"/>
      <scheme val="minor"/>
    </font>
    <font>
      <sz val="12"/>
      <color theme="1"/>
      <name val="Calibri"/>
      <family val="2"/>
      <scheme val="minor"/>
    </font>
    <font>
      <sz val="10"/>
      <color rgb="FF000000"/>
      <name val="Calibri"/>
      <family val="2"/>
      <scheme val="minor"/>
    </font>
    <font>
      <sz val="10"/>
      <color rgb="FFFFFF00"/>
      <name val="Calibri"/>
      <family val="2"/>
      <scheme val="minor"/>
    </font>
    <font>
      <sz val="10"/>
      <color rgb="FFFFFFFF"/>
      <name val="Calibri"/>
      <family val="2"/>
      <scheme val="minor"/>
    </font>
    <font>
      <b/>
      <sz val="12"/>
      <color rgb="FF000000"/>
      <name val="Arial"/>
      <family val="2"/>
    </font>
    <font>
      <b/>
      <sz val="12"/>
      <name val="Arial"/>
      <family val="2"/>
    </font>
    <font>
      <sz val="14"/>
      <color theme="1"/>
      <name val="Calibri"/>
      <family val="2"/>
      <scheme val="minor"/>
    </font>
    <font>
      <sz val="12"/>
      <color rgb="FF000000"/>
      <name val="Arial"/>
      <family val="2"/>
    </font>
    <font>
      <sz val="12"/>
      <name val="Arial"/>
      <family val="2"/>
    </font>
    <font>
      <b/>
      <sz val="20"/>
      <color theme="1"/>
      <name val="Calibri"/>
      <family val="2"/>
      <scheme val="minor"/>
    </font>
  </fonts>
  <fills count="6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1"/>
        <bgColor indexed="64"/>
      </patternFill>
    </fill>
    <fill>
      <patternFill patternType="solid">
        <fgColor rgb="FFFFC000"/>
        <bgColor indexed="64"/>
      </patternFill>
    </fill>
    <fill>
      <patternFill patternType="solid">
        <fgColor theme="0" tint="-0.14999847407452621"/>
        <bgColor indexed="64"/>
      </patternFill>
    </fill>
    <fill>
      <patternFill patternType="solid">
        <fgColor theme="7"/>
        <bgColor rgb="FFF9CB9C"/>
      </patternFill>
    </fill>
    <fill>
      <patternFill patternType="solid">
        <fgColor theme="7"/>
        <bgColor indexed="64"/>
      </patternFill>
    </fill>
    <fill>
      <patternFill patternType="solid">
        <fgColor rgb="FFFF4B4B"/>
        <bgColor rgb="FF00FF00"/>
      </patternFill>
    </fill>
    <fill>
      <patternFill patternType="solid">
        <fgColor rgb="FFFF4B4B"/>
        <bgColor indexed="64"/>
      </patternFill>
    </fill>
    <fill>
      <patternFill patternType="solid">
        <fgColor rgb="FFFFA3E7"/>
        <bgColor rgb="FFD9EAD3"/>
      </patternFill>
    </fill>
    <fill>
      <patternFill patternType="solid">
        <fgColor rgb="FFFFA3E7"/>
        <bgColor indexed="64"/>
      </patternFill>
    </fill>
    <fill>
      <patternFill patternType="solid">
        <fgColor theme="9"/>
        <bgColor rgb="FFB6D7A8"/>
      </patternFill>
    </fill>
    <fill>
      <patternFill patternType="solid">
        <fgColor theme="9"/>
        <bgColor indexed="64"/>
      </patternFill>
    </fill>
    <fill>
      <patternFill patternType="solid">
        <fgColor theme="7"/>
        <bgColor rgb="FFFF0000"/>
      </patternFill>
    </fill>
    <fill>
      <patternFill patternType="solid">
        <fgColor theme="7"/>
        <bgColor rgb="FFFFFF00"/>
      </patternFill>
    </fill>
    <fill>
      <patternFill patternType="solid">
        <fgColor rgb="FFFF4B4B"/>
        <bgColor rgb="FFFF0000"/>
      </patternFill>
    </fill>
    <fill>
      <patternFill patternType="solid">
        <fgColor rgb="FFFFA3E7"/>
        <bgColor rgb="FFFF0000"/>
      </patternFill>
    </fill>
    <fill>
      <patternFill patternType="solid">
        <fgColor theme="9"/>
        <bgColor rgb="FF00FF00"/>
      </patternFill>
    </fill>
    <fill>
      <patternFill patternType="solid">
        <fgColor theme="7"/>
        <bgColor rgb="FF6FA8DC"/>
      </patternFill>
    </fill>
    <fill>
      <patternFill patternType="solid">
        <fgColor rgb="FFFFA3E7"/>
        <bgColor rgb="FFB45F06"/>
      </patternFill>
    </fill>
    <fill>
      <patternFill patternType="solid">
        <fgColor theme="9"/>
        <bgColor rgb="FF00FFFF"/>
      </patternFill>
    </fill>
    <fill>
      <patternFill patternType="solid">
        <fgColor theme="7"/>
        <bgColor rgb="FF00FF00"/>
      </patternFill>
    </fill>
    <fill>
      <patternFill patternType="solid">
        <fgColor rgb="FFFF4B4B"/>
        <bgColor rgb="FF45818E"/>
      </patternFill>
    </fill>
    <fill>
      <patternFill patternType="solid">
        <fgColor theme="9"/>
        <bgColor rgb="FFFF0000"/>
      </patternFill>
    </fill>
    <fill>
      <patternFill patternType="solid">
        <fgColor theme="7"/>
        <bgColor rgb="FF000000"/>
      </patternFill>
    </fill>
    <fill>
      <patternFill patternType="solid">
        <fgColor theme="9"/>
        <bgColor rgb="FF0000FF"/>
      </patternFill>
    </fill>
    <fill>
      <patternFill patternType="solid">
        <fgColor theme="9"/>
        <bgColor rgb="FFFFFF00"/>
      </patternFill>
    </fill>
    <fill>
      <patternFill patternType="solid">
        <fgColor rgb="FF00B0F0"/>
        <bgColor rgb="FFF1C232"/>
      </patternFill>
    </fill>
    <fill>
      <patternFill patternType="solid">
        <fgColor theme="0"/>
        <bgColor rgb="FF93C47D"/>
      </patternFill>
    </fill>
    <fill>
      <patternFill patternType="solid">
        <fgColor theme="0"/>
        <bgColor indexed="64"/>
      </patternFill>
    </fill>
    <fill>
      <patternFill patternType="solid">
        <fgColor rgb="FF00B0F0"/>
        <bgColor rgb="FF00FF00"/>
      </patternFill>
    </fill>
    <fill>
      <patternFill patternType="solid">
        <fgColor rgb="FF00B0F0"/>
        <bgColor rgb="FF000000"/>
      </patternFill>
    </fill>
    <fill>
      <patternFill patternType="solid">
        <fgColor theme="0"/>
        <bgColor rgb="FFFF0000"/>
      </patternFill>
    </fill>
    <fill>
      <patternFill patternType="solid">
        <fgColor theme="0"/>
        <bgColor rgb="FFD9EAD3"/>
      </patternFill>
    </fill>
    <fill>
      <patternFill patternType="solid">
        <fgColor rgb="FF00B0F0"/>
        <bgColor rgb="FF00FFFF"/>
      </patternFill>
    </fill>
    <fill>
      <patternFill patternType="solid">
        <fgColor theme="0"/>
        <bgColor rgb="FF6FA8DC"/>
      </patternFill>
    </fill>
    <fill>
      <patternFill patternType="solid">
        <fgColor rgb="FF00B0F0"/>
        <bgColor rgb="FFFFFF00"/>
      </patternFill>
    </fill>
    <fill>
      <patternFill patternType="solid">
        <fgColor theme="0"/>
        <bgColor rgb="FFFFFF00"/>
      </patternFill>
    </fill>
    <fill>
      <patternFill patternType="solid">
        <fgColor rgb="FF00B0F0"/>
        <bgColor rgb="FF0000FF"/>
      </patternFill>
    </fill>
    <fill>
      <patternFill patternType="solid">
        <fgColor theme="0"/>
        <bgColor rgb="FF000000"/>
      </patternFill>
    </fill>
    <fill>
      <patternFill patternType="solid">
        <fgColor rgb="FF00B0F0"/>
        <bgColor rgb="FFFF0000"/>
      </patternFill>
    </fill>
    <fill>
      <patternFill patternType="solid">
        <fgColor theme="0"/>
        <bgColor rgb="FF00FF00"/>
      </patternFill>
    </fill>
    <fill>
      <patternFill patternType="solid">
        <fgColor theme="8" tint="0.39997558519241921"/>
        <bgColor rgb="FFFFE599"/>
      </patternFill>
    </fill>
    <fill>
      <patternFill patternType="solid">
        <fgColor rgb="FFF9662B"/>
        <bgColor indexed="64"/>
      </patternFill>
    </fill>
    <fill>
      <patternFill patternType="solid">
        <fgColor theme="8" tint="0.39997558519241921"/>
        <bgColor rgb="FFFF0000"/>
      </patternFill>
    </fill>
    <fill>
      <patternFill patternType="solid">
        <fgColor theme="8" tint="0.39997558519241921"/>
        <bgColor rgb="FF000000"/>
      </patternFill>
    </fill>
    <fill>
      <patternFill patternType="solid">
        <fgColor theme="8" tint="0.39997558519241921"/>
        <bgColor rgb="FFB45F06"/>
      </patternFill>
    </fill>
    <fill>
      <patternFill patternType="solid">
        <fgColor theme="8" tint="0.39997558519241921"/>
        <bgColor rgb="FFD9EAD3"/>
      </patternFill>
    </fill>
    <fill>
      <patternFill patternType="solid">
        <fgColor theme="7"/>
        <bgColor rgb="FFFFF2CC"/>
      </patternFill>
    </fill>
    <fill>
      <patternFill patternType="solid">
        <fgColor rgb="FFFF4B4B"/>
        <bgColor rgb="FF76A5AF"/>
      </patternFill>
    </fill>
    <fill>
      <patternFill patternType="solid">
        <fgColor rgb="FFFFA3E7"/>
        <bgColor rgb="FFA2C4C9"/>
      </patternFill>
    </fill>
    <fill>
      <patternFill patternType="solid">
        <fgColor theme="9"/>
        <bgColor rgb="FF38761D"/>
      </patternFill>
    </fill>
    <fill>
      <patternFill patternType="solid">
        <fgColor rgb="FFFFA3E7"/>
        <bgColor rgb="FF00FF00"/>
      </patternFill>
    </fill>
    <fill>
      <patternFill patternType="solid">
        <fgColor rgb="FFFF4B4B"/>
        <bgColor rgb="FF6FA8DC"/>
      </patternFill>
    </fill>
    <fill>
      <patternFill patternType="solid">
        <fgColor rgb="FFFFA3E7"/>
        <bgColor rgb="FF00FFFF"/>
      </patternFill>
    </fill>
    <fill>
      <patternFill patternType="solid">
        <fgColor theme="9"/>
        <bgColor rgb="FFB45F06"/>
      </patternFill>
    </fill>
    <fill>
      <patternFill patternType="solid">
        <fgColor rgb="FFFFA3E7"/>
        <bgColor rgb="FFFFFF00"/>
      </patternFill>
    </fill>
    <fill>
      <patternFill patternType="solid">
        <fgColor rgb="FFFF4B4B"/>
        <bgColor rgb="FF000000"/>
      </patternFill>
    </fill>
    <fill>
      <patternFill patternType="solid">
        <fgColor rgb="FFFFA3E7"/>
        <bgColor rgb="FF0000FF"/>
      </patternFill>
    </fill>
    <fill>
      <patternFill patternType="solid">
        <fgColor theme="9"/>
        <bgColor rgb="FFD9EAD3"/>
      </patternFill>
    </fill>
    <fill>
      <patternFill patternType="solid">
        <fgColor theme="7"/>
        <bgColor rgb="FF45818E"/>
      </patternFill>
    </fill>
    <fill>
      <patternFill patternType="solid">
        <fgColor rgb="FFFF4B4B"/>
        <bgColor rgb="FFFFFF00"/>
      </patternFill>
    </fill>
    <fill>
      <patternFill patternType="solid">
        <fgColor theme="0" tint="-4.9989318521683403E-2"/>
        <bgColor indexed="64"/>
      </patternFill>
    </fill>
    <fill>
      <patternFill patternType="solid">
        <fgColor rgb="FFFF9900"/>
        <bgColor rgb="FFFF9900"/>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s>
  <cellStyleXfs count="2">
    <xf numFmtId="0" fontId="0" fillId="0" borderId="0"/>
    <xf numFmtId="0" fontId="3" fillId="0" borderId="0"/>
  </cellStyleXfs>
  <cellXfs count="240">
    <xf numFmtId="0" fontId="0" fillId="0" borderId="0" xfId="0"/>
    <xf numFmtId="0" fontId="1" fillId="0" borderId="0" xfId="0" applyFont="1"/>
    <xf numFmtId="0" fontId="1" fillId="0" borderId="0" xfId="0" applyFont="1" applyAlignment="1">
      <alignment horizontal="center" vertical="center" wrapText="1"/>
    </xf>
    <xf numFmtId="0" fontId="1"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wrapText="1"/>
    </xf>
    <xf numFmtId="0" fontId="4" fillId="0" borderId="1" xfId="1" applyFont="1" applyBorder="1" applyAlignment="1">
      <alignment horizontal="center"/>
    </xf>
    <xf numFmtId="0" fontId="4" fillId="0" borderId="1" xfId="1" applyFont="1" applyBorder="1"/>
    <xf numFmtId="0" fontId="4" fillId="0" borderId="0" xfId="1" applyFont="1" applyAlignment="1">
      <alignment wrapText="1"/>
    </xf>
    <xf numFmtId="0" fontId="4" fillId="0" borderId="0" xfId="1" applyFont="1"/>
    <xf numFmtId="0" fontId="4" fillId="0" borderId="1" xfId="1" applyFont="1" applyBorder="1" applyAlignment="1">
      <alignment wrapText="1"/>
    </xf>
    <xf numFmtId="0" fontId="5" fillId="0" borderId="0" xfId="1" applyFont="1" applyAlignment="1">
      <alignment horizontal="center"/>
    </xf>
    <xf numFmtId="0" fontId="6" fillId="0" borderId="1" xfId="1" applyFont="1" applyBorder="1" applyAlignment="1">
      <alignment horizontal="center"/>
    </xf>
    <xf numFmtId="0" fontId="6" fillId="0" borderId="1" xfId="1" applyFont="1" applyBorder="1"/>
    <xf numFmtId="0" fontId="6" fillId="0" borderId="0" xfId="1" applyFont="1" applyAlignment="1">
      <alignment wrapText="1"/>
    </xf>
    <xf numFmtId="0" fontId="6" fillId="0" borderId="1" xfId="1" applyFont="1" applyBorder="1" applyAlignment="1">
      <alignment wrapText="1"/>
    </xf>
    <xf numFmtId="0" fontId="0" fillId="0" borderId="0" xfId="0" applyAlignment="1">
      <alignment wrapText="1"/>
    </xf>
    <xf numFmtId="0" fontId="11" fillId="0" borderId="0" xfId="1" applyFont="1" applyAlignment="1">
      <alignment wrapText="1"/>
    </xf>
    <xf numFmtId="0" fontId="12" fillId="0" borderId="0" xfId="0" applyFont="1"/>
    <xf numFmtId="0" fontId="13" fillId="0" borderId="0" xfId="1" applyFont="1" applyAlignment="1">
      <alignment wrapText="1"/>
    </xf>
    <xf numFmtId="0" fontId="14" fillId="0" borderId="0" xfId="1" applyFont="1" applyAlignment="1">
      <alignment wrapText="1"/>
    </xf>
    <xf numFmtId="0" fontId="15" fillId="0" borderId="0" xfId="0" applyFont="1" applyAlignment="1">
      <alignment wrapText="1"/>
    </xf>
    <xf numFmtId="0" fontId="15" fillId="0" borderId="0" xfId="0" quotePrefix="1" applyFont="1" applyAlignment="1">
      <alignment wrapText="1"/>
    </xf>
    <xf numFmtId="0" fontId="0" fillId="0" borderId="0" xfId="0" applyAlignment="1">
      <alignment horizontal="left" vertical="top"/>
    </xf>
    <xf numFmtId="1" fontId="10" fillId="3" borderId="1" xfId="0" applyNumberFormat="1" applyFont="1" applyFill="1" applyBorder="1" applyAlignment="1">
      <alignment horizontal="center" vertical="top" shrinkToFit="1"/>
    </xf>
    <xf numFmtId="0" fontId="9" fillId="3" borderId="1" xfId="0" applyFont="1" applyFill="1" applyBorder="1" applyAlignment="1">
      <alignment horizontal="center" vertical="top" wrapText="1"/>
    </xf>
    <xf numFmtId="0" fontId="0" fillId="3" borderId="0" xfId="0" applyFill="1" applyAlignment="1">
      <alignment horizontal="left" vertical="top"/>
    </xf>
    <xf numFmtId="0" fontId="16" fillId="0" borderId="0" xfId="0" applyFont="1" applyAlignment="1">
      <alignment horizontal="left" vertical="top"/>
    </xf>
    <xf numFmtId="0" fontId="15" fillId="3" borderId="0" xfId="0" applyFont="1" applyFill="1" applyAlignment="1">
      <alignment wrapText="1"/>
    </xf>
    <xf numFmtId="0" fontId="0" fillId="3" borderId="0" xfId="0" applyFill="1" applyAlignment="1">
      <alignment wrapText="1"/>
    </xf>
    <xf numFmtId="0" fontId="9" fillId="0" borderId="1" xfId="0" applyFont="1" applyBorder="1" applyAlignment="1">
      <alignment horizontal="center" vertical="top" wrapText="1"/>
    </xf>
    <xf numFmtId="1" fontId="10" fillId="0" borderId="1" xfId="0" applyNumberFormat="1" applyFont="1" applyBorder="1" applyAlignment="1">
      <alignment horizontal="center" vertical="top" shrinkToFit="1"/>
    </xf>
    <xf numFmtId="0" fontId="9" fillId="0" borderId="6" xfId="0" applyFont="1" applyBorder="1" applyAlignment="1">
      <alignment horizontal="center" vertical="top" wrapText="1"/>
    </xf>
    <xf numFmtId="0" fontId="17" fillId="0" borderId="0" xfId="0" applyFont="1" applyAlignment="1">
      <alignment horizontal="left" vertical="top"/>
    </xf>
    <xf numFmtId="1" fontId="10" fillId="4" borderId="1" xfId="0" applyNumberFormat="1" applyFont="1" applyFill="1" applyBorder="1" applyAlignment="1">
      <alignment horizontal="center" vertical="top" shrinkToFit="1"/>
    </xf>
    <xf numFmtId="0" fontId="9" fillId="4" borderId="1" xfId="0" applyFont="1" applyFill="1" applyBorder="1" applyAlignment="1">
      <alignment horizontal="center" vertical="top" wrapText="1"/>
    </xf>
    <xf numFmtId="0" fontId="0" fillId="0" borderId="0" xfId="0" applyAlignment="1">
      <alignment horizontal="center" vertical="center"/>
    </xf>
    <xf numFmtId="0" fontId="15" fillId="0" borderId="0" xfId="0" applyFont="1" applyAlignment="1">
      <alignment horizontal="center" vertical="center" wrapText="1"/>
    </xf>
    <xf numFmtId="0" fontId="18" fillId="0" borderId="0" xfId="0" applyFont="1" applyAlignment="1">
      <alignment horizontal="center" vertical="center" wrapText="1"/>
    </xf>
    <xf numFmtId="0" fontId="18" fillId="0" borderId="0" xfId="0" applyFont="1" applyAlignment="1">
      <alignment horizontal="center" vertical="center"/>
    </xf>
    <xf numFmtId="0" fontId="18" fillId="6" borderId="0" xfId="0" applyFont="1" applyFill="1" applyAlignment="1">
      <alignment wrapText="1"/>
    </xf>
    <xf numFmtId="0" fontId="18" fillId="3" borderId="0" xfId="0" applyFont="1" applyFill="1" applyAlignment="1">
      <alignment horizontal="center" vertical="center"/>
    </xf>
    <xf numFmtId="0" fontId="18" fillId="7" borderId="0" xfId="0" applyFont="1" applyFill="1" applyAlignment="1">
      <alignment wrapText="1"/>
    </xf>
    <xf numFmtId="0" fontId="12" fillId="7" borderId="0" xfId="0" applyFont="1" applyFill="1" applyAlignment="1">
      <alignment wrapText="1"/>
    </xf>
    <xf numFmtId="0" fontId="2" fillId="0" borderId="0" xfId="0" applyFont="1" applyAlignment="1">
      <alignment horizontal="center"/>
    </xf>
    <xf numFmtId="0" fontId="2" fillId="0" borderId="0" xfId="0" applyFont="1" applyAlignment="1">
      <alignment horizontal="center" vertical="center"/>
    </xf>
    <xf numFmtId="0" fontId="1" fillId="3" borderId="0" xfId="0" applyFont="1" applyFill="1" applyAlignment="1">
      <alignment horizontal="center" vertical="center"/>
    </xf>
    <xf numFmtId="0" fontId="19" fillId="0" borderId="0" xfId="0" applyFont="1"/>
    <xf numFmtId="0" fontId="18" fillId="3" borderId="0" xfId="0" applyFont="1" applyFill="1" applyAlignment="1">
      <alignment horizontal="center" vertical="center" wrapText="1"/>
    </xf>
    <xf numFmtId="0" fontId="22" fillId="0" borderId="0" xfId="0" applyFont="1"/>
    <xf numFmtId="0" fontId="21" fillId="8" borderId="12" xfId="0" applyFont="1" applyFill="1" applyBorder="1" applyAlignment="1">
      <alignment horizontal="center" wrapText="1"/>
    </xf>
    <xf numFmtId="0" fontId="21" fillId="16" borderId="13" xfId="0" applyFont="1" applyFill="1" applyBorder="1" applyAlignment="1">
      <alignment horizontal="center" wrapText="1"/>
    </xf>
    <xf numFmtId="0" fontId="21" fillId="17" borderId="14" xfId="0" applyFont="1" applyFill="1" applyBorder="1" applyAlignment="1">
      <alignment horizontal="center" wrapText="1"/>
    </xf>
    <xf numFmtId="0" fontId="21" fillId="10" borderId="15" xfId="0" applyFont="1" applyFill="1" applyBorder="1" applyAlignment="1">
      <alignment horizontal="center" wrapText="1"/>
    </xf>
    <xf numFmtId="0" fontId="21" fillId="10" borderId="13" xfId="0" applyFont="1" applyFill="1" applyBorder="1" applyAlignment="1">
      <alignment horizontal="center" wrapText="1"/>
    </xf>
    <xf numFmtId="0" fontId="21" fillId="18" borderId="16" xfId="0" applyFont="1" applyFill="1" applyBorder="1" applyAlignment="1">
      <alignment horizontal="center" wrapText="1"/>
    </xf>
    <xf numFmtId="0" fontId="21" fillId="12" borderId="12" xfId="0" applyFont="1" applyFill="1" applyBorder="1" applyAlignment="1">
      <alignment horizontal="center" wrapText="1"/>
    </xf>
    <xf numFmtId="0" fontId="21" fillId="19" borderId="13" xfId="0" applyFont="1" applyFill="1" applyBorder="1" applyAlignment="1">
      <alignment horizontal="center" wrapText="1"/>
    </xf>
    <xf numFmtId="0" fontId="21" fillId="13" borderId="16" xfId="0" applyFont="1" applyFill="1" applyBorder="1" applyAlignment="1">
      <alignment horizontal="center" wrapText="1"/>
    </xf>
    <xf numFmtId="0" fontId="21" fillId="14" borderId="12" xfId="0" applyFont="1" applyFill="1" applyBorder="1" applyAlignment="1">
      <alignment horizontal="center" wrapText="1"/>
    </xf>
    <xf numFmtId="0" fontId="21" fillId="20" borderId="13" xfId="0" applyFont="1" applyFill="1" applyBorder="1" applyAlignment="1">
      <alignment horizontal="center" wrapText="1"/>
    </xf>
    <xf numFmtId="0" fontId="21" fillId="20" borderId="14" xfId="0" applyFont="1" applyFill="1" applyBorder="1" applyAlignment="1">
      <alignment horizontal="center" wrapText="1"/>
    </xf>
    <xf numFmtId="0" fontId="21" fillId="21" borderId="13" xfId="0" applyFont="1" applyFill="1" applyBorder="1" applyAlignment="1">
      <alignment horizontal="center" wrapText="1"/>
    </xf>
    <xf numFmtId="0" fontId="21" fillId="8" borderId="14" xfId="0" applyFont="1" applyFill="1" applyBorder="1" applyAlignment="1">
      <alignment horizontal="center" wrapText="1"/>
    </xf>
    <xf numFmtId="0" fontId="21" fillId="18" borderId="13" xfId="0" applyFont="1" applyFill="1" applyBorder="1" applyAlignment="1">
      <alignment horizontal="center" wrapText="1"/>
    </xf>
    <xf numFmtId="0" fontId="21" fillId="10" borderId="16" xfId="0" applyFont="1" applyFill="1" applyBorder="1" applyAlignment="1">
      <alignment horizontal="center" wrapText="1"/>
    </xf>
    <xf numFmtId="0" fontId="21" fillId="22" borderId="13" xfId="0" applyFont="1" applyFill="1" applyBorder="1" applyAlignment="1">
      <alignment horizontal="center" wrapText="1"/>
    </xf>
    <xf numFmtId="0" fontId="21" fillId="12" borderId="16" xfId="0" applyFont="1" applyFill="1" applyBorder="1" applyAlignment="1">
      <alignment horizontal="center" wrapText="1"/>
    </xf>
    <xf numFmtId="0" fontId="21" fillId="23" borderId="13" xfId="0" applyFont="1" applyFill="1" applyBorder="1" applyAlignment="1">
      <alignment horizontal="center" wrapText="1"/>
    </xf>
    <xf numFmtId="0" fontId="21" fillId="14" borderId="14" xfId="0" applyFont="1" applyFill="1" applyBorder="1" applyAlignment="1">
      <alignment horizontal="center" wrapText="1"/>
    </xf>
    <xf numFmtId="0" fontId="21" fillId="8" borderId="13" xfId="0" applyFont="1" applyFill="1" applyBorder="1" applyAlignment="1">
      <alignment horizontal="center" wrapText="1"/>
    </xf>
    <xf numFmtId="0" fontId="21" fillId="24" borderId="14" xfId="0" applyFont="1" applyFill="1" applyBorder="1" applyAlignment="1">
      <alignment horizontal="center" wrapText="1"/>
    </xf>
    <xf numFmtId="0" fontId="21" fillId="25" borderId="16" xfId="0" applyFont="1" applyFill="1" applyBorder="1" applyAlignment="1">
      <alignment horizontal="center" wrapText="1"/>
    </xf>
    <xf numFmtId="0" fontId="21" fillId="12" borderId="13" xfId="0" applyFont="1" applyFill="1" applyBorder="1" applyAlignment="1">
      <alignment horizontal="center" wrapText="1"/>
    </xf>
    <xf numFmtId="0" fontId="21" fillId="19" borderId="16" xfId="0" applyFont="1" applyFill="1" applyBorder="1" applyAlignment="1">
      <alignment horizontal="center" wrapText="1"/>
    </xf>
    <xf numFmtId="0" fontId="21" fillId="14" borderId="13" xfId="0" applyFont="1" applyFill="1" applyBorder="1" applyAlignment="1">
      <alignment horizontal="center" wrapText="1"/>
    </xf>
    <xf numFmtId="0" fontId="21" fillId="26" borderId="14" xfId="0" applyFont="1" applyFill="1" applyBorder="1" applyAlignment="1">
      <alignment horizontal="center" wrapText="1"/>
    </xf>
    <xf numFmtId="0" fontId="21" fillId="27" borderId="14" xfId="0" applyFont="1" applyFill="1" applyBorder="1" applyAlignment="1">
      <alignment horizontal="center" wrapText="1"/>
    </xf>
    <xf numFmtId="0" fontId="21" fillId="11" borderId="16" xfId="0" applyFont="1" applyFill="1" applyBorder="1" applyAlignment="1">
      <alignment horizontal="center" wrapText="1"/>
    </xf>
    <xf numFmtId="0" fontId="21" fillId="28" borderId="14" xfId="0" applyFont="1" applyFill="1" applyBorder="1" applyAlignment="1">
      <alignment horizontal="center" wrapText="1"/>
    </xf>
    <xf numFmtId="0" fontId="21" fillId="8" borderId="17" xfId="0" applyFont="1" applyFill="1" applyBorder="1" applyAlignment="1">
      <alignment horizontal="center" wrapText="1"/>
    </xf>
    <xf numFmtId="0" fontId="21" fillId="8" borderId="18" xfId="0" applyFont="1" applyFill="1" applyBorder="1" applyAlignment="1">
      <alignment horizontal="center" wrapText="1"/>
    </xf>
    <xf numFmtId="0" fontId="21" fillId="17" borderId="19" xfId="0" applyFont="1" applyFill="1" applyBorder="1" applyAlignment="1">
      <alignment horizontal="center" wrapText="1"/>
    </xf>
    <xf numFmtId="0" fontId="21" fillId="10" borderId="20" xfId="0" applyFont="1" applyFill="1" applyBorder="1" applyAlignment="1">
      <alignment horizontal="center" wrapText="1"/>
    </xf>
    <xf numFmtId="0" fontId="21" fillId="10" borderId="21" xfId="0" applyFont="1" applyFill="1" applyBorder="1" applyAlignment="1">
      <alignment horizontal="center" wrapText="1"/>
    </xf>
    <xf numFmtId="0" fontId="21" fillId="18" borderId="22" xfId="0" applyFont="1" applyFill="1" applyBorder="1" applyAlignment="1">
      <alignment horizontal="center" wrapText="1"/>
    </xf>
    <xf numFmtId="0" fontId="21" fillId="12" borderId="23" xfId="0" applyFont="1" applyFill="1" applyBorder="1" applyAlignment="1">
      <alignment horizontal="center" wrapText="1"/>
    </xf>
    <xf numFmtId="0" fontId="21" fillId="12" borderId="21" xfId="0" applyFont="1" applyFill="1" applyBorder="1" applyAlignment="1">
      <alignment horizontal="center" wrapText="1"/>
    </xf>
    <xf numFmtId="0" fontId="21" fillId="19" borderId="22" xfId="0" applyFont="1" applyFill="1" applyBorder="1" applyAlignment="1">
      <alignment horizontal="center" wrapText="1"/>
    </xf>
    <xf numFmtId="0" fontId="21" fillId="14" borderId="17" xfId="0" applyFont="1" applyFill="1" applyBorder="1" applyAlignment="1">
      <alignment horizontal="center" wrapText="1"/>
    </xf>
    <xf numFmtId="0" fontId="21" fillId="14" borderId="18" xfId="0" applyFont="1" applyFill="1" applyBorder="1" applyAlignment="1">
      <alignment horizontal="center" wrapText="1"/>
    </xf>
    <xf numFmtId="0" fontId="21" fillId="29" borderId="19" xfId="0" applyFont="1" applyFill="1" applyBorder="1" applyAlignment="1">
      <alignment horizontal="center" wrapText="1"/>
    </xf>
    <xf numFmtId="0" fontId="19" fillId="0" borderId="0" xfId="0" applyFont="1" applyAlignment="1">
      <alignment horizontal="center" wrapText="1"/>
    </xf>
    <xf numFmtId="0" fontId="23" fillId="0" borderId="0" xfId="0" applyFont="1" applyAlignment="1">
      <alignment wrapText="1"/>
    </xf>
    <xf numFmtId="0" fontId="21" fillId="30" borderId="12" xfId="0" applyFont="1" applyFill="1" applyBorder="1" applyAlignment="1">
      <alignment horizontal="center" wrapText="1"/>
    </xf>
    <xf numFmtId="0" fontId="21" fillId="33" borderId="13" xfId="0" applyFont="1" applyFill="1" applyBorder="1" applyAlignment="1">
      <alignment horizontal="center" wrapText="1"/>
    </xf>
    <xf numFmtId="0" fontId="21" fillId="34" borderId="14" xfId="0" applyFont="1" applyFill="1" applyBorder="1" applyAlignment="1">
      <alignment horizontal="center" wrapText="1"/>
    </xf>
    <xf numFmtId="0" fontId="21" fillId="31" borderId="12" xfId="0" applyFont="1" applyFill="1" applyBorder="1" applyAlignment="1">
      <alignment horizontal="center" wrapText="1"/>
    </xf>
    <xf numFmtId="0" fontId="21" fillId="35" borderId="13" xfId="0" applyFont="1" applyFill="1" applyBorder="1" applyAlignment="1">
      <alignment horizontal="center" wrapText="1"/>
    </xf>
    <xf numFmtId="0" fontId="21" fillId="36" borderId="14" xfId="0" applyFont="1" applyFill="1" applyBorder="1" applyAlignment="1">
      <alignment horizontal="center" wrapText="1"/>
    </xf>
    <xf numFmtId="0" fontId="21" fillId="37" borderId="13" xfId="0" applyFont="1" applyFill="1" applyBorder="1" applyAlignment="1">
      <alignment horizontal="center" wrapText="1"/>
    </xf>
    <xf numFmtId="0" fontId="21" fillId="30" borderId="14" xfId="0" applyFont="1" applyFill="1" applyBorder="1" applyAlignment="1">
      <alignment horizontal="center" wrapText="1"/>
    </xf>
    <xf numFmtId="0" fontId="21" fillId="38" borderId="13" xfId="0" applyFont="1" applyFill="1" applyBorder="1" applyAlignment="1">
      <alignment horizontal="center" wrapText="1"/>
    </xf>
    <xf numFmtId="0" fontId="21" fillId="31" borderId="14" xfId="0" applyFont="1" applyFill="1" applyBorder="1" applyAlignment="1">
      <alignment horizontal="center" wrapText="1"/>
    </xf>
    <xf numFmtId="0" fontId="21" fillId="30" borderId="13" xfId="0" applyFont="1" applyFill="1" applyBorder="1" applyAlignment="1">
      <alignment horizontal="center" wrapText="1"/>
    </xf>
    <xf numFmtId="0" fontId="21" fillId="39" borderId="14" xfId="0" applyFont="1" applyFill="1" applyBorder="1" applyAlignment="1">
      <alignment horizontal="center" wrapText="1"/>
    </xf>
    <xf numFmtId="0" fontId="21" fillId="31" borderId="13" xfId="0" applyFont="1" applyFill="1" applyBorder="1" applyAlignment="1">
      <alignment horizontal="center" wrapText="1"/>
    </xf>
    <xf numFmtId="0" fontId="21" fillId="40" borderId="14" xfId="0" applyFont="1" applyFill="1" applyBorder="1" applyAlignment="1">
      <alignment horizontal="center" wrapText="1"/>
    </xf>
    <xf numFmtId="0" fontId="21" fillId="41" borderId="14" xfId="0" applyFont="1" applyFill="1" applyBorder="1" applyAlignment="1">
      <alignment horizontal="center" wrapText="1"/>
    </xf>
    <xf numFmtId="0" fontId="21" fillId="42" borderId="14" xfId="0" applyFont="1" applyFill="1" applyBorder="1" applyAlignment="1">
      <alignment horizontal="center" wrapText="1"/>
    </xf>
    <xf numFmtId="0" fontId="21" fillId="30" borderId="23" xfId="0" applyFont="1" applyFill="1" applyBorder="1" applyAlignment="1">
      <alignment horizontal="center" wrapText="1"/>
    </xf>
    <xf numFmtId="0" fontId="21" fillId="30" borderId="21" xfId="0" applyFont="1" applyFill="1" applyBorder="1" applyAlignment="1">
      <alignment horizontal="center" wrapText="1"/>
    </xf>
    <xf numFmtId="0" fontId="21" fillId="43" borderId="24" xfId="0" applyFont="1" applyFill="1" applyBorder="1" applyAlignment="1">
      <alignment horizontal="center" wrapText="1"/>
    </xf>
    <xf numFmtId="0" fontId="21" fillId="31" borderId="17" xfId="0" applyFont="1" applyFill="1" applyBorder="1" applyAlignment="1">
      <alignment horizontal="center" wrapText="1"/>
    </xf>
    <xf numFmtId="0" fontId="21" fillId="31" borderId="18" xfId="0" applyFont="1" applyFill="1" applyBorder="1" applyAlignment="1">
      <alignment horizontal="center" wrapText="1"/>
    </xf>
    <xf numFmtId="0" fontId="21" fillId="44" borderId="19" xfId="0" applyFont="1" applyFill="1" applyBorder="1" applyAlignment="1">
      <alignment horizontal="center" wrapText="1"/>
    </xf>
    <xf numFmtId="0" fontId="20" fillId="0" borderId="0" xfId="0" applyFont="1"/>
    <xf numFmtId="0" fontId="21" fillId="45" borderId="12" xfId="0" applyFont="1" applyFill="1" applyBorder="1" applyAlignment="1">
      <alignment horizontal="center" wrapText="1"/>
    </xf>
    <xf numFmtId="0" fontId="21" fillId="47" borderId="13" xfId="0" applyFont="1" applyFill="1" applyBorder="1" applyAlignment="1">
      <alignment horizontal="center" wrapText="1"/>
    </xf>
    <xf numFmtId="0" fontId="21" fillId="48" borderId="14" xfId="0" applyFont="1" applyFill="1" applyBorder="1" applyAlignment="1">
      <alignment horizontal="center" wrapText="1"/>
    </xf>
    <xf numFmtId="0" fontId="19" fillId="0" borderId="0" xfId="0" applyFont="1" applyAlignment="1">
      <alignment horizontal="center"/>
    </xf>
    <xf numFmtId="0" fontId="21" fillId="46" borderId="12" xfId="0" applyFont="1" applyFill="1" applyBorder="1" applyAlignment="1">
      <alignment horizontal="center" wrapText="1"/>
    </xf>
    <xf numFmtId="0" fontId="21" fillId="46" borderId="13" xfId="0" applyFont="1" applyFill="1" applyBorder="1" applyAlignment="1">
      <alignment horizontal="center" wrapText="1"/>
    </xf>
    <xf numFmtId="0" fontId="21" fillId="46" borderId="14" xfId="0" applyFont="1" applyFill="1" applyBorder="1" applyAlignment="1">
      <alignment horizontal="center" wrapText="1"/>
    </xf>
    <xf numFmtId="0" fontId="21" fillId="49" borderId="13" xfId="0" applyFont="1" applyFill="1" applyBorder="1" applyAlignment="1">
      <alignment horizontal="center" wrapText="1"/>
    </xf>
    <xf numFmtId="0" fontId="21" fillId="45" borderId="14" xfId="0" applyFont="1" applyFill="1" applyBorder="1" applyAlignment="1">
      <alignment horizontal="center" wrapText="1"/>
    </xf>
    <xf numFmtId="0" fontId="21" fillId="45" borderId="13" xfId="0" applyFont="1" applyFill="1" applyBorder="1" applyAlignment="1">
      <alignment horizontal="center" wrapText="1"/>
    </xf>
    <xf numFmtId="0" fontId="21" fillId="47" borderId="14" xfId="0" applyFont="1" applyFill="1" applyBorder="1" applyAlignment="1">
      <alignment horizontal="center" wrapText="1"/>
    </xf>
    <xf numFmtId="0" fontId="24" fillId="0" borderId="0" xfId="0" applyFont="1" applyAlignment="1">
      <alignment horizontal="center"/>
    </xf>
    <xf numFmtId="0" fontId="21" fillId="50" borderId="14" xfId="0" applyFont="1" applyFill="1" applyBorder="1" applyAlignment="1">
      <alignment horizontal="center" wrapText="1"/>
    </xf>
    <xf numFmtId="0" fontId="25" fillId="0" borderId="0" xfId="0" applyFont="1" applyAlignment="1">
      <alignment horizontal="center"/>
    </xf>
    <xf numFmtId="0" fontId="21" fillId="45" borderId="17" xfId="0" applyFont="1" applyFill="1" applyBorder="1" applyAlignment="1">
      <alignment horizontal="center" wrapText="1"/>
    </xf>
    <xf numFmtId="0" fontId="21" fillId="45" borderId="18" xfId="0" applyFont="1" applyFill="1" applyBorder="1" applyAlignment="1">
      <alignment horizontal="center" wrapText="1"/>
    </xf>
    <xf numFmtId="0" fontId="21" fillId="47" borderId="19" xfId="0" applyFont="1" applyFill="1" applyBorder="1" applyAlignment="1">
      <alignment horizontal="center" wrapText="1"/>
    </xf>
    <xf numFmtId="0" fontId="21" fillId="46" borderId="23" xfId="0" applyFont="1" applyFill="1" applyBorder="1" applyAlignment="1">
      <alignment horizontal="center" wrapText="1"/>
    </xf>
    <xf numFmtId="0" fontId="21" fillId="46" borderId="21" xfId="0" applyFont="1" applyFill="1" applyBorder="1" applyAlignment="1">
      <alignment horizontal="center" wrapText="1"/>
    </xf>
    <xf numFmtId="0" fontId="21" fillId="46" borderId="24" xfId="0" applyFont="1" applyFill="1" applyBorder="1" applyAlignment="1">
      <alignment horizontal="center" wrapText="1"/>
    </xf>
    <xf numFmtId="0" fontId="21" fillId="51" borderId="12" xfId="0" applyFont="1" applyFill="1" applyBorder="1" applyAlignment="1">
      <alignment horizontal="center" wrapText="1"/>
    </xf>
    <xf numFmtId="0" fontId="21" fillId="24" borderId="13" xfId="0" applyFont="1" applyFill="1" applyBorder="1" applyAlignment="1">
      <alignment horizontal="center" wrapText="1"/>
    </xf>
    <xf numFmtId="0" fontId="21" fillId="17" borderId="16" xfId="0" applyFont="1" applyFill="1" applyBorder="1" applyAlignment="1">
      <alignment horizontal="center" wrapText="1"/>
    </xf>
    <xf numFmtId="0" fontId="21" fillId="52" borderId="12" xfId="0" applyFont="1" applyFill="1" applyBorder="1" applyAlignment="1">
      <alignment horizontal="center" wrapText="1"/>
    </xf>
    <xf numFmtId="0" fontId="21" fillId="53" borderId="12" xfId="0" applyFont="1" applyFill="1" applyBorder="1" applyAlignment="1">
      <alignment horizontal="center" wrapText="1"/>
    </xf>
    <xf numFmtId="0" fontId="21" fillId="55" borderId="13" xfId="0" applyFont="1" applyFill="1" applyBorder="1" applyAlignment="1">
      <alignment horizontal="center" wrapText="1"/>
    </xf>
    <xf numFmtId="0" fontId="21" fillId="54" borderId="12" xfId="0" applyFont="1" applyFill="1" applyBorder="1" applyAlignment="1">
      <alignment horizontal="center" wrapText="1"/>
    </xf>
    <xf numFmtId="0" fontId="21" fillId="26" borderId="13" xfId="0" applyFont="1" applyFill="1" applyBorder="1" applyAlignment="1">
      <alignment horizontal="center" wrapText="1"/>
    </xf>
    <xf numFmtId="0" fontId="21" fillId="51" borderId="16" xfId="0" applyFont="1" applyFill="1" applyBorder="1" applyAlignment="1">
      <alignment horizontal="center" wrapText="1"/>
    </xf>
    <xf numFmtId="0" fontId="21" fillId="56" borderId="13" xfId="0" applyFont="1" applyFill="1" applyBorder="1" applyAlignment="1">
      <alignment horizontal="center" wrapText="1"/>
    </xf>
    <xf numFmtId="0" fontId="21" fillId="52" borderId="16" xfId="0" applyFont="1" applyFill="1" applyBorder="1" applyAlignment="1">
      <alignment horizontal="center" wrapText="1"/>
    </xf>
    <xf numFmtId="0" fontId="21" fillId="57" borderId="13" xfId="0" applyFont="1" applyFill="1" applyBorder="1" applyAlignment="1">
      <alignment horizontal="center" wrapText="1"/>
    </xf>
    <xf numFmtId="0" fontId="21" fillId="53" borderId="16" xfId="0" applyFont="1" applyFill="1" applyBorder="1" applyAlignment="1">
      <alignment horizontal="center" wrapText="1"/>
    </xf>
    <xf numFmtId="0" fontId="21" fillId="58" borderId="13" xfId="0" applyFont="1" applyFill="1" applyBorder="1" applyAlignment="1">
      <alignment horizontal="center" wrapText="1"/>
    </xf>
    <xf numFmtId="0" fontId="21" fillId="54" borderId="14" xfId="0" applyFont="1" applyFill="1" applyBorder="1" applyAlignment="1">
      <alignment horizontal="center" wrapText="1"/>
    </xf>
    <xf numFmtId="0" fontId="21" fillId="51" borderId="13" xfId="0" applyFont="1" applyFill="1" applyBorder="1" applyAlignment="1">
      <alignment horizontal="center" wrapText="1"/>
    </xf>
    <xf numFmtId="0" fontId="21" fillId="16" borderId="16" xfId="0" applyFont="1" applyFill="1" applyBorder="1" applyAlignment="1">
      <alignment horizontal="center" wrapText="1"/>
    </xf>
    <xf numFmtId="0" fontId="21" fillId="52" borderId="13" xfId="0" applyFont="1" applyFill="1" applyBorder="1" applyAlignment="1">
      <alignment horizontal="center" wrapText="1"/>
    </xf>
    <xf numFmtId="0" fontId="21" fillId="53" borderId="13" xfId="0" applyFont="1" applyFill="1" applyBorder="1" applyAlignment="1">
      <alignment horizontal="center" wrapText="1"/>
    </xf>
    <xf numFmtId="0" fontId="21" fillId="59" borderId="16" xfId="0" applyFont="1" applyFill="1" applyBorder="1" applyAlignment="1">
      <alignment horizontal="center" wrapText="1"/>
    </xf>
    <xf numFmtId="0" fontId="21" fillId="54" borderId="13" xfId="0" applyFont="1" applyFill="1" applyBorder="1" applyAlignment="1">
      <alignment horizontal="center" wrapText="1"/>
    </xf>
    <xf numFmtId="0" fontId="21" fillId="9" borderId="16" xfId="0" applyFont="1" applyFill="1" applyBorder="1" applyAlignment="1">
      <alignment horizontal="center" wrapText="1"/>
    </xf>
    <xf numFmtId="0" fontId="21" fillId="60" borderId="16" xfId="0" applyFont="1" applyFill="1" applyBorder="1" applyAlignment="1">
      <alignment horizontal="center" wrapText="1"/>
    </xf>
    <xf numFmtId="0" fontId="21" fillId="61" borderId="16" xfId="0" applyFont="1" applyFill="1" applyBorder="1" applyAlignment="1">
      <alignment horizontal="center" wrapText="1"/>
    </xf>
    <xf numFmtId="0" fontId="21" fillId="62" borderId="14" xfId="0" applyFont="1" applyFill="1" applyBorder="1" applyAlignment="1">
      <alignment horizontal="center" wrapText="1"/>
    </xf>
    <xf numFmtId="0" fontId="21" fillId="51" borderId="23" xfId="0" applyFont="1" applyFill="1" applyBorder="1" applyAlignment="1">
      <alignment horizontal="center" wrapText="1"/>
    </xf>
    <xf numFmtId="0" fontId="21" fillId="51" borderId="21" xfId="0" applyFont="1" applyFill="1" applyBorder="1" applyAlignment="1">
      <alignment horizontal="center" wrapText="1"/>
    </xf>
    <xf numFmtId="0" fontId="21" fillId="63" borderId="22" xfId="0" applyFont="1" applyFill="1" applyBorder="1" applyAlignment="1">
      <alignment horizontal="center" wrapText="1"/>
    </xf>
    <xf numFmtId="0" fontId="21" fillId="52" borderId="23" xfId="0" applyFont="1" applyFill="1" applyBorder="1" applyAlignment="1">
      <alignment horizontal="center" wrapText="1"/>
    </xf>
    <xf numFmtId="0" fontId="21" fillId="52" borderId="21" xfId="0" applyFont="1" applyFill="1" applyBorder="1" applyAlignment="1">
      <alignment horizontal="center" wrapText="1"/>
    </xf>
    <xf numFmtId="0" fontId="21" fillId="64" borderId="22" xfId="0" applyFont="1" applyFill="1" applyBorder="1" applyAlignment="1">
      <alignment horizontal="center" wrapText="1"/>
    </xf>
    <xf numFmtId="0" fontId="21" fillId="53" borderId="23" xfId="0" applyFont="1" applyFill="1" applyBorder="1" applyAlignment="1">
      <alignment horizontal="center" wrapText="1"/>
    </xf>
    <xf numFmtId="0" fontId="21" fillId="53" borderId="21" xfId="0" applyFont="1" applyFill="1" applyBorder="1" applyAlignment="1">
      <alignment horizontal="center" wrapText="1"/>
    </xf>
    <xf numFmtId="0" fontId="21" fillId="54" borderId="23" xfId="0" applyFont="1" applyFill="1" applyBorder="1" applyAlignment="1">
      <alignment horizontal="center" wrapText="1"/>
    </xf>
    <xf numFmtId="0" fontId="21" fillId="54" borderId="21" xfId="0" applyFont="1" applyFill="1" applyBorder="1" applyAlignment="1">
      <alignment horizontal="center" wrapText="1"/>
    </xf>
    <xf numFmtId="0" fontId="21" fillId="26" borderId="24" xfId="0" applyFont="1" applyFill="1" applyBorder="1" applyAlignment="1">
      <alignment horizontal="center" wrapText="1"/>
    </xf>
    <xf numFmtId="0" fontId="12" fillId="3" borderId="0" xfId="0" applyFont="1" applyFill="1"/>
    <xf numFmtId="0" fontId="12" fillId="3" borderId="0" xfId="0" applyFont="1" applyFill="1" applyAlignment="1">
      <alignment wrapText="1"/>
    </xf>
    <xf numFmtId="0" fontId="12" fillId="0" borderId="0" xfId="0" applyFont="1" applyAlignment="1">
      <alignment wrapText="1"/>
    </xf>
    <xf numFmtId="0" fontId="12" fillId="65" borderId="0" xfId="0" applyFont="1" applyFill="1"/>
    <xf numFmtId="0" fontId="12" fillId="65" borderId="0" xfId="0" applyFont="1" applyFill="1" applyAlignment="1">
      <alignment wrapText="1"/>
    </xf>
    <xf numFmtId="0" fontId="26" fillId="66" borderId="0" xfId="1" applyFont="1" applyFill="1" applyAlignment="1">
      <alignment vertical="center" wrapText="1"/>
    </xf>
    <xf numFmtId="0" fontId="27" fillId="66" borderId="0" xfId="1" applyFont="1" applyFill="1" applyAlignment="1">
      <alignment vertical="center" wrapText="1"/>
    </xf>
    <xf numFmtId="0" fontId="28" fillId="0" borderId="0" xfId="0" applyFont="1" applyAlignment="1">
      <alignment vertical="center"/>
    </xf>
    <xf numFmtId="0" fontId="29" fillId="0" borderId="0" xfId="1" applyFont="1" applyAlignment="1">
      <alignment vertical="center" wrapText="1"/>
    </xf>
    <xf numFmtId="0" fontId="30" fillId="0" borderId="0" xfId="1" applyFont="1" applyAlignment="1">
      <alignment vertical="center" wrapText="1"/>
    </xf>
    <xf numFmtId="0" fontId="30" fillId="0" borderId="0" xfId="1" applyFont="1" applyAlignment="1">
      <alignment vertical="center"/>
    </xf>
    <xf numFmtId="0" fontId="12" fillId="3" borderId="0" xfId="0" applyFont="1" applyFill="1" applyAlignment="1">
      <alignment horizontal="center" vertical="center"/>
    </xf>
    <xf numFmtId="0" fontId="12" fillId="3" borderId="0" xfId="0" applyFont="1" applyFill="1" applyAlignment="1">
      <alignment horizontal="center" vertical="center" wrapText="1"/>
    </xf>
    <xf numFmtId="0" fontId="12" fillId="0" borderId="0" xfId="0" applyFont="1" applyAlignment="1">
      <alignment horizontal="center" vertical="center"/>
    </xf>
    <xf numFmtId="0" fontId="14" fillId="0" borderId="0" xfId="0" applyFont="1" applyAlignment="1">
      <alignment horizontal="left" vertical="center" wrapText="1"/>
    </xf>
    <xf numFmtId="0" fontId="12" fillId="0" borderId="0" xfId="0" applyFont="1" applyAlignment="1">
      <alignment horizontal="left" vertical="center" wrapText="1"/>
    </xf>
    <xf numFmtId="0" fontId="14" fillId="0" borderId="0" xfId="0" applyFont="1" applyAlignment="1">
      <alignment horizontal="center" vertical="center"/>
    </xf>
    <xf numFmtId="22" fontId="12" fillId="0" borderId="0" xfId="0" applyNumberFormat="1" applyFont="1"/>
    <xf numFmtId="0" fontId="31" fillId="3" borderId="0" xfId="0" applyFont="1" applyFill="1"/>
    <xf numFmtId="0" fontId="15" fillId="2" borderId="0" xfId="0" applyFont="1" applyFill="1" applyAlignment="1">
      <alignment horizontal="center" vertical="center" wrapText="1"/>
    </xf>
    <xf numFmtId="0" fontId="14" fillId="0" borderId="0" xfId="0" applyFont="1" applyAlignment="1">
      <alignment vertical="center" wrapText="1"/>
    </xf>
    <xf numFmtId="0" fontId="14" fillId="0" borderId="0" xfId="0" applyFont="1" applyAlignment="1">
      <alignment vertical="center"/>
    </xf>
    <xf numFmtId="1" fontId="10" fillId="2" borderId="1" xfId="0" applyNumberFormat="1" applyFont="1" applyFill="1" applyBorder="1" applyAlignment="1">
      <alignment horizontal="center" vertical="top" shrinkToFit="1"/>
    </xf>
    <xf numFmtId="0" fontId="9" fillId="2" borderId="1" xfId="0" applyFont="1" applyFill="1" applyBorder="1" applyAlignment="1">
      <alignment horizontal="center" vertical="top" wrapText="1"/>
    </xf>
    <xf numFmtId="0" fontId="2" fillId="0" borderId="0" xfId="0" applyFont="1" applyAlignment="1">
      <alignment horizontal="center" vertical="center" wrapText="1"/>
    </xf>
    <xf numFmtId="0" fontId="1" fillId="3" borderId="0" xfId="0" applyFont="1" applyFill="1" applyAlignment="1">
      <alignment horizontal="center" vertical="center" wrapText="1"/>
    </xf>
    <xf numFmtId="0" fontId="4" fillId="0" borderId="2" xfId="1" applyFont="1" applyBorder="1"/>
    <xf numFmtId="0" fontId="5" fillId="0" borderId="3" xfId="1" applyFont="1" applyBorder="1"/>
    <xf numFmtId="0" fontId="5" fillId="0" borderId="4" xfId="1" applyFont="1" applyBorder="1"/>
    <xf numFmtId="0" fontId="6" fillId="0" borderId="2" xfId="1" applyFont="1" applyBorder="1"/>
    <xf numFmtId="0" fontId="7" fillId="0" borderId="3" xfId="1" applyFont="1" applyBorder="1"/>
    <xf numFmtId="0" fontId="7" fillId="0" borderId="4" xfId="1" applyFont="1" applyBorder="1"/>
    <xf numFmtId="0" fontId="8" fillId="0" borderId="0" xfId="0" applyFont="1" applyAlignment="1">
      <alignment horizontal="center" vertical="top" wrapText="1"/>
    </xf>
    <xf numFmtId="0" fontId="8" fillId="0" borderId="5" xfId="0" applyFont="1" applyBorder="1" applyAlignment="1">
      <alignment horizontal="center" vertical="top" wrapText="1"/>
    </xf>
    <xf numFmtId="0" fontId="21" fillId="45" borderId="25" xfId="0" applyFont="1" applyFill="1" applyBorder="1" applyAlignment="1">
      <alignment horizontal="center" wrapText="1"/>
    </xf>
    <xf numFmtId="0" fontId="20" fillId="5" borderId="26" xfId="0" applyFont="1" applyFill="1" applyBorder="1" applyAlignment="1">
      <alignment wrapText="1"/>
    </xf>
    <xf numFmtId="0" fontId="20" fillId="5" borderId="27" xfId="0" applyFont="1" applyFill="1" applyBorder="1" applyAlignment="1">
      <alignment wrapText="1"/>
    </xf>
    <xf numFmtId="0" fontId="21" fillId="46" borderId="7" xfId="0" applyFont="1" applyFill="1" applyBorder="1" applyAlignment="1">
      <alignment horizontal="center" wrapText="1"/>
    </xf>
    <xf numFmtId="0" fontId="20" fillId="46" borderId="8" xfId="0" applyFont="1" applyFill="1" applyBorder="1" applyAlignment="1">
      <alignment wrapText="1"/>
    </xf>
    <xf numFmtId="0" fontId="20" fillId="46" borderId="9" xfId="0" applyFont="1" applyFill="1" applyBorder="1" applyAlignment="1">
      <alignment wrapText="1"/>
    </xf>
    <xf numFmtId="0" fontId="21" fillId="51" borderId="7" xfId="0" applyFont="1" applyFill="1" applyBorder="1" applyAlignment="1">
      <alignment horizontal="center" wrapText="1"/>
    </xf>
    <xf numFmtId="0" fontId="20" fillId="9" borderId="8" xfId="0" applyFont="1" applyFill="1" applyBorder="1" applyAlignment="1">
      <alignment wrapText="1"/>
    </xf>
    <xf numFmtId="0" fontId="20" fillId="9" borderId="11" xfId="0" applyFont="1" applyFill="1" applyBorder="1" applyAlignment="1">
      <alignment wrapText="1"/>
    </xf>
    <xf numFmtId="0" fontId="21" fillId="52" borderId="7" xfId="0" applyFont="1" applyFill="1" applyBorder="1" applyAlignment="1">
      <alignment horizontal="center" wrapText="1"/>
    </xf>
    <xf numFmtId="0" fontId="20" fillId="11" borderId="8" xfId="0" applyFont="1" applyFill="1" applyBorder="1" applyAlignment="1">
      <alignment wrapText="1"/>
    </xf>
    <xf numFmtId="0" fontId="20" fillId="11" borderId="11" xfId="0" applyFont="1" applyFill="1" applyBorder="1" applyAlignment="1">
      <alignment wrapText="1"/>
    </xf>
    <xf numFmtId="0" fontId="21" fillId="53" borderId="25" xfId="0" applyFont="1" applyFill="1" applyBorder="1" applyAlignment="1">
      <alignment horizontal="center" wrapText="1"/>
    </xf>
    <xf numFmtId="0" fontId="20" fillId="13" borderId="26" xfId="0" applyFont="1" applyFill="1" applyBorder="1" applyAlignment="1">
      <alignment wrapText="1"/>
    </xf>
    <xf numFmtId="0" fontId="20" fillId="13" borderId="28" xfId="0" applyFont="1" applyFill="1" applyBorder="1" applyAlignment="1">
      <alignment wrapText="1"/>
    </xf>
    <xf numFmtId="0" fontId="21" fillId="54" borderId="25" xfId="0" applyFont="1" applyFill="1" applyBorder="1" applyAlignment="1">
      <alignment horizontal="center" wrapText="1"/>
    </xf>
    <xf numFmtId="0" fontId="20" fillId="15" borderId="26" xfId="0" applyFont="1" applyFill="1" applyBorder="1" applyAlignment="1">
      <alignment wrapText="1"/>
    </xf>
    <xf numFmtId="0" fontId="20" fillId="15" borderId="27" xfId="0" applyFont="1" applyFill="1" applyBorder="1" applyAlignment="1">
      <alignment wrapText="1"/>
    </xf>
    <xf numFmtId="0" fontId="19" fillId="8" borderId="7" xfId="0" applyFont="1" applyFill="1" applyBorder="1" applyAlignment="1">
      <alignment horizontal="center" wrapText="1"/>
    </xf>
    <xf numFmtId="0" fontId="20" fillId="9" borderId="9" xfId="0" applyFont="1" applyFill="1" applyBorder="1" applyAlignment="1">
      <alignment wrapText="1"/>
    </xf>
    <xf numFmtId="0" fontId="21" fillId="10" borderId="10" xfId="0" applyFont="1" applyFill="1" applyBorder="1" applyAlignment="1">
      <alignment horizontal="center" wrapText="1"/>
    </xf>
    <xf numFmtId="0" fontId="21" fillId="12" borderId="7" xfId="0" applyFont="1" applyFill="1" applyBorder="1" applyAlignment="1">
      <alignment horizontal="center" wrapText="1"/>
    </xf>
    <xf numFmtId="0" fontId="20" fillId="13" borderId="8" xfId="0" applyFont="1" applyFill="1" applyBorder="1" applyAlignment="1">
      <alignment wrapText="1"/>
    </xf>
    <xf numFmtId="0" fontId="20" fillId="13" borderId="11" xfId="0" applyFont="1" applyFill="1" applyBorder="1" applyAlignment="1">
      <alignment wrapText="1"/>
    </xf>
    <xf numFmtId="0" fontId="21" fillId="14" borderId="7" xfId="0" applyFont="1" applyFill="1" applyBorder="1" applyAlignment="1">
      <alignment horizontal="center" wrapText="1"/>
    </xf>
    <xf numFmtId="0" fontId="20" fillId="15" borderId="8" xfId="0" applyFont="1" applyFill="1" applyBorder="1" applyAlignment="1">
      <alignment wrapText="1"/>
    </xf>
    <xf numFmtId="0" fontId="20" fillId="15" borderId="9" xfId="0" applyFont="1" applyFill="1" applyBorder="1" applyAlignment="1">
      <alignment wrapText="1"/>
    </xf>
    <xf numFmtId="0" fontId="21" fillId="30" borderId="7" xfId="0" applyFont="1" applyFill="1" applyBorder="1" applyAlignment="1">
      <alignment horizontal="center" wrapText="1"/>
    </xf>
    <xf numFmtId="0" fontId="20" fillId="2" borderId="8" xfId="0" applyFont="1" applyFill="1" applyBorder="1" applyAlignment="1">
      <alignment wrapText="1"/>
    </xf>
    <xf numFmtId="0" fontId="20" fillId="2" borderId="9" xfId="0" applyFont="1" applyFill="1" applyBorder="1" applyAlignment="1">
      <alignment wrapText="1"/>
    </xf>
    <xf numFmtId="0" fontId="21" fillId="31" borderId="7" xfId="0" applyFont="1" applyFill="1" applyBorder="1" applyAlignment="1">
      <alignment horizontal="center" wrapText="1"/>
    </xf>
    <xf numFmtId="0" fontId="20" fillId="32" borderId="8" xfId="0" applyFont="1" applyFill="1" applyBorder="1" applyAlignment="1">
      <alignment wrapText="1"/>
    </xf>
    <xf numFmtId="0" fontId="20" fillId="32" borderId="9" xfId="0" applyFont="1" applyFill="1" applyBorder="1" applyAlignment="1">
      <alignment wrapText="1"/>
    </xf>
  </cellXfs>
  <cellStyles count="2">
    <cellStyle name="Normal" xfId="0" builtinId="0"/>
    <cellStyle name="Normal 2" xfId="1" xr:uid="{59C6B861-E311-4182-B161-FDDAF2F6A1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0171-B3E7-481A-B857-2B34EDAA1896}">
  <dimension ref="A1:C13"/>
  <sheetViews>
    <sheetView workbookViewId="0">
      <selection activeCell="A6" sqref="A6:C6"/>
    </sheetView>
  </sheetViews>
  <sheetFormatPr defaultRowHeight="15" x14ac:dyDescent="0.25"/>
  <cols>
    <col min="1" max="1" width="20.28515625" bestFit="1" customWidth="1"/>
    <col min="2" max="2" width="35.85546875" bestFit="1" customWidth="1"/>
    <col min="3" max="3" width="47" bestFit="1" customWidth="1"/>
  </cols>
  <sheetData>
    <row r="1" spans="1:3" ht="26.25" x14ac:dyDescent="0.4">
      <c r="A1" s="191" t="s">
        <v>1683</v>
      </c>
      <c r="B1" s="191" t="s">
        <v>1684</v>
      </c>
      <c r="C1" s="191" t="s">
        <v>1685</v>
      </c>
    </row>
    <row r="2" spans="1:3" ht="26.25" x14ac:dyDescent="0.4">
      <c r="A2" s="1" t="s">
        <v>1686</v>
      </c>
      <c r="B2" s="1" t="s">
        <v>1687</v>
      </c>
      <c r="C2" s="1" t="s">
        <v>1688</v>
      </c>
    </row>
    <row r="3" spans="1:3" ht="26.25" x14ac:dyDescent="0.4">
      <c r="A3" s="1" t="s">
        <v>1689</v>
      </c>
      <c r="B3" s="1" t="s">
        <v>1690</v>
      </c>
      <c r="C3" s="1" t="s">
        <v>1691</v>
      </c>
    </row>
    <row r="4" spans="1:3" ht="26.25" x14ac:dyDescent="0.4">
      <c r="A4" s="1" t="s">
        <v>1692</v>
      </c>
      <c r="B4" s="1" t="s">
        <v>1693</v>
      </c>
      <c r="C4" s="1" t="s">
        <v>1694</v>
      </c>
    </row>
    <row r="5" spans="1:3" ht="26.25" x14ac:dyDescent="0.4">
      <c r="A5" s="1" t="s">
        <v>1695</v>
      </c>
      <c r="B5" s="1" t="s">
        <v>1696</v>
      </c>
      <c r="C5" s="1" t="s">
        <v>1697</v>
      </c>
    </row>
    <row r="6" spans="1:3" ht="26.25" x14ac:dyDescent="0.4">
      <c r="A6" s="1" t="s">
        <v>1698</v>
      </c>
      <c r="B6" s="1" t="s">
        <v>1699</v>
      </c>
      <c r="C6" s="1" t="s">
        <v>1700</v>
      </c>
    </row>
    <row r="7" spans="1:3" ht="26.25" x14ac:dyDescent="0.4">
      <c r="A7" s="1" t="s">
        <v>1701</v>
      </c>
      <c r="B7" s="1" t="s">
        <v>1702</v>
      </c>
      <c r="C7" s="1" t="s">
        <v>1703</v>
      </c>
    </row>
    <row r="8" spans="1:3" ht="26.25" x14ac:dyDescent="0.4">
      <c r="A8" s="1" t="s">
        <v>1704</v>
      </c>
      <c r="B8" s="1" t="s">
        <v>1705</v>
      </c>
      <c r="C8" s="1" t="s">
        <v>1706</v>
      </c>
    </row>
    <row r="9" spans="1:3" ht="26.25" x14ac:dyDescent="0.4">
      <c r="A9" s="1" t="s">
        <v>1707</v>
      </c>
      <c r="B9" s="1" t="s">
        <v>1708</v>
      </c>
      <c r="C9" s="1" t="s">
        <v>1709</v>
      </c>
    </row>
    <row r="10" spans="1:3" ht="26.25" x14ac:dyDescent="0.4">
      <c r="A10" s="1" t="s">
        <v>1710</v>
      </c>
      <c r="B10" s="1" t="s">
        <v>1711</v>
      </c>
      <c r="C10" s="1" t="s">
        <v>1712</v>
      </c>
    </row>
    <row r="11" spans="1:3" ht="26.25" x14ac:dyDescent="0.4">
      <c r="A11" s="1" t="s">
        <v>1713</v>
      </c>
      <c r="B11" s="1" t="s">
        <v>1714</v>
      </c>
      <c r="C11" s="1" t="s">
        <v>1715</v>
      </c>
    </row>
    <row r="12" spans="1:3" ht="26.25" x14ac:dyDescent="0.4">
      <c r="A12" s="1" t="s">
        <v>1716</v>
      </c>
      <c r="B12" s="1" t="s">
        <v>1717</v>
      </c>
      <c r="C12" s="1" t="s">
        <v>1718</v>
      </c>
    </row>
    <row r="13" spans="1:3" ht="26.25" x14ac:dyDescent="0.4">
      <c r="A13" s="1" t="s">
        <v>1719</v>
      </c>
      <c r="B13" s="1" t="s">
        <v>1720</v>
      </c>
      <c r="C13" s="1" t="s">
        <v>1721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A674-BEA2-415D-824B-EAD578F35285}">
  <dimension ref="A1:AA22"/>
  <sheetViews>
    <sheetView topLeftCell="T1" workbookViewId="0">
      <selection activeCell="V1" activeCellId="1" sqref="V7 V1"/>
    </sheetView>
  </sheetViews>
  <sheetFormatPr defaultRowHeight="15" x14ac:dyDescent="0.25"/>
  <cols>
    <col min="1" max="27" width="23.85546875" bestFit="1" customWidth="1"/>
  </cols>
  <sheetData>
    <row r="1" spans="1:27" ht="42" x14ac:dyDescent="0.35">
      <c r="A1" s="43" t="s">
        <v>1042</v>
      </c>
      <c r="B1" s="43" t="s">
        <v>1069</v>
      </c>
      <c r="C1" s="43" t="s">
        <v>1082</v>
      </c>
      <c r="D1" s="43" t="s">
        <v>1099</v>
      </c>
      <c r="E1" s="43" t="s">
        <v>1111</v>
      </c>
      <c r="F1" s="43" t="s">
        <v>1121</v>
      </c>
      <c r="G1" s="43" t="s">
        <v>1131</v>
      </c>
      <c r="H1" s="43" t="s">
        <v>1142</v>
      </c>
      <c r="I1" s="43" t="s">
        <v>1152</v>
      </c>
      <c r="J1" s="43" t="s">
        <v>1159</v>
      </c>
      <c r="K1" s="43" t="s">
        <v>1163</v>
      </c>
      <c r="L1" s="43" t="s">
        <v>1165</v>
      </c>
      <c r="M1" s="43" t="s">
        <v>1167</v>
      </c>
      <c r="N1" s="43" t="s">
        <v>1168</v>
      </c>
      <c r="O1" s="43" t="s">
        <v>1170</v>
      </c>
      <c r="P1" s="43" t="s">
        <v>1172</v>
      </c>
      <c r="Q1" s="43" t="s">
        <v>1174</v>
      </c>
      <c r="R1" s="43" t="s">
        <v>1177</v>
      </c>
      <c r="S1" s="43" t="s">
        <v>1180</v>
      </c>
      <c r="T1" s="43" t="s">
        <v>1183</v>
      </c>
      <c r="U1" s="43" t="s">
        <v>1184</v>
      </c>
      <c r="V1" s="43" t="s">
        <v>1187</v>
      </c>
      <c r="W1" s="43" t="s">
        <v>1190</v>
      </c>
      <c r="X1" s="43" t="s">
        <v>1193</v>
      </c>
      <c r="Y1" s="43" t="s">
        <v>1194</v>
      </c>
      <c r="Z1" s="43" t="s">
        <v>1196</v>
      </c>
      <c r="AA1" s="43" t="s">
        <v>1197</v>
      </c>
    </row>
    <row r="2" spans="1:27" ht="21" x14ac:dyDescent="0.35">
      <c r="A2" s="18"/>
      <c r="B2" s="18"/>
      <c r="C2" s="18"/>
      <c r="D2" s="18"/>
      <c r="E2" s="18"/>
      <c r="F2" s="18"/>
      <c r="G2" s="18"/>
      <c r="H2" s="18"/>
      <c r="I2" s="18"/>
      <c r="J2" s="190">
        <v>45292</v>
      </c>
      <c r="K2" s="190">
        <v>45292.352175925924</v>
      </c>
      <c r="L2" s="190">
        <v>45293.481249999997</v>
      </c>
      <c r="M2" s="190">
        <v>45294.609027777777</v>
      </c>
      <c r="N2" s="190">
        <v>45295.724999999999</v>
      </c>
      <c r="O2" s="190">
        <v>45296.819444444445</v>
      </c>
      <c r="P2" s="190">
        <v>45297.884722222225</v>
      </c>
      <c r="Q2" s="190">
        <v>45298.916666666664</v>
      </c>
      <c r="R2" s="190">
        <v>45299.913194444445</v>
      </c>
      <c r="S2" s="190">
        <v>45300.877083333333</v>
      </c>
      <c r="T2" s="190">
        <v>45301.813888888886</v>
      </c>
      <c r="U2" s="190">
        <v>45302.729861111111</v>
      </c>
      <c r="V2" s="190">
        <v>45303.632638888892</v>
      </c>
      <c r="W2" s="190">
        <v>45304.529166666667</v>
      </c>
      <c r="X2" s="190">
        <v>45305.427083333336</v>
      </c>
      <c r="Y2" s="190">
        <v>45306.332638888889</v>
      </c>
      <c r="Z2" s="190">
        <v>45307.251388888886</v>
      </c>
      <c r="AA2" s="190">
        <v>45308.1875</v>
      </c>
    </row>
    <row r="3" spans="1:27" ht="21" x14ac:dyDescent="0.35">
      <c r="A3" s="190">
        <v>45309.142361111109</v>
      </c>
      <c r="B3" s="190">
        <v>45310.118055555555</v>
      </c>
      <c r="C3" s="190">
        <v>45311.112500000003</v>
      </c>
      <c r="D3" s="190">
        <v>45312.125</v>
      </c>
      <c r="E3" s="190">
        <v>45313.154861111114</v>
      </c>
      <c r="F3" s="190">
        <v>45314.200694444444</v>
      </c>
      <c r="G3" s="190">
        <v>45315.261805555558</v>
      </c>
      <c r="H3" s="190">
        <v>45316.338194444441</v>
      </c>
      <c r="I3" s="190">
        <v>45317.429861111108</v>
      </c>
      <c r="J3" s="190">
        <v>45318.536111111112</v>
      </c>
      <c r="K3" s="190">
        <v>45319.654861111114</v>
      </c>
      <c r="L3" s="190">
        <v>45320.783333333333</v>
      </c>
      <c r="M3" s="190">
        <v>45321.913888888892</v>
      </c>
      <c r="N3" s="190">
        <v>45323.040277777778</v>
      </c>
      <c r="O3" s="190">
        <v>45324.152777777781</v>
      </c>
      <c r="P3" s="190">
        <v>45325.241666666669</v>
      </c>
      <c r="Q3" s="190">
        <v>45326.3</v>
      </c>
      <c r="R3" s="190">
        <v>45327.322916666664</v>
      </c>
      <c r="S3" s="190">
        <v>45328.310416666667</v>
      </c>
      <c r="T3" s="190">
        <v>45329.263194444444</v>
      </c>
      <c r="U3" s="190">
        <v>45330.186805555553</v>
      </c>
      <c r="V3" s="190">
        <v>45331.088194444441</v>
      </c>
      <c r="W3" s="190">
        <v>45331.973611111112</v>
      </c>
      <c r="X3" s="190">
        <v>45332.851388888892</v>
      </c>
      <c r="Y3" s="190">
        <v>45333.730555555558</v>
      </c>
      <c r="Z3" s="190">
        <v>45334.617361111108</v>
      </c>
      <c r="AA3" s="190">
        <v>45335.518750000003</v>
      </c>
    </row>
    <row r="4" spans="1:27" ht="21" x14ac:dyDescent="0.35">
      <c r="A4" s="190">
        <v>45336.440972222219</v>
      </c>
      <c r="B4" s="190">
        <v>45337.387499999997</v>
      </c>
      <c r="C4" s="190">
        <v>45338.359722222223</v>
      </c>
      <c r="D4" s="190">
        <v>45339.359027777777</v>
      </c>
      <c r="E4" s="190">
        <v>45340.384722222225</v>
      </c>
      <c r="F4" s="190">
        <v>45341.433333333334</v>
      </c>
      <c r="G4" s="190">
        <v>45342.50277777778</v>
      </c>
      <c r="H4" s="190">
        <v>45343.588888888888</v>
      </c>
      <c r="I4" s="190">
        <v>45344.69027777778</v>
      </c>
      <c r="J4" s="190">
        <v>45345.802777777775</v>
      </c>
      <c r="K4" s="190">
        <v>45346.924305555556</v>
      </c>
      <c r="L4" s="190">
        <v>45348.052083333336</v>
      </c>
      <c r="M4" s="190">
        <v>45349.181250000001</v>
      </c>
      <c r="N4" s="190">
        <v>45350.307638888888</v>
      </c>
      <c r="O4" s="190">
        <v>45351.425694444442</v>
      </c>
      <c r="P4" s="190">
        <v>45352.527083333334</v>
      </c>
      <c r="Q4" s="190">
        <v>45353.606249999997</v>
      </c>
      <c r="R4" s="190">
        <v>45354.656944444447</v>
      </c>
      <c r="S4" s="190">
        <v>45355.675694444442</v>
      </c>
      <c r="T4" s="190">
        <v>45356.660416666666</v>
      </c>
      <c r="U4" s="190">
        <v>45357.613888888889</v>
      </c>
      <c r="V4" s="190">
        <v>45358.538194444445</v>
      </c>
      <c r="W4" s="190">
        <v>45359.439583333333</v>
      </c>
      <c r="X4" s="190">
        <v>52665.324305555558</v>
      </c>
      <c r="Y4" s="190">
        <v>45361.200694444444</v>
      </c>
      <c r="Z4" s="190">
        <v>45362.074305555558</v>
      </c>
      <c r="AA4" s="190">
        <v>45362.954861111109</v>
      </c>
    </row>
    <row r="5" spans="1:27" ht="21" x14ac:dyDescent="0.35">
      <c r="A5" s="190">
        <v>45363.848611111112</v>
      </c>
      <c r="B5" s="190">
        <v>45364.761805555558</v>
      </c>
      <c r="C5" s="190">
        <v>45365.699305555558</v>
      </c>
      <c r="D5" s="190">
        <v>45366.666666666664</v>
      </c>
      <c r="E5" s="190">
        <v>45367.664583333331</v>
      </c>
      <c r="F5" s="190">
        <v>45368.693055555559</v>
      </c>
      <c r="G5" s="190">
        <v>45369.750694444447</v>
      </c>
      <c r="H5" s="190">
        <v>45370.834027777775</v>
      </c>
      <c r="I5" s="190">
        <v>45371.936805555553</v>
      </c>
      <c r="J5" s="190">
        <v>45373.053472222222</v>
      </c>
      <c r="K5" s="190">
        <v>45374.179166666669</v>
      </c>
      <c r="L5" s="190">
        <v>45375.308333333334</v>
      </c>
      <c r="M5" s="190">
        <v>45376.436111111114</v>
      </c>
      <c r="N5" s="190">
        <v>45377.558333333334</v>
      </c>
      <c r="O5" s="190">
        <v>45378.67083333333</v>
      </c>
      <c r="P5" s="190">
        <v>45379.770138888889</v>
      </c>
      <c r="Q5" s="190">
        <v>45380.852083333331</v>
      </c>
      <c r="R5" s="190">
        <v>45381.913194444445</v>
      </c>
      <c r="S5" s="190">
        <v>45382.95</v>
      </c>
      <c r="T5" s="190">
        <v>45383.961111111108</v>
      </c>
      <c r="U5" s="190">
        <v>45384.944444444445</v>
      </c>
      <c r="V5" s="190">
        <v>45385.902083333334</v>
      </c>
      <c r="W5" s="190">
        <v>45386.836111111108</v>
      </c>
      <c r="X5" s="190">
        <v>45387.749305555553</v>
      </c>
      <c r="Y5" s="190">
        <v>45388.647222222222</v>
      </c>
      <c r="Z5" s="190">
        <v>45389.535416666666</v>
      </c>
      <c r="AA5" s="190">
        <v>45390.420138888891</v>
      </c>
    </row>
    <row r="6" spans="1:27" ht="21" x14ac:dyDescent="0.35">
      <c r="A6" s="190">
        <v>45391.308333333334</v>
      </c>
      <c r="B6" s="190">
        <v>45392.207638888889</v>
      </c>
      <c r="C6" s="190">
        <v>45393.123611111114</v>
      </c>
      <c r="D6" s="190">
        <v>45394.0625</v>
      </c>
      <c r="E6" s="190">
        <v>45395.029166666667</v>
      </c>
      <c r="F6" s="190">
        <v>45396.027777777781</v>
      </c>
      <c r="G6" s="190">
        <v>45397.05972222222</v>
      </c>
      <c r="H6" s="190">
        <v>45398.12222222222</v>
      </c>
      <c r="I6" s="190">
        <v>45399.213194444441</v>
      </c>
      <c r="J6" s="190">
        <v>45400.324305555558</v>
      </c>
      <c r="K6" s="190">
        <v>45401.449305555558</v>
      </c>
      <c r="L6" s="190">
        <v>45402.579861111109</v>
      </c>
      <c r="M6" s="190">
        <v>45403.707638888889</v>
      </c>
      <c r="N6" s="190">
        <v>45404.826388888891</v>
      </c>
      <c r="O6" s="190">
        <v>45405.932638888888</v>
      </c>
      <c r="P6" s="190">
        <v>45407.022222222222</v>
      </c>
      <c r="Q6" s="190">
        <v>45408.09375</v>
      </c>
      <c r="R6" s="190">
        <v>45409.146527777775</v>
      </c>
      <c r="S6" s="190">
        <v>45410.179861111108</v>
      </c>
      <c r="T6" s="190">
        <v>45411.194444444445</v>
      </c>
      <c r="U6" s="190">
        <v>45412.19027777778</v>
      </c>
      <c r="V6" s="190">
        <v>45413.167361111111</v>
      </c>
      <c r="W6" s="190">
        <v>45414.127083333333</v>
      </c>
      <c r="X6" s="190">
        <v>45415.070138888892</v>
      </c>
      <c r="Y6" s="190">
        <v>45415.998611111114</v>
      </c>
      <c r="Z6" s="190">
        <v>45416.915972222225</v>
      </c>
      <c r="AA6" s="190">
        <v>45417.825694444444</v>
      </c>
    </row>
    <row r="7" spans="1:27" ht="21" x14ac:dyDescent="0.35">
      <c r="A7" s="190">
        <v>45418.732638888891</v>
      </c>
      <c r="B7" s="190">
        <v>45419.642361111109</v>
      </c>
      <c r="C7" s="190">
        <v>45420.55972222222</v>
      </c>
      <c r="D7" s="190">
        <v>45421.490972222222</v>
      </c>
      <c r="E7" s="190">
        <v>45422.443749999999</v>
      </c>
      <c r="F7" s="190">
        <v>45423.421527777777</v>
      </c>
      <c r="G7" s="190">
        <v>45424.429166666669</v>
      </c>
      <c r="H7" s="190">
        <v>45425.46875</v>
      </c>
      <c r="I7" s="190">
        <v>45426.538888888892</v>
      </c>
      <c r="J7" s="190">
        <v>45427.636111111111</v>
      </c>
      <c r="K7" s="190">
        <v>45428.75277777778</v>
      </c>
      <c r="L7" s="190">
        <v>45429.880555555559</v>
      </c>
      <c r="M7" s="190">
        <v>45431.009722222225</v>
      </c>
      <c r="N7" s="190">
        <v>45432.129861111112</v>
      </c>
      <c r="O7" s="190">
        <v>45433.234027777777</v>
      </c>
      <c r="P7" s="190">
        <v>45434.318055555559</v>
      </c>
      <c r="Q7" s="190">
        <v>45435.379166666666</v>
      </c>
      <c r="R7" s="190">
        <v>45436.417361111111</v>
      </c>
      <c r="S7" s="190">
        <v>45437.435416666667</v>
      </c>
      <c r="T7" s="190">
        <v>45438.435416666667</v>
      </c>
      <c r="U7" s="190">
        <v>45439.420138888891</v>
      </c>
      <c r="V7" s="190">
        <v>45440.392361111109</v>
      </c>
      <c r="W7" s="190">
        <v>45441.354166666664</v>
      </c>
      <c r="X7" s="190">
        <v>45442.307638888888</v>
      </c>
      <c r="Y7" s="190">
        <v>45443.254166666666</v>
      </c>
      <c r="Z7" s="190">
        <v>45444.194444444445</v>
      </c>
      <c r="AA7" s="190">
        <v>45445.130555555559</v>
      </c>
    </row>
    <row r="8" spans="1:27" ht="21" x14ac:dyDescent="0.35">
      <c r="A8" s="190">
        <v>45446.063888888886</v>
      </c>
      <c r="B8" s="190">
        <v>45446.997916666667</v>
      </c>
      <c r="C8" s="190">
        <v>45447.935416666667</v>
      </c>
      <c r="D8" s="190">
        <v>45448.880555555559</v>
      </c>
      <c r="E8" s="190">
        <v>45449.838888888888</v>
      </c>
      <c r="F8" s="190">
        <v>45450.81527777778</v>
      </c>
      <c r="G8" s="190">
        <v>45451.81527777778</v>
      </c>
      <c r="H8" s="190">
        <v>45452.841666666667</v>
      </c>
      <c r="I8" s="190">
        <v>45453.896527777775</v>
      </c>
      <c r="J8" s="190">
        <v>45454.979166666664</v>
      </c>
      <c r="K8" s="190">
        <v>45456.085416666669</v>
      </c>
      <c r="L8" s="190">
        <v>45457.207638888889</v>
      </c>
      <c r="M8" s="190">
        <v>45458.336111111108</v>
      </c>
      <c r="N8" s="190">
        <v>45459.460416666669</v>
      </c>
      <c r="O8" s="190">
        <v>45460.570138888892</v>
      </c>
      <c r="P8" s="190">
        <v>45461.657638888886</v>
      </c>
      <c r="Q8" s="190">
        <v>45462.718055555553</v>
      </c>
      <c r="R8" s="190">
        <v>45463.750694444447</v>
      </c>
      <c r="S8" s="190">
        <v>45464.756944444445</v>
      </c>
      <c r="T8" s="190">
        <v>45465.740277777775</v>
      </c>
      <c r="U8" s="190">
        <v>45466.704861111109</v>
      </c>
      <c r="V8" s="190">
        <v>45467.656944444447</v>
      </c>
      <c r="W8" s="190">
        <v>45468.6</v>
      </c>
      <c r="X8" s="190">
        <v>45469.539583333331</v>
      </c>
      <c r="Y8" s="190">
        <v>45470.478472222225</v>
      </c>
      <c r="Z8" s="190">
        <v>45471.418749999997</v>
      </c>
      <c r="AA8" s="190">
        <v>45472.361805555556</v>
      </c>
    </row>
    <row r="9" spans="1:27" ht="21" x14ac:dyDescent="0.35">
      <c r="A9" s="190">
        <v>45473.30972222222</v>
      </c>
      <c r="B9" s="190">
        <v>45474.262499999997</v>
      </c>
      <c r="C9" s="190">
        <v>45475.22152777778</v>
      </c>
      <c r="D9" s="190">
        <v>45476.188888888886</v>
      </c>
      <c r="E9" s="190">
        <v>45477.165972222225</v>
      </c>
      <c r="F9" s="190">
        <v>45478.156944444447</v>
      </c>
      <c r="G9" s="190">
        <v>45479.165277777778</v>
      </c>
      <c r="H9" s="190">
        <v>45480.193749999999</v>
      </c>
      <c r="I9" s="190">
        <v>45481.245833333334</v>
      </c>
      <c r="J9" s="190">
        <v>45482.321527777778</v>
      </c>
      <c r="K9" s="190">
        <v>45483.42083333333</v>
      </c>
      <c r="L9" s="190">
        <v>45484.538194444445</v>
      </c>
      <c r="M9" s="190">
        <v>45485.665972222225</v>
      </c>
      <c r="N9" s="190">
        <v>45486.795138888891</v>
      </c>
      <c r="O9" s="190">
        <v>45487.914583333331</v>
      </c>
      <c r="P9" s="190">
        <v>45489.013888888891</v>
      </c>
      <c r="Q9" s="190">
        <v>45490.086805555555</v>
      </c>
      <c r="R9" s="190">
        <v>45491.12777777778</v>
      </c>
      <c r="S9" s="190">
        <v>45492.136805555558</v>
      </c>
      <c r="T9" s="190">
        <v>45493.115972222222</v>
      </c>
      <c r="U9" s="190">
        <v>45494.070138888892</v>
      </c>
      <c r="V9" s="190">
        <v>45495.004166666666</v>
      </c>
      <c r="W9" s="190">
        <v>45495.925694444442</v>
      </c>
      <c r="X9" s="190">
        <v>45496.840277777781</v>
      </c>
      <c r="Y9" s="190">
        <v>45497.754166666666</v>
      </c>
      <c r="Z9" s="190">
        <v>45498.672222222223</v>
      </c>
      <c r="AA9" s="190">
        <v>45499.598611111112</v>
      </c>
    </row>
    <row r="10" spans="1:27" ht="21" x14ac:dyDescent="0.35">
      <c r="A10" s="190">
        <v>45500.536111111112</v>
      </c>
      <c r="B10" s="190">
        <v>45501.48541666667</v>
      </c>
      <c r="C10" s="190">
        <v>45502.449305555558</v>
      </c>
      <c r="D10" s="190">
        <v>45503.427083333336</v>
      </c>
      <c r="E10" s="190">
        <v>45504.419444444444</v>
      </c>
      <c r="F10" s="190">
        <v>45505.427083333336</v>
      </c>
      <c r="G10" s="190">
        <v>45506.451388888891</v>
      </c>
      <c r="H10" s="190">
        <v>45507.493055555555</v>
      </c>
      <c r="I10" s="190">
        <v>45508.553472222222</v>
      </c>
      <c r="J10" s="190">
        <v>45509.633333333331</v>
      </c>
      <c r="K10" s="190">
        <v>45510.731944444444</v>
      </c>
      <c r="L10" s="190">
        <v>45511.847916666666</v>
      </c>
      <c r="M10" s="190">
        <v>45512.974999999999</v>
      </c>
      <c r="N10" s="190">
        <v>45514.107638888891</v>
      </c>
      <c r="O10" s="190">
        <v>45515.23541666667</v>
      </c>
      <c r="P10" s="190">
        <v>45516.35</v>
      </c>
      <c r="Q10" s="190">
        <v>45517.440972222219</v>
      </c>
      <c r="R10" s="190">
        <v>45518.50277777778</v>
      </c>
      <c r="S10" s="190">
        <v>45519.530555555553</v>
      </c>
      <c r="T10" s="190">
        <v>45520.524305555555</v>
      </c>
      <c r="U10" s="190">
        <v>45521.486805555556</v>
      </c>
      <c r="V10" s="190">
        <v>45522.421527777777</v>
      </c>
      <c r="W10" s="190">
        <v>45523.334722222222</v>
      </c>
      <c r="X10" s="190">
        <v>45524.234027777777</v>
      </c>
      <c r="Y10" s="190">
        <v>45525.126388888886</v>
      </c>
      <c r="Z10" s="190">
        <v>45526.018055555556</v>
      </c>
      <c r="AA10" s="190">
        <v>45526.915277777778</v>
      </c>
    </row>
    <row r="11" spans="1:27" ht="21" x14ac:dyDescent="0.35">
      <c r="A11" s="190">
        <v>45527.823611111111</v>
      </c>
      <c r="B11" s="190">
        <v>45528.748611111114</v>
      </c>
      <c r="C11" s="190">
        <v>45529.692361111112</v>
      </c>
      <c r="D11" s="190">
        <v>45530.657638888886</v>
      </c>
      <c r="E11" s="190">
        <v>45531.645138888889</v>
      </c>
      <c r="F11" s="190">
        <v>45532.655555555553</v>
      </c>
      <c r="G11" s="190">
        <v>45533.688194444447</v>
      </c>
      <c r="H11" s="190">
        <v>45534.740972222222</v>
      </c>
      <c r="I11" s="190">
        <v>45535.729166666664</v>
      </c>
      <c r="J11" s="190">
        <v>45536.902083333334</v>
      </c>
      <c r="K11" s="190">
        <v>45538.007638888892</v>
      </c>
      <c r="L11" s="190">
        <v>45539.125694444447</v>
      </c>
      <c r="M11" s="190">
        <v>45540.253472222219</v>
      </c>
      <c r="N11" s="190">
        <v>45541.385416666664</v>
      </c>
      <c r="O11" s="190">
        <v>45542.51666666667</v>
      </c>
      <c r="P11" s="190">
        <v>45543.63958333333</v>
      </c>
      <c r="Q11" s="190">
        <v>45544.746527777781</v>
      </c>
      <c r="R11" s="190">
        <v>45545.829861111109</v>
      </c>
      <c r="S11" s="190">
        <v>45546.884027777778</v>
      </c>
      <c r="T11" s="190">
        <v>45547.905555555553</v>
      </c>
      <c r="U11" s="190">
        <v>45548.893750000003</v>
      </c>
      <c r="V11" s="190">
        <v>45549.85</v>
      </c>
      <c r="W11" s="190">
        <v>45550.77847222222</v>
      </c>
      <c r="X11" s="190">
        <v>45551.684027777781</v>
      </c>
      <c r="Y11" s="190">
        <v>45552.573611111111</v>
      </c>
      <c r="Z11" s="190">
        <v>45553.453472222223</v>
      </c>
      <c r="AA11" s="190">
        <v>45554.330555555556</v>
      </c>
    </row>
    <row r="12" spans="1:27" ht="21" x14ac:dyDescent="0.35">
      <c r="A12" s="190">
        <v>45555.213194444441</v>
      </c>
      <c r="B12" s="190">
        <v>45556.107638888891</v>
      </c>
      <c r="C12" s="190">
        <v>45557.019444444442</v>
      </c>
      <c r="D12" s="190">
        <v>45557.95416666667</v>
      </c>
      <c r="E12" s="190">
        <v>45558.915972222225</v>
      </c>
      <c r="F12" s="190">
        <v>45559.906944444447</v>
      </c>
      <c r="G12" s="190">
        <v>45560.927083333336</v>
      </c>
      <c r="H12" s="190">
        <v>45561.975694444445</v>
      </c>
      <c r="I12" s="190">
        <v>45563.049305555556</v>
      </c>
      <c r="J12" s="190">
        <v>45564.144444444442</v>
      </c>
      <c r="K12" s="190">
        <v>45565.256249999999</v>
      </c>
      <c r="L12" s="190">
        <v>45566.379166666666</v>
      </c>
      <c r="M12" s="190">
        <v>45567.509027777778</v>
      </c>
      <c r="N12" s="190">
        <v>45568.640972222223</v>
      </c>
      <c r="O12" s="190">
        <v>45569.686111111114</v>
      </c>
      <c r="P12" s="190">
        <v>45570.89166666667</v>
      </c>
      <c r="Q12" s="190">
        <v>45572.092361111114</v>
      </c>
      <c r="R12" s="190">
        <v>45573.094444444447</v>
      </c>
      <c r="S12" s="190">
        <v>45574.165972222225</v>
      </c>
      <c r="T12" s="190">
        <v>45575.212500000001</v>
      </c>
      <c r="U12" s="190">
        <v>45576.231249999997</v>
      </c>
      <c r="V12" s="190">
        <v>45577.220138888886</v>
      </c>
      <c r="W12" s="190">
        <v>45578.179861111108</v>
      </c>
      <c r="X12" s="190">
        <v>45579.113888888889</v>
      </c>
      <c r="Y12" s="190">
        <v>45580.024305555555</v>
      </c>
      <c r="Z12" s="190">
        <v>45580.917361111111</v>
      </c>
      <c r="AA12" s="190">
        <v>45581.715277777781</v>
      </c>
    </row>
    <row r="13" spans="1:27" ht="21" x14ac:dyDescent="0.35">
      <c r="A13" s="190">
        <v>45582.675694444442</v>
      </c>
      <c r="B13" s="190">
        <v>45583.554861111108</v>
      </c>
      <c r="C13" s="190">
        <v>45584.443749999999</v>
      </c>
      <c r="D13" s="190">
        <v>45585.35</v>
      </c>
      <c r="E13" s="190">
        <v>45586.279166666667</v>
      </c>
      <c r="F13" s="190">
        <v>45587.238194444442</v>
      </c>
      <c r="G13" s="190">
        <v>45588.229166666664</v>
      </c>
      <c r="H13" s="190">
        <v>45589.254861111112</v>
      </c>
      <c r="I13" s="190">
        <v>45590.313194444447</v>
      </c>
      <c r="J13" s="190">
        <v>45591.4</v>
      </c>
      <c r="K13" s="190">
        <v>45592.509722222225</v>
      </c>
      <c r="L13" s="190">
        <v>45593.634722222225</v>
      </c>
      <c r="M13" s="190">
        <v>45594.76666666667</v>
      </c>
      <c r="N13" s="190">
        <v>45595.898611111108</v>
      </c>
      <c r="O13" s="190">
        <v>45597.024305555555</v>
      </c>
      <c r="P13" s="190">
        <v>45598.13958333333</v>
      </c>
      <c r="Q13" s="190">
        <v>45599.242361111108</v>
      </c>
      <c r="R13" s="190">
        <v>45600.329861111109</v>
      </c>
      <c r="S13" s="190">
        <v>45601.4</v>
      </c>
      <c r="T13" s="190">
        <v>45602.45208333333</v>
      </c>
      <c r="U13" s="190">
        <v>45603.484722222223</v>
      </c>
      <c r="V13" s="190">
        <v>45604.496527777781</v>
      </c>
      <c r="W13" s="190">
        <v>45605.48541666667</v>
      </c>
      <c r="X13" s="190">
        <v>45606.45208333333</v>
      </c>
      <c r="Y13" s="190">
        <v>45607.397222222222</v>
      </c>
      <c r="Z13" s="190">
        <v>45608.322222222225</v>
      </c>
      <c r="AA13" s="190">
        <v>45609.230555555558</v>
      </c>
    </row>
    <row r="14" spans="1:27" ht="21" x14ac:dyDescent="0.35">
      <c r="A14" s="190">
        <v>45610.127083333333</v>
      </c>
      <c r="B14" s="190">
        <v>45611.017361111109</v>
      </c>
      <c r="C14" s="190">
        <v>45611.907638888886</v>
      </c>
      <c r="D14" s="190">
        <v>45612.805555555555</v>
      </c>
      <c r="E14" s="190">
        <v>45613.71875</v>
      </c>
      <c r="F14" s="190">
        <v>45614.65347222222</v>
      </c>
      <c r="G14" s="190">
        <v>45615.615972222222</v>
      </c>
      <c r="H14" s="190">
        <v>45616.612500000003</v>
      </c>
      <c r="I14" s="190">
        <v>45617.643055555556</v>
      </c>
      <c r="J14" s="190">
        <v>45618.709027777775</v>
      </c>
      <c r="K14" s="190">
        <v>45619.804166666669</v>
      </c>
      <c r="L14" s="190">
        <v>45620.921527777777</v>
      </c>
      <c r="M14" s="190">
        <v>45622.051388888889</v>
      </c>
      <c r="N14" s="190">
        <v>45623.184027777781</v>
      </c>
      <c r="O14" s="190">
        <v>45624.30972222222</v>
      </c>
      <c r="P14" s="190">
        <v>45625.422222222223</v>
      </c>
      <c r="Q14" s="190">
        <v>45626.517361111109</v>
      </c>
      <c r="R14" s="190">
        <v>45627.59375</v>
      </c>
      <c r="S14" s="190">
        <v>45628.650694444441</v>
      </c>
      <c r="T14" s="190">
        <v>45629.689583333333</v>
      </c>
      <c r="U14" s="190">
        <v>45630.712500000001</v>
      </c>
      <c r="V14" s="190">
        <v>45631.720833333333</v>
      </c>
      <c r="W14" s="190">
        <v>45632.715277777781</v>
      </c>
      <c r="X14" s="190">
        <v>45633.695833333331</v>
      </c>
      <c r="Y14" s="190">
        <v>45634.663194444445</v>
      </c>
      <c r="Z14" s="190">
        <v>45635.616666666669</v>
      </c>
      <c r="AA14" s="190">
        <v>45636.556944444441</v>
      </c>
    </row>
    <row r="15" spans="1:27" ht="21" x14ac:dyDescent="0.35">
      <c r="A15" s="190">
        <v>45637.486111111109</v>
      </c>
      <c r="B15" s="190">
        <v>45638.40625</v>
      </c>
      <c r="C15" s="190">
        <v>45639.320833333331</v>
      </c>
      <c r="D15" s="190">
        <v>45640.236111111109</v>
      </c>
      <c r="E15" s="190">
        <v>45641.156944444447</v>
      </c>
      <c r="F15" s="190">
        <v>45642.091666666667</v>
      </c>
      <c r="G15" s="190">
        <v>45643.045138888891</v>
      </c>
      <c r="H15" s="190">
        <v>45644.024305555555</v>
      </c>
      <c r="I15" s="190">
        <v>45645.03402777778</v>
      </c>
      <c r="J15" s="190">
        <v>45646.07708333333</v>
      </c>
      <c r="K15" s="190">
        <v>45647.151388888888</v>
      </c>
      <c r="L15" s="190">
        <v>45648.25277777778</v>
      </c>
      <c r="M15" s="190">
        <v>45649.374305555553</v>
      </c>
      <c r="N15" s="190">
        <v>45650.504861111112</v>
      </c>
      <c r="O15" s="190">
        <v>45651.633333333331</v>
      </c>
      <c r="P15" s="190">
        <v>45652.75</v>
      </c>
      <c r="Q15" s="190">
        <v>45653.84652777778</v>
      </c>
      <c r="R15" s="190">
        <v>45654.919444444444</v>
      </c>
      <c r="S15" s="190">
        <v>45655.967361111114</v>
      </c>
      <c r="T15" s="190">
        <v>45656.992361111108</v>
      </c>
      <c r="U15" s="190">
        <v>45657.996527777781</v>
      </c>
      <c r="V15" s="18"/>
      <c r="W15" s="18"/>
      <c r="X15" s="18"/>
      <c r="Y15" s="18"/>
      <c r="Z15" s="18"/>
      <c r="AA15" s="18"/>
    </row>
    <row r="16" spans="1:27" ht="21" x14ac:dyDescent="0.35">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row>
    <row r="17" spans="1:27" ht="21" x14ac:dyDescent="0.35">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row>
    <row r="18" spans="1:27" ht="21" x14ac:dyDescent="0.35">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row>
    <row r="19" spans="1:27" ht="21" x14ac:dyDescent="0.35">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row>
    <row r="20" spans="1:27" ht="21" x14ac:dyDescent="0.35">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row>
    <row r="21" spans="1:27" ht="21" x14ac:dyDescent="0.35">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row>
    <row r="22" spans="1:27" ht="21" x14ac:dyDescent="0.35">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03BD-5809-4E7D-998A-1996E2C417BD}">
  <dimension ref="A1:D9"/>
  <sheetViews>
    <sheetView workbookViewId="0">
      <selection activeCell="C9" sqref="C9"/>
    </sheetView>
  </sheetViews>
  <sheetFormatPr defaultRowHeight="15" x14ac:dyDescent="0.25"/>
  <cols>
    <col min="1" max="1" width="11.28515625" bestFit="1" customWidth="1"/>
    <col min="2" max="2" width="41.7109375" bestFit="1" customWidth="1"/>
    <col min="3" max="3" width="32.5703125" bestFit="1" customWidth="1"/>
    <col min="4" max="4" width="15.28515625" bestFit="1" customWidth="1"/>
  </cols>
  <sheetData>
    <row r="1" spans="1:4" ht="21" x14ac:dyDescent="0.35">
      <c r="A1" s="173" t="s">
        <v>1572</v>
      </c>
      <c r="B1" s="173" t="s">
        <v>1660</v>
      </c>
      <c r="C1" s="173" t="s">
        <v>1661</v>
      </c>
      <c r="D1" s="173" t="s">
        <v>1662</v>
      </c>
    </row>
    <row r="2" spans="1:4" ht="21" x14ac:dyDescent="0.35">
      <c r="A2" s="18" t="s">
        <v>44</v>
      </c>
      <c r="B2" s="18" t="s">
        <v>1663</v>
      </c>
      <c r="C2" s="18" t="s">
        <v>1664</v>
      </c>
      <c r="D2" s="18" t="s">
        <v>1665</v>
      </c>
    </row>
    <row r="3" spans="1:4" ht="21" x14ac:dyDescent="0.35">
      <c r="A3" s="18" t="s">
        <v>44</v>
      </c>
      <c r="B3" s="18" t="s">
        <v>1666</v>
      </c>
      <c r="C3" s="18" t="s">
        <v>1667</v>
      </c>
      <c r="D3" s="18" t="s">
        <v>1668</v>
      </c>
    </row>
    <row r="4" spans="1:4" ht="21" x14ac:dyDescent="0.35">
      <c r="A4" s="18" t="s">
        <v>44</v>
      </c>
      <c r="B4" s="18" t="s">
        <v>1669</v>
      </c>
      <c r="C4" s="18" t="s">
        <v>1670</v>
      </c>
      <c r="D4" s="18" t="s">
        <v>1668</v>
      </c>
    </row>
    <row r="5" spans="1:4" ht="21" x14ac:dyDescent="0.35">
      <c r="A5" s="18" t="s">
        <v>44</v>
      </c>
      <c r="B5" s="18" t="s">
        <v>1671</v>
      </c>
      <c r="C5" s="18" t="s">
        <v>1672</v>
      </c>
      <c r="D5" s="18" t="s">
        <v>1665</v>
      </c>
    </row>
    <row r="6" spans="1:4" ht="21" x14ac:dyDescent="0.35">
      <c r="A6" s="18" t="s">
        <v>22</v>
      </c>
      <c r="B6" s="18" t="s">
        <v>1673</v>
      </c>
      <c r="C6" s="18"/>
      <c r="D6" s="18"/>
    </row>
    <row r="7" spans="1:4" ht="21" x14ac:dyDescent="0.35">
      <c r="A7" s="18" t="s">
        <v>18</v>
      </c>
      <c r="B7" s="18" t="s">
        <v>1674</v>
      </c>
      <c r="C7" s="18" t="s">
        <v>1675</v>
      </c>
      <c r="D7" s="18" t="s">
        <v>1676</v>
      </c>
    </row>
    <row r="8" spans="1:4" ht="21" x14ac:dyDescent="0.35">
      <c r="A8" s="18" t="s">
        <v>37</v>
      </c>
      <c r="B8" s="18" t="s">
        <v>1677</v>
      </c>
      <c r="C8" s="18" t="s">
        <v>1678</v>
      </c>
      <c r="D8" s="18" t="s">
        <v>1679</v>
      </c>
    </row>
    <row r="9" spans="1:4" ht="21" x14ac:dyDescent="0.35">
      <c r="A9" s="18" t="s">
        <v>5</v>
      </c>
      <c r="B9" s="18" t="s">
        <v>1680</v>
      </c>
      <c r="C9" s="18" t="s">
        <v>1681</v>
      </c>
      <c r="D9" s="18" t="s">
        <v>1682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8037F-976C-4256-937F-8120D8B90BE9}">
  <dimension ref="A1:C86"/>
  <sheetViews>
    <sheetView workbookViewId="0">
      <selection activeCell="C84" sqref="C84"/>
    </sheetView>
  </sheetViews>
  <sheetFormatPr defaultRowHeight="15" x14ac:dyDescent="0.25"/>
  <cols>
    <col min="1" max="1" width="20.7109375" style="36" customWidth="1"/>
    <col min="2" max="2" width="14.28515625" style="36" customWidth="1"/>
    <col min="3" max="3" width="89.28515625" style="36" customWidth="1"/>
  </cols>
  <sheetData>
    <row r="1" spans="1:3" ht="21" x14ac:dyDescent="0.25">
      <c r="A1" s="184" t="s">
        <v>1572</v>
      </c>
      <c r="B1" s="184" t="s">
        <v>1573</v>
      </c>
      <c r="C1" s="185" t="s">
        <v>1574</v>
      </c>
    </row>
    <row r="2" spans="1:3" ht="126" x14ac:dyDescent="0.25">
      <c r="A2" s="186" t="s">
        <v>1324</v>
      </c>
      <c r="B2" s="186">
        <v>1</v>
      </c>
      <c r="C2" s="187" t="s">
        <v>1575</v>
      </c>
    </row>
    <row r="3" spans="1:3" ht="84" x14ac:dyDescent="0.25">
      <c r="A3" s="186" t="s">
        <v>1324</v>
      </c>
      <c r="B3" s="186">
        <v>2</v>
      </c>
      <c r="C3" s="187" t="s">
        <v>1576</v>
      </c>
    </row>
    <row r="4" spans="1:3" ht="105" x14ac:dyDescent="0.25">
      <c r="A4" s="186" t="s">
        <v>1324</v>
      </c>
      <c r="B4" s="186">
        <v>3</v>
      </c>
      <c r="C4" s="187" t="s">
        <v>1577</v>
      </c>
    </row>
    <row r="5" spans="1:3" ht="63" x14ac:dyDescent="0.25">
      <c r="A5" s="186" t="s">
        <v>1324</v>
      </c>
      <c r="B5" s="186">
        <v>4</v>
      </c>
      <c r="C5" s="187" t="s">
        <v>1578</v>
      </c>
    </row>
    <row r="6" spans="1:3" ht="84" x14ac:dyDescent="0.25">
      <c r="A6" s="186" t="s">
        <v>1324</v>
      </c>
      <c r="B6" s="186">
        <v>5</v>
      </c>
      <c r="C6" s="187" t="s">
        <v>1579</v>
      </c>
    </row>
    <row r="7" spans="1:3" ht="84" x14ac:dyDescent="0.25">
      <c r="A7" s="186" t="s">
        <v>1324</v>
      </c>
      <c r="B7" s="186">
        <v>6</v>
      </c>
      <c r="C7" s="187" t="s">
        <v>1580</v>
      </c>
    </row>
    <row r="8" spans="1:3" ht="126" x14ac:dyDescent="0.25">
      <c r="A8" s="186" t="s">
        <v>1324</v>
      </c>
      <c r="B8" s="186">
        <v>7</v>
      </c>
      <c r="C8" s="187" t="s">
        <v>1581</v>
      </c>
    </row>
    <row r="9" spans="1:3" ht="105" x14ac:dyDescent="0.25">
      <c r="A9" s="186" t="s">
        <v>1324</v>
      </c>
      <c r="B9" s="186">
        <v>8</v>
      </c>
      <c r="C9" s="187" t="s">
        <v>1582</v>
      </c>
    </row>
    <row r="10" spans="1:3" ht="105" x14ac:dyDescent="0.25">
      <c r="A10" s="186" t="s">
        <v>1324</v>
      </c>
      <c r="B10" s="186">
        <v>9</v>
      </c>
      <c r="C10" s="187" t="s">
        <v>1583</v>
      </c>
    </row>
    <row r="11" spans="1:3" ht="105" x14ac:dyDescent="0.25">
      <c r="A11" s="186" t="s">
        <v>1324</v>
      </c>
      <c r="B11" s="186">
        <v>10</v>
      </c>
      <c r="C11" s="187" t="s">
        <v>1584</v>
      </c>
    </row>
    <row r="12" spans="1:3" ht="84" x14ac:dyDescent="0.25">
      <c r="A12" s="186" t="s">
        <v>1324</v>
      </c>
      <c r="B12" s="186">
        <v>11</v>
      </c>
      <c r="C12" s="187" t="s">
        <v>1585</v>
      </c>
    </row>
    <row r="13" spans="1:3" ht="105" x14ac:dyDescent="0.25">
      <c r="A13" s="186" t="s">
        <v>1324</v>
      </c>
      <c r="B13" s="186">
        <v>12</v>
      </c>
      <c r="C13" s="187" t="s">
        <v>1586</v>
      </c>
    </row>
    <row r="14" spans="1:3" ht="189" x14ac:dyDescent="0.25">
      <c r="A14" s="186" t="s">
        <v>1336</v>
      </c>
      <c r="B14" s="186">
        <v>1</v>
      </c>
      <c r="C14" s="187" t="s">
        <v>1587</v>
      </c>
    </row>
    <row r="15" spans="1:3" ht="63" x14ac:dyDescent="0.25">
      <c r="A15" s="186" t="s">
        <v>1336</v>
      </c>
      <c r="B15" s="186">
        <v>2</v>
      </c>
      <c r="C15" s="187" t="s">
        <v>1588</v>
      </c>
    </row>
    <row r="16" spans="1:3" ht="63" x14ac:dyDescent="0.25">
      <c r="A16" s="186" t="s">
        <v>1336</v>
      </c>
      <c r="B16" s="186">
        <v>3</v>
      </c>
      <c r="C16" s="187" t="s">
        <v>1589</v>
      </c>
    </row>
    <row r="17" spans="1:3" ht="84" x14ac:dyDescent="0.25">
      <c r="A17" s="186" t="s">
        <v>1336</v>
      </c>
      <c r="B17" s="186">
        <v>4</v>
      </c>
      <c r="C17" s="187" t="s">
        <v>1590</v>
      </c>
    </row>
    <row r="18" spans="1:3" ht="84" x14ac:dyDescent="0.25">
      <c r="A18" s="186" t="s">
        <v>1336</v>
      </c>
      <c r="B18" s="186">
        <v>5</v>
      </c>
      <c r="C18" s="187" t="s">
        <v>1591</v>
      </c>
    </row>
    <row r="19" spans="1:3" ht="105" x14ac:dyDescent="0.25">
      <c r="A19" s="186" t="s">
        <v>1336</v>
      </c>
      <c r="B19" s="186">
        <v>6</v>
      </c>
      <c r="C19" s="187" t="s">
        <v>1592</v>
      </c>
    </row>
    <row r="20" spans="1:3" ht="63" x14ac:dyDescent="0.25">
      <c r="A20" s="186" t="s">
        <v>1336</v>
      </c>
      <c r="B20" s="186">
        <v>7</v>
      </c>
      <c r="C20" s="187" t="s">
        <v>1593</v>
      </c>
    </row>
    <row r="21" spans="1:3" ht="84" x14ac:dyDescent="0.25">
      <c r="A21" s="186" t="s">
        <v>1336</v>
      </c>
      <c r="B21" s="186">
        <v>8</v>
      </c>
      <c r="C21" s="187" t="s">
        <v>1594</v>
      </c>
    </row>
    <row r="22" spans="1:3" ht="84" x14ac:dyDescent="0.25">
      <c r="A22" s="186" t="s">
        <v>1336</v>
      </c>
      <c r="B22" s="186">
        <v>9</v>
      </c>
      <c r="C22" s="187" t="s">
        <v>1595</v>
      </c>
    </row>
    <row r="23" spans="1:3" ht="63" x14ac:dyDescent="0.25">
      <c r="A23" s="186" t="s">
        <v>1336</v>
      </c>
      <c r="B23" s="186">
        <v>10</v>
      </c>
      <c r="C23" s="187" t="s">
        <v>1596</v>
      </c>
    </row>
    <row r="24" spans="1:3" ht="63" x14ac:dyDescent="0.25">
      <c r="A24" s="186" t="s">
        <v>1336</v>
      </c>
      <c r="B24" s="186">
        <v>11</v>
      </c>
      <c r="C24" s="187" t="s">
        <v>1597</v>
      </c>
    </row>
    <row r="25" spans="1:3" ht="63" x14ac:dyDescent="0.25">
      <c r="A25" s="186" t="s">
        <v>1336</v>
      </c>
      <c r="B25" s="186">
        <v>12</v>
      </c>
      <c r="C25" s="187" t="s">
        <v>1598</v>
      </c>
    </row>
    <row r="26" spans="1:3" ht="126" x14ac:dyDescent="0.25">
      <c r="A26" s="186" t="s">
        <v>1327</v>
      </c>
      <c r="B26" s="186">
        <v>1</v>
      </c>
      <c r="C26" s="188" t="s">
        <v>1599</v>
      </c>
    </row>
    <row r="27" spans="1:3" ht="63" x14ac:dyDescent="0.25">
      <c r="A27" s="186" t="s">
        <v>1327</v>
      </c>
      <c r="B27" s="186">
        <v>2</v>
      </c>
      <c r="C27" s="187" t="s">
        <v>1600</v>
      </c>
    </row>
    <row r="28" spans="1:3" ht="63" x14ac:dyDescent="0.25">
      <c r="A28" s="186" t="s">
        <v>1327</v>
      </c>
      <c r="B28" s="186">
        <v>3</v>
      </c>
      <c r="C28" s="187" t="s">
        <v>1601</v>
      </c>
    </row>
    <row r="29" spans="1:3" ht="63" x14ac:dyDescent="0.25">
      <c r="A29" s="186" t="s">
        <v>1327</v>
      </c>
      <c r="B29" s="186">
        <v>4</v>
      </c>
      <c r="C29" s="187" t="s">
        <v>1602</v>
      </c>
    </row>
    <row r="30" spans="1:3" ht="84" x14ac:dyDescent="0.25">
      <c r="A30" s="186" t="s">
        <v>1327</v>
      </c>
      <c r="B30" s="186">
        <v>5</v>
      </c>
      <c r="C30" s="187" t="s">
        <v>1603</v>
      </c>
    </row>
    <row r="31" spans="1:3" ht="63" x14ac:dyDescent="0.25">
      <c r="A31" s="186" t="s">
        <v>1327</v>
      </c>
      <c r="B31" s="186">
        <v>6</v>
      </c>
      <c r="C31" s="187" t="s">
        <v>1604</v>
      </c>
    </row>
    <row r="32" spans="1:3" ht="63" x14ac:dyDescent="0.25">
      <c r="A32" s="186" t="s">
        <v>1327</v>
      </c>
      <c r="B32" s="186">
        <v>7</v>
      </c>
      <c r="C32" s="187" t="s">
        <v>1605</v>
      </c>
    </row>
    <row r="33" spans="1:3" ht="63" x14ac:dyDescent="0.25">
      <c r="A33" s="186" t="s">
        <v>1327</v>
      </c>
      <c r="B33" s="186">
        <v>8</v>
      </c>
      <c r="C33" s="187" t="s">
        <v>1606</v>
      </c>
    </row>
    <row r="34" spans="1:3" ht="84" x14ac:dyDescent="0.25">
      <c r="A34" s="186" t="s">
        <v>1327</v>
      </c>
      <c r="B34" s="186">
        <v>9</v>
      </c>
      <c r="C34" s="187" t="s">
        <v>1607</v>
      </c>
    </row>
    <row r="35" spans="1:3" ht="63" x14ac:dyDescent="0.25">
      <c r="A35" s="186" t="s">
        <v>1327</v>
      </c>
      <c r="B35" s="186">
        <v>10</v>
      </c>
      <c r="C35" s="187" t="s">
        <v>1608</v>
      </c>
    </row>
    <row r="36" spans="1:3" ht="63" x14ac:dyDescent="0.25">
      <c r="A36" s="186" t="s">
        <v>1327</v>
      </c>
      <c r="B36" s="186">
        <v>11</v>
      </c>
      <c r="C36" s="187" t="s">
        <v>1609</v>
      </c>
    </row>
    <row r="37" spans="1:3" ht="42" x14ac:dyDescent="0.25">
      <c r="A37" s="186" t="s">
        <v>1327</v>
      </c>
      <c r="B37" s="186">
        <v>12</v>
      </c>
      <c r="C37" s="187" t="s">
        <v>1610</v>
      </c>
    </row>
    <row r="38" spans="1:3" ht="126" x14ac:dyDescent="0.25">
      <c r="A38" s="186" t="s">
        <v>1318</v>
      </c>
      <c r="B38" s="186">
        <v>1</v>
      </c>
      <c r="C38" s="187" t="s">
        <v>1611</v>
      </c>
    </row>
    <row r="39" spans="1:3" ht="42" x14ac:dyDescent="0.25">
      <c r="A39" s="186" t="s">
        <v>1318</v>
      </c>
      <c r="B39" s="186">
        <v>2</v>
      </c>
      <c r="C39" s="187" t="s">
        <v>1612</v>
      </c>
    </row>
    <row r="40" spans="1:3" ht="42" x14ac:dyDescent="0.25">
      <c r="A40" s="186" t="s">
        <v>1318</v>
      </c>
      <c r="B40" s="186">
        <v>3</v>
      </c>
      <c r="C40" s="187" t="s">
        <v>1613</v>
      </c>
    </row>
    <row r="41" spans="1:3" ht="84" x14ac:dyDescent="0.25">
      <c r="A41" s="186" t="s">
        <v>1318</v>
      </c>
      <c r="B41" s="186">
        <v>4</v>
      </c>
      <c r="C41" s="187" t="s">
        <v>1614</v>
      </c>
    </row>
    <row r="42" spans="1:3" ht="63" x14ac:dyDescent="0.25">
      <c r="A42" s="186" t="s">
        <v>1318</v>
      </c>
      <c r="B42" s="186">
        <v>5</v>
      </c>
      <c r="C42" s="187" t="s">
        <v>1615</v>
      </c>
    </row>
    <row r="43" spans="1:3" ht="84" x14ac:dyDescent="0.25">
      <c r="A43" s="186" t="s">
        <v>1318</v>
      </c>
      <c r="B43" s="186">
        <v>6</v>
      </c>
      <c r="C43" s="187" t="s">
        <v>1616</v>
      </c>
    </row>
    <row r="44" spans="1:3" ht="84" x14ac:dyDescent="0.25">
      <c r="A44" s="186" t="s">
        <v>1318</v>
      </c>
      <c r="B44" s="186">
        <v>7</v>
      </c>
      <c r="C44" s="187" t="s">
        <v>1617</v>
      </c>
    </row>
    <row r="45" spans="1:3" ht="84" x14ac:dyDescent="0.25">
      <c r="A45" s="186" t="s">
        <v>1318</v>
      </c>
      <c r="B45" s="186">
        <v>8</v>
      </c>
      <c r="C45" s="187" t="s">
        <v>1618</v>
      </c>
    </row>
    <row r="46" spans="1:3" ht="63" x14ac:dyDescent="0.25">
      <c r="A46" s="186" t="s">
        <v>1318</v>
      </c>
      <c r="B46" s="186">
        <v>9</v>
      </c>
      <c r="C46" s="187" t="s">
        <v>1619</v>
      </c>
    </row>
    <row r="47" spans="1:3" ht="63" x14ac:dyDescent="0.25">
      <c r="A47" s="186" t="s">
        <v>1318</v>
      </c>
      <c r="B47" s="186">
        <v>10</v>
      </c>
      <c r="C47" s="187" t="s">
        <v>1620</v>
      </c>
    </row>
    <row r="48" spans="1:3" ht="84" x14ac:dyDescent="0.25">
      <c r="A48" s="186" t="s">
        <v>1318</v>
      </c>
      <c r="B48" s="186">
        <v>11</v>
      </c>
      <c r="C48" s="187" t="s">
        <v>1621</v>
      </c>
    </row>
    <row r="49" spans="1:3" ht="63" x14ac:dyDescent="0.25">
      <c r="A49" s="186" t="s">
        <v>1318</v>
      </c>
      <c r="B49" s="186">
        <v>12</v>
      </c>
      <c r="C49" s="187" t="s">
        <v>1622</v>
      </c>
    </row>
    <row r="50" spans="1:3" ht="168" x14ac:dyDescent="0.25">
      <c r="A50" s="186" t="s">
        <v>1342</v>
      </c>
      <c r="B50" s="186">
        <v>1</v>
      </c>
      <c r="C50" s="187" t="s">
        <v>1623</v>
      </c>
    </row>
    <row r="51" spans="1:3" ht="63" x14ac:dyDescent="0.25">
      <c r="A51" s="186" t="s">
        <v>1342</v>
      </c>
      <c r="B51" s="186">
        <v>2</v>
      </c>
      <c r="C51" s="187" t="s">
        <v>1624</v>
      </c>
    </row>
    <row r="52" spans="1:3" ht="84" x14ac:dyDescent="0.25">
      <c r="A52" s="186" t="s">
        <v>1342</v>
      </c>
      <c r="B52" s="186">
        <v>3</v>
      </c>
      <c r="C52" s="187" t="s">
        <v>1625</v>
      </c>
    </row>
    <row r="53" spans="1:3" ht="63" x14ac:dyDescent="0.25">
      <c r="A53" s="186" t="s">
        <v>1342</v>
      </c>
      <c r="B53" s="186">
        <v>4</v>
      </c>
      <c r="C53" s="187" t="s">
        <v>1626</v>
      </c>
    </row>
    <row r="54" spans="1:3" ht="63" x14ac:dyDescent="0.25">
      <c r="A54" s="186" t="s">
        <v>1342</v>
      </c>
      <c r="B54" s="186">
        <v>5</v>
      </c>
      <c r="C54" s="187" t="s">
        <v>1627</v>
      </c>
    </row>
    <row r="55" spans="1:3" ht="189" x14ac:dyDescent="0.25">
      <c r="A55" s="186" t="s">
        <v>1342</v>
      </c>
      <c r="B55" s="186">
        <v>6</v>
      </c>
      <c r="C55" s="187" t="s">
        <v>1628</v>
      </c>
    </row>
    <row r="56" spans="1:3" ht="63" x14ac:dyDescent="0.25">
      <c r="A56" s="186" t="s">
        <v>1342</v>
      </c>
      <c r="B56" s="186">
        <v>7</v>
      </c>
      <c r="C56" s="187" t="s">
        <v>1629</v>
      </c>
    </row>
    <row r="57" spans="1:3" ht="84" x14ac:dyDescent="0.25">
      <c r="A57" s="186" t="s">
        <v>1342</v>
      </c>
      <c r="B57" s="186">
        <v>8</v>
      </c>
      <c r="C57" s="187" t="s">
        <v>1630</v>
      </c>
    </row>
    <row r="58" spans="1:3" ht="84" x14ac:dyDescent="0.25">
      <c r="A58" s="186" t="s">
        <v>1342</v>
      </c>
      <c r="B58" s="186">
        <v>9</v>
      </c>
      <c r="C58" s="187" t="s">
        <v>1631</v>
      </c>
    </row>
    <row r="59" spans="1:3" ht="84" x14ac:dyDescent="0.25">
      <c r="A59" s="186" t="s">
        <v>1342</v>
      </c>
      <c r="B59" s="186">
        <v>10</v>
      </c>
      <c r="C59" s="187" t="s">
        <v>1632</v>
      </c>
    </row>
    <row r="60" spans="1:3" ht="63" x14ac:dyDescent="0.25">
      <c r="A60" s="186" t="s">
        <v>1342</v>
      </c>
      <c r="B60" s="186">
        <v>11</v>
      </c>
      <c r="C60" s="187" t="s">
        <v>1633</v>
      </c>
    </row>
    <row r="61" spans="1:3" ht="105" x14ac:dyDescent="0.25">
      <c r="A61" s="186" t="s">
        <v>1342</v>
      </c>
      <c r="B61" s="186">
        <v>12</v>
      </c>
      <c r="C61" s="187" t="s">
        <v>1634</v>
      </c>
    </row>
    <row r="62" spans="1:3" ht="147" x14ac:dyDescent="0.25">
      <c r="A62" s="189" t="s">
        <v>1333</v>
      </c>
      <c r="B62" s="186">
        <v>1</v>
      </c>
      <c r="C62" s="187" t="s">
        <v>1635</v>
      </c>
    </row>
    <row r="63" spans="1:3" ht="84" x14ac:dyDescent="0.25">
      <c r="A63" s="189" t="s">
        <v>1333</v>
      </c>
      <c r="B63" s="186">
        <v>2</v>
      </c>
      <c r="C63" s="187" t="s">
        <v>1636</v>
      </c>
    </row>
    <row r="64" spans="1:3" ht="63" x14ac:dyDescent="0.25">
      <c r="A64" s="189" t="s">
        <v>1333</v>
      </c>
      <c r="B64" s="186">
        <v>3</v>
      </c>
      <c r="C64" s="187" t="s">
        <v>1637</v>
      </c>
    </row>
    <row r="65" spans="1:3" ht="84" x14ac:dyDescent="0.25">
      <c r="A65" s="189" t="s">
        <v>1333</v>
      </c>
      <c r="B65" s="186">
        <v>4</v>
      </c>
      <c r="C65" s="187" t="s">
        <v>1638</v>
      </c>
    </row>
    <row r="66" spans="1:3" ht="63" x14ac:dyDescent="0.25">
      <c r="A66" s="189" t="s">
        <v>1333</v>
      </c>
      <c r="B66" s="186">
        <v>5</v>
      </c>
      <c r="C66" s="187" t="s">
        <v>1639</v>
      </c>
    </row>
    <row r="67" spans="1:3" ht="84" x14ac:dyDescent="0.25">
      <c r="A67" s="189" t="s">
        <v>1333</v>
      </c>
      <c r="B67" s="186">
        <v>6</v>
      </c>
      <c r="C67" s="187" t="s">
        <v>1640</v>
      </c>
    </row>
    <row r="68" spans="1:3" ht="84" x14ac:dyDescent="0.25">
      <c r="A68" s="189" t="s">
        <v>1333</v>
      </c>
      <c r="B68" s="186">
        <v>7</v>
      </c>
      <c r="C68" s="187" t="s">
        <v>1641</v>
      </c>
    </row>
    <row r="69" spans="1:3" ht="63" x14ac:dyDescent="0.25">
      <c r="A69" s="189" t="s">
        <v>1333</v>
      </c>
      <c r="B69" s="186">
        <v>8</v>
      </c>
      <c r="C69" s="187" t="s">
        <v>1642</v>
      </c>
    </row>
    <row r="70" spans="1:3" ht="84" x14ac:dyDescent="0.25">
      <c r="A70" s="189" t="s">
        <v>1333</v>
      </c>
      <c r="B70" s="186">
        <v>9</v>
      </c>
      <c r="C70" s="187" t="s">
        <v>1643</v>
      </c>
    </row>
    <row r="71" spans="1:3" ht="126" x14ac:dyDescent="0.25">
      <c r="A71" s="189" t="s">
        <v>1333</v>
      </c>
      <c r="B71" s="186">
        <v>10</v>
      </c>
      <c r="C71" s="187" t="s">
        <v>1644</v>
      </c>
    </row>
    <row r="72" spans="1:3" ht="63" x14ac:dyDescent="0.25">
      <c r="A72" s="189" t="s">
        <v>1333</v>
      </c>
      <c r="B72" s="186">
        <v>11</v>
      </c>
      <c r="C72" s="187" t="s">
        <v>1645</v>
      </c>
    </row>
    <row r="73" spans="1:3" ht="105" x14ac:dyDescent="0.25">
      <c r="A73" s="189" t="s">
        <v>1333</v>
      </c>
      <c r="B73" s="186">
        <v>12</v>
      </c>
      <c r="C73" s="187" t="s">
        <v>1646</v>
      </c>
    </row>
    <row r="74" spans="1:3" ht="126" x14ac:dyDescent="0.25">
      <c r="A74" s="189" t="s">
        <v>1330</v>
      </c>
      <c r="B74" s="186">
        <v>1</v>
      </c>
      <c r="C74" s="187" t="s">
        <v>1647</v>
      </c>
    </row>
    <row r="75" spans="1:3" ht="63" x14ac:dyDescent="0.25">
      <c r="A75" s="189" t="s">
        <v>1330</v>
      </c>
      <c r="B75" s="186">
        <v>2</v>
      </c>
      <c r="C75" s="187" t="s">
        <v>1648</v>
      </c>
    </row>
    <row r="76" spans="1:3" ht="63" x14ac:dyDescent="0.25">
      <c r="A76" s="189" t="s">
        <v>1330</v>
      </c>
      <c r="B76" s="186">
        <v>3</v>
      </c>
      <c r="C76" s="187" t="s">
        <v>1649</v>
      </c>
    </row>
    <row r="77" spans="1:3" ht="105" x14ac:dyDescent="0.25">
      <c r="A77" s="189" t="s">
        <v>1330</v>
      </c>
      <c r="B77" s="186">
        <v>4</v>
      </c>
      <c r="C77" s="187" t="s">
        <v>1650</v>
      </c>
    </row>
    <row r="78" spans="1:3" ht="84" x14ac:dyDescent="0.25">
      <c r="A78" s="189" t="s">
        <v>1330</v>
      </c>
      <c r="B78" s="186">
        <v>5</v>
      </c>
      <c r="C78" s="187" t="s">
        <v>1651</v>
      </c>
    </row>
    <row r="79" spans="1:3" ht="63" x14ac:dyDescent="0.25">
      <c r="A79" s="189" t="s">
        <v>1330</v>
      </c>
      <c r="B79" s="186">
        <v>6</v>
      </c>
      <c r="C79" s="187" t="s">
        <v>1652</v>
      </c>
    </row>
    <row r="80" spans="1:3" ht="84" x14ac:dyDescent="0.25">
      <c r="A80" s="189" t="s">
        <v>1330</v>
      </c>
      <c r="B80" s="186">
        <v>7</v>
      </c>
      <c r="C80" s="187" t="s">
        <v>1653</v>
      </c>
    </row>
    <row r="81" spans="1:3" ht="105" x14ac:dyDescent="0.25">
      <c r="A81" s="189" t="s">
        <v>1330</v>
      </c>
      <c r="B81" s="186">
        <v>8</v>
      </c>
      <c r="C81" s="187" t="s">
        <v>1654</v>
      </c>
    </row>
    <row r="82" spans="1:3" ht="63" x14ac:dyDescent="0.25">
      <c r="A82" s="189" t="s">
        <v>1330</v>
      </c>
      <c r="B82" s="186">
        <v>9</v>
      </c>
      <c r="C82" s="187" t="s">
        <v>1655</v>
      </c>
    </row>
    <row r="83" spans="1:3" ht="273" x14ac:dyDescent="0.25">
      <c r="A83" s="189" t="s">
        <v>1330</v>
      </c>
      <c r="B83" s="186">
        <v>10</v>
      </c>
      <c r="C83" s="187" t="s">
        <v>1656</v>
      </c>
    </row>
    <row r="84" spans="1:3" ht="84" x14ac:dyDescent="0.25">
      <c r="A84" s="189" t="s">
        <v>1330</v>
      </c>
      <c r="B84" s="186">
        <v>11</v>
      </c>
      <c r="C84" s="187" t="s">
        <v>1657</v>
      </c>
    </row>
    <row r="85" spans="1:3" ht="105" x14ac:dyDescent="0.25">
      <c r="A85" s="189" t="s">
        <v>1330</v>
      </c>
      <c r="B85" s="186">
        <v>12</v>
      </c>
      <c r="C85" s="187" t="s">
        <v>1658</v>
      </c>
    </row>
    <row r="86" spans="1:3" ht="21" x14ac:dyDescent="0.25">
      <c r="A86" s="184" t="s">
        <v>1659</v>
      </c>
      <c r="B86" s="184"/>
      <c r="C86" s="18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D140-A3F4-4A6D-AE77-113CA21B2BB6}">
  <dimension ref="A1:C37"/>
  <sheetViews>
    <sheetView topLeftCell="A5" workbookViewId="0">
      <selection activeCell="B10" sqref="B10"/>
    </sheetView>
  </sheetViews>
  <sheetFormatPr defaultColWidth="8.85546875" defaultRowHeight="18.75" x14ac:dyDescent="0.25"/>
  <cols>
    <col min="1" max="1" width="38.42578125" style="180" customWidth="1"/>
    <col min="2" max="2" width="55.5703125" style="180" customWidth="1"/>
    <col min="3" max="3" width="97.7109375" style="180" customWidth="1"/>
    <col min="4" max="16384" width="8.85546875" style="180"/>
  </cols>
  <sheetData>
    <row r="1" spans="1:3" x14ac:dyDescent="0.25">
      <c r="A1" s="178" t="s">
        <v>1035</v>
      </c>
      <c r="B1" s="179" t="s">
        <v>1465</v>
      </c>
      <c r="C1" s="179" t="s">
        <v>1466</v>
      </c>
    </row>
    <row r="2" spans="1:3" ht="45" x14ac:dyDescent="0.25">
      <c r="A2" s="181" t="s">
        <v>1467</v>
      </c>
      <c r="B2" s="182" t="s">
        <v>1468</v>
      </c>
      <c r="C2" s="182" t="s">
        <v>1469</v>
      </c>
    </row>
    <row r="3" spans="1:3" ht="45" x14ac:dyDescent="0.25">
      <c r="A3" s="182" t="s">
        <v>1069</v>
      </c>
      <c r="B3" s="182" t="s">
        <v>1470</v>
      </c>
      <c r="C3" s="182" t="s">
        <v>1471</v>
      </c>
    </row>
    <row r="4" spans="1:3" ht="30" x14ac:dyDescent="0.25">
      <c r="A4" s="182" t="s">
        <v>1472</v>
      </c>
      <c r="B4" s="182" t="s">
        <v>1473</v>
      </c>
      <c r="C4" s="182" t="s">
        <v>1474</v>
      </c>
    </row>
    <row r="5" spans="1:3" ht="30" x14ac:dyDescent="0.25">
      <c r="A5" s="182" t="s">
        <v>1475</v>
      </c>
      <c r="B5" s="182" t="s">
        <v>1476</v>
      </c>
      <c r="C5" s="182" t="s">
        <v>1477</v>
      </c>
    </row>
    <row r="6" spans="1:3" ht="30" x14ac:dyDescent="0.25">
      <c r="A6" s="182" t="s">
        <v>1099</v>
      </c>
      <c r="B6" s="182" t="s">
        <v>1478</v>
      </c>
      <c r="C6" s="182" t="s">
        <v>1479</v>
      </c>
    </row>
    <row r="7" spans="1:3" ht="30" x14ac:dyDescent="0.25">
      <c r="A7" s="182" t="s">
        <v>1480</v>
      </c>
      <c r="B7" s="182" t="s">
        <v>1481</v>
      </c>
      <c r="C7" s="182" t="s">
        <v>1482</v>
      </c>
    </row>
    <row r="8" spans="1:3" ht="45" x14ac:dyDescent="0.25">
      <c r="A8" s="182" t="s">
        <v>1483</v>
      </c>
      <c r="B8" s="182" t="s">
        <v>1484</v>
      </c>
      <c r="C8" s="182" t="s">
        <v>1485</v>
      </c>
    </row>
    <row r="9" spans="1:3" x14ac:dyDescent="0.25">
      <c r="A9" s="182" t="s">
        <v>1486</v>
      </c>
      <c r="B9" s="182" t="s">
        <v>1487</v>
      </c>
      <c r="C9" s="182" t="s">
        <v>1488</v>
      </c>
    </row>
    <row r="10" spans="1:3" ht="45" x14ac:dyDescent="0.25">
      <c r="A10" s="182" t="s">
        <v>1489</v>
      </c>
      <c r="B10" s="182" t="s">
        <v>1490</v>
      </c>
      <c r="C10" s="182" t="s">
        <v>1491</v>
      </c>
    </row>
    <row r="11" spans="1:3" ht="45" x14ac:dyDescent="0.25">
      <c r="A11" s="182" t="s">
        <v>1492</v>
      </c>
      <c r="B11" s="182" t="s">
        <v>1493</v>
      </c>
      <c r="C11" s="182" t="s">
        <v>1494</v>
      </c>
    </row>
    <row r="12" spans="1:3" ht="45" x14ac:dyDescent="0.25">
      <c r="A12" s="182" t="s">
        <v>1495</v>
      </c>
      <c r="B12" s="182" t="s">
        <v>1496</v>
      </c>
      <c r="C12" s="182" t="s">
        <v>1497</v>
      </c>
    </row>
    <row r="13" spans="1:3" ht="45" x14ac:dyDescent="0.25">
      <c r="A13" s="182" t="s">
        <v>1498</v>
      </c>
      <c r="B13" s="182" t="s">
        <v>1499</v>
      </c>
      <c r="C13" s="182" t="s">
        <v>1500</v>
      </c>
    </row>
    <row r="14" spans="1:3" ht="30" x14ac:dyDescent="0.25">
      <c r="A14" s="182" t="s">
        <v>1501</v>
      </c>
      <c r="B14" s="182" t="s">
        <v>1502</v>
      </c>
      <c r="C14" s="182" t="s">
        <v>1503</v>
      </c>
    </row>
    <row r="15" spans="1:3" ht="45" x14ac:dyDescent="0.25">
      <c r="A15" s="183" t="s">
        <v>1504</v>
      </c>
      <c r="B15" s="182" t="s">
        <v>1505</v>
      </c>
      <c r="C15" s="182" t="s">
        <v>1506</v>
      </c>
    </row>
    <row r="16" spans="1:3" ht="45" x14ac:dyDescent="0.25">
      <c r="A16" s="182" t="s">
        <v>1507</v>
      </c>
      <c r="B16" s="182" t="s">
        <v>1508</v>
      </c>
      <c r="C16" s="182" t="s">
        <v>1509</v>
      </c>
    </row>
    <row r="17" spans="1:3" ht="30" x14ac:dyDescent="0.25">
      <c r="A17" s="182" t="s">
        <v>1510</v>
      </c>
      <c r="B17" s="182" t="s">
        <v>1511</v>
      </c>
      <c r="C17" s="182" t="s">
        <v>1512</v>
      </c>
    </row>
    <row r="18" spans="1:3" ht="45" x14ac:dyDescent="0.25">
      <c r="A18" s="182" t="s">
        <v>1513</v>
      </c>
      <c r="B18" s="182" t="s">
        <v>1514</v>
      </c>
      <c r="C18" s="182" t="s">
        <v>1515</v>
      </c>
    </row>
    <row r="19" spans="1:3" ht="30" x14ac:dyDescent="0.25">
      <c r="A19" s="182" t="s">
        <v>1516</v>
      </c>
      <c r="B19" s="182" t="s">
        <v>1517</v>
      </c>
      <c r="C19" s="182" t="s">
        <v>1518</v>
      </c>
    </row>
    <row r="20" spans="1:3" ht="45" x14ac:dyDescent="0.25">
      <c r="A20" s="182" t="s">
        <v>1519</v>
      </c>
      <c r="B20" s="182" t="s">
        <v>1520</v>
      </c>
      <c r="C20" s="182" t="s">
        <v>1521</v>
      </c>
    </row>
    <row r="21" spans="1:3" ht="30" x14ac:dyDescent="0.25">
      <c r="A21" s="182" t="s">
        <v>1522</v>
      </c>
      <c r="B21" s="182" t="s">
        <v>1523</v>
      </c>
      <c r="C21" s="182" t="s">
        <v>1524</v>
      </c>
    </row>
    <row r="22" spans="1:3" ht="30" x14ac:dyDescent="0.25">
      <c r="A22" s="182" t="s">
        <v>1525</v>
      </c>
      <c r="B22" s="182" t="s">
        <v>1526</v>
      </c>
      <c r="C22" s="182" t="s">
        <v>1527</v>
      </c>
    </row>
    <row r="23" spans="1:3" ht="60" x14ac:dyDescent="0.25">
      <c r="A23" s="182" t="s">
        <v>1528</v>
      </c>
      <c r="B23" s="182" t="s">
        <v>1529</v>
      </c>
      <c r="C23" s="182" t="s">
        <v>1530</v>
      </c>
    </row>
    <row r="24" spans="1:3" ht="33.75" customHeight="1" x14ac:dyDescent="0.25">
      <c r="A24" s="182" t="s">
        <v>1174</v>
      </c>
      <c r="B24" s="182" t="s">
        <v>1531</v>
      </c>
      <c r="C24" s="182" t="s">
        <v>1532</v>
      </c>
    </row>
    <row r="25" spans="1:3" ht="30" x14ac:dyDescent="0.25">
      <c r="A25" s="182" t="s">
        <v>1533</v>
      </c>
      <c r="B25" s="182" t="s">
        <v>1534</v>
      </c>
      <c r="C25" s="182" t="s">
        <v>1535</v>
      </c>
    </row>
    <row r="26" spans="1:3" x14ac:dyDescent="0.25">
      <c r="A26" s="182" t="s">
        <v>1536</v>
      </c>
      <c r="B26" s="182" t="s">
        <v>1537</v>
      </c>
      <c r="C26" s="182" t="s">
        <v>1538</v>
      </c>
    </row>
    <row r="27" spans="1:3" ht="30" x14ac:dyDescent="0.25">
      <c r="A27" s="182" t="s">
        <v>1539</v>
      </c>
      <c r="B27" s="182" t="s">
        <v>1540</v>
      </c>
      <c r="C27" s="182" t="s">
        <v>1541</v>
      </c>
    </row>
    <row r="28" spans="1:3" x14ac:dyDescent="0.25">
      <c r="A28" s="182" t="s">
        <v>1542</v>
      </c>
      <c r="B28" s="182" t="s">
        <v>1543</v>
      </c>
      <c r="C28" s="182" t="s">
        <v>1544</v>
      </c>
    </row>
    <row r="29" spans="1:3" ht="30" x14ac:dyDescent="0.25">
      <c r="A29" s="182" t="s">
        <v>1545</v>
      </c>
      <c r="B29" s="182" t="s">
        <v>1546</v>
      </c>
      <c r="C29" s="182" t="s">
        <v>1547</v>
      </c>
    </row>
    <row r="30" spans="1:3" ht="30" x14ac:dyDescent="0.25">
      <c r="A30" s="182" t="s">
        <v>1548</v>
      </c>
      <c r="B30" s="182" t="s">
        <v>1549</v>
      </c>
      <c r="C30" s="182" t="s">
        <v>1550</v>
      </c>
    </row>
    <row r="31" spans="1:3" x14ac:dyDescent="0.25">
      <c r="A31" s="182" t="s">
        <v>1551</v>
      </c>
      <c r="B31" s="182" t="s">
        <v>1552</v>
      </c>
      <c r="C31" s="182" t="s">
        <v>1553</v>
      </c>
    </row>
    <row r="32" spans="1:3" ht="30" x14ac:dyDescent="0.25">
      <c r="A32" s="182" t="s">
        <v>1554</v>
      </c>
      <c r="B32" s="182" t="s">
        <v>1555</v>
      </c>
      <c r="C32" s="182" t="s">
        <v>1556</v>
      </c>
    </row>
    <row r="33" spans="1:3" ht="30" x14ac:dyDescent="0.25">
      <c r="A33" s="182" t="s">
        <v>1557</v>
      </c>
      <c r="B33" s="182" t="s">
        <v>1558</v>
      </c>
      <c r="C33" s="182" t="s">
        <v>1559</v>
      </c>
    </row>
    <row r="34" spans="1:3" ht="30" x14ac:dyDescent="0.25">
      <c r="A34" s="182" t="s">
        <v>1560</v>
      </c>
      <c r="B34" s="182" t="s">
        <v>1561</v>
      </c>
      <c r="C34" s="182" t="s">
        <v>1562</v>
      </c>
    </row>
    <row r="35" spans="1:3" ht="30" x14ac:dyDescent="0.25">
      <c r="A35" s="182" t="s">
        <v>1563</v>
      </c>
      <c r="B35" s="182" t="s">
        <v>1564</v>
      </c>
      <c r="C35" s="182" t="s">
        <v>1565</v>
      </c>
    </row>
    <row r="36" spans="1:3" ht="30" x14ac:dyDescent="0.25">
      <c r="A36" s="182" t="s">
        <v>1566</v>
      </c>
      <c r="B36" s="182" t="s">
        <v>1567</v>
      </c>
      <c r="C36" s="182" t="s">
        <v>1568</v>
      </c>
    </row>
    <row r="37" spans="1:3" ht="30" x14ac:dyDescent="0.25">
      <c r="A37" s="182" t="s">
        <v>1569</v>
      </c>
      <c r="B37" s="182" t="s">
        <v>1570</v>
      </c>
      <c r="C37" s="182" t="s">
        <v>1571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3E0C4-0A55-4311-B8DD-A5440726BE92}">
  <dimension ref="A1:B37"/>
  <sheetViews>
    <sheetView topLeftCell="A8" workbookViewId="0">
      <selection activeCell="A10" sqref="A10"/>
    </sheetView>
  </sheetViews>
  <sheetFormatPr defaultRowHeight="21" x14ac:dyDescent="0.35"/>
  <cols>
    <col min="1" max="1" width="33.28515625" style="18" bestFit="1" customWidth="1"/>
    <col min="2" max="2" width="137.85546875" style="175" customWidth="1"/>
    <col min="3" max="16384" width="9.140625" style="18"/>
  </cols>
  <sheetData>
    <row r="1" spans="1:2" x14ac:dyDescent="0.35">
      <c r="A1" s="173" t="s">
        <v>1409</v>
      </c>
      <c r="B1" s="174" t="s">
        <v>1410</v>
      </c>
    </row>
    <row r="2" spans="1:2" ht="63" x14ac:dyDescent="0.35">
      <c r="A2" s="18" t="s">
        <v>1042</v>
      </c>
      <c r="B2" s="175" t="s">
        <v>1411</v>
      </c>
    </row>
    <row r="3" spans="1:2" ht="126" x14ac:dyDescent="0.35">
      <c r="A3" s="176" t="s">
        <v>1069</v>
      </c>
      <c r="B3" s="177" t="s">
        <v>1412</v>
      </c>
    </row>
    <row r="4" spans="1:2" ht="126" x14ac:dyDescent="0.35">
      <c r="A4" s="18" t="s">
        <v>1413</v>
      </c>
      <c r="B4" s="175" t="s">
        <v>1414</v>
      </c>
    </row>
    <row r="5" spans="1:2" ht="105" x14ac:dyDescent="0.35">
      <c r="A5" s="176" t="s">
        <v>1415</v>
      </c>
      <c r="B5" s="177" t="s">
        <v>1416</v>
      </c>
    </row>
    <row r="6" spans="1:2" ht="126" x14ac:dyDescent="0.35">
      <c r="A6" s="18" t="s">
        <v>1099</v>
      </c>
      <c r="B6" s="175" t="s">
        <v>1417</v>
      </c>
    </row>
    <row r="7" spans="1:2" ht="126" x14ac:dyDescent="0.35">
      <c r="A7" s="176" t="s">
        <v>1418</v>
      </c>
      <c r="B7" s="177" t="s">
        <v>1419</v>
      </c>
    </row>
    <row r="8" spans="1:2" ht="126" x14ac:dyDescent="0.35">
      <c r="A8" s="18" t="s">
        <v>1420</v>
      </c>
      <c r="B8" s="175" t="s">
        <v>1421</v>
      </c>
    </row>
    <row r="9" spans="1:2" ht="84" x14ac:dyDescent="0.35">
      <c r="A9" s="176" t="s">
        <v>1121</v>
      </c>
      <c r="B9" s="177" t="s">
        <v>1422</v>
      </c>
    </row>
    <row r="10" spans="1:2" ht="84" x14ac:dyDescent="0.35">
      <c r="A10" s="18" t="s">
        <v>1423</v>
      </c>
      <c r="B10" s="175" t="s">
        <v>1424</v>
      </c>
    </row>
    <row r="11" spans="1:2" ht="63" x14ac:dyDescent="0.35">
      <c r="A11" s="176" t="s">
        <v>1425</v>
      </c>
      <c r="B11" s="177" t="s">
        <v>1426</v>
      </c>
    </row>
    <row r="12" spans="1:2" ht="84" x14ac:dyDescent="0.35">
      <c r="A12" s="18" t="s">
        <v>1142</v>
      </c>
      <c r="B12" s="175" t="s">
        <v>1427</v>
      </c>
    </row>
    <row r="13" spans="1:2" ht="105" x14ac:dyDescent="0.35">
      <c r="A13" s="176" t="s">
        <v>1152</v>
      </c>
      <c r="B13" s="177" t="s">
        <v>1428</v>
      </c>
    </row>
    <row r="14" spans="1:2" ht="126" x14ac:dyDescent="0.35">
      <c r="A14" s="18" t="s">
        <v>1159</v>
      </c>
      <c r="B14" s="175" t="s">
        <v>1429</v>
      </c>
    </row>
    <row r="15" spans="1:2" ht="105" x14ac:dyDescent="0.35">
      <c r="A15" s="176" t="s">
        <v>1163</v>
      </c>
      <c r="B15" s="177" t="s">
        <v>1430</v>
      </c>
    </row>
    <row r="16" spans="1:2" ht="42" x14ac:dyDescent="0.35">
      <c r="A16" s="18" t="s">
        <v>1431</v>
      </c>
      <c r="B16" s="175" t="s">
        <v>1432</v>
      </c>
    </row>
    <row r="17" spans="1:2" ht="126" x14ac:dyDescent="0.35">
      <c r="A17" s="176" t="s">
        <v>1433</v>
      </c>
      <c r="B17" s="177" t="s">
        <v>1434</v>
      </c>
    </row>
    <row r="18" spans="1:2" ht="63" x14ac:dyDescent="0.35">
      <c r="A18" s="18" t="s">
        <v>1167</v>
      </c>
      <c r="B18" s="175" t="s">
        <v>1435</v>
      </c>
    </row>
    <row r="19" spans="1:2" ht="105" x14ac:dyDescent="0.35">
      <c r="A19" s="176" t="s">
        <v>1436</v>
      </c>
      <c r="B19" s="177" t="s">
        <v>1437</v>
      </c>
    </row>
    <row r="20" spans="1:2" ht="105" x14ac:dyDescent="0.35">
      <c r="A20" s="18" t="s">
        <v>1438</v>
      </c>
      <c r="B20" s="175" t="s">
        <v>1439</v>
      </c>
    </row>
    <row r="21" spans="1:2" ht="105" x14ac:dyDescent="0.35">
      <c r="A21" s="176" t="s">
        <v>1170</v>
      </c>
      <c r="B21" s="177" t="s">
        <v>1440</v>
      </c>
    </row>
    <row r="22" spans="1:2" ht="126" x14ac:dyDescent="0.35">
      <c r="A22" s="18" t="s">
        <v>1441</v>
      </c>
      <c r="B22" s="175" t="s">
        <v>1442</v>
      </c>
    </row>
    <row r="23" spans="1:2" ht="84" x14ac:dyDescent="0.35">
      <c r="A23" s="176" t="s">
        <v>1443</v>
      </c>
      <c r="B23" s="177" t="s">
        <v>1444</v>
      </c>
    </row>
    <row r="24" spans="1:2" ht="105" x14ac:dyDescent="0.35">
      <c r="A24" s="18" t="s">
        <v>1174</v>
      </c>
      <c r="B24" s="175" t="s">
        <v>1445</v>
      </c>
    </row>
    <row r="25" spans="1:2" ht="105" x14ac:dyDescent="0.35">
      <c r="A25" s="176" t="s">
        <v>1177</v>
      </c>
      <c r="B25" s="177" t="s">
        <v>1446</v>
      </c>
    </row>
    <row r="26" spans="1:2" ht="105" x14ac:dyDescent="0.35">
      <c r="A26" s="18" t="s">
        <v>1180</v>
      </c>
      <c r="B26" s="175" t="s">
        <v>1447</v>
      </c>
    </row>
    <row r="27" spans="1:2" ht="105" x14ac:dyDescent="0.35">
      <c r="A27" s="176" t="s">
        <v>1183</v>
      </c>
      <c r="B27" s="177" t="s">
        <v>1448</v>
      </c>
    </row>
    <row r="28" spans="1:2" ht="63" x14ac:dyDescent="0.35">
      <c r="A28" s="18" t="s">
        <v>1449</v>
      </c>
      <c r="B28" s="175" t="s">
        <v>1450</v>
      </c>
    </row>
    <row r="29" spans="1:2" ht="63" x14ac:dyDescent="0.35">
      <c r="A29" s="176" t="s">
        <v>1451</v>
      </c>
      <c r="B29" s="177" t="s">
        <v>1452</v>
      </c>
    </row>
    <row r="30" spans="1:2" ht="63" x14ac:dyDescent="0.35">
      <c r="A30" s="18" t="s">
        <v>1187</v>
      </c>
      <c r="B30" s="175" t="s">
        <v>1453</v>
      </c>
    </row>
    <row r="31" spans="1:2" ht="84" x14ac:dyDescent="0.35">
      <c r="A31" s="176" t="s">
        <v>1454</v>
      </c>
      <c r="B31" s="177" t="s">
        <v>1455</v>
      </c>
    </row>
    <row r="32" spans="1:2" ht="105" x14ac:dyDescent="0.35">
      <c r="A32" s="18" t="s">
        <v>1456</v>
      </c>
      <c r="B32" s="175" t="s">
        <v>1457</v>
      </c>
    </row>
    <row r="33" spans="1:2" ht="84" x14ac:dyDescent="0.35">
      <c r="A33" s="176" t="s">
        <v>1193</v>
      </c>
      <c r="B33" s="177" t="s">
        <v>1458</v>
      </c>
    </row>
    <row r="34" spans="1:2" ht="105" x14ac:dyDescent="0.35">
      <c r="A34" s="18" t="s">
        <v>1459</v>
      </c>
      <c r="B34" s="175" t="s">
        <v>1460</v>
      </c>
    </row>
    <row r="35" spans="1:2" ht="84" x14ac:dyDescent="0.35">
      <c r="A35" s="176" t="s">
        <v>1461</v>
      </c>
      <c r="B35" s="177" t="s">
        <v>1462</v>
      </c>
    </row>
    <row r="36" spans="1:2" ht="126" x14ac:dyDescent="0.35">
      <c r="A36" s="18" t="s">
        <v>1196</v>
      </c>
      <c r="B36" s="175" t="s">
        <v>1463</v>
      </c>
    </row>
    <row r="37" spans="1:2" ht="126" x14ac:dyDescent="0.35">
      <c r="A37" s="176" t="s">
        <v>1197</v>
      </c>
      <c r="B37" s="177" t="s">
        <v>1464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3A41-7438-4948-9493-8624E185DC5B}">
  <dimension ref="A1:D23"/>
  <sheetViews>
    <sheetView workbookViewId="0"/>
  </sheetViews>
  <sheetFormatPr defaultRowHeight="15" x14ac:dyDescent="0.25"/>
  <cols>
    <col min="1" max="1" width="20.42578125" bestFit="1" customWidth="1"/>
    <col min="2" max="2" width="26.7109375" bestFit="1" customWidth="1"/>
    <col min="3" max="3" width="23.140625" bestFit="1" customWidth="1"/>
    <col min="4" max="4" width="14" bestFit="1" customWidth="1"/>
  </cols>
  <sheetData>
    <row r="1" spans="1:4" ht="21" x14ac:dyDescent="0.35">
      <c r="A1" s="18"/>
      <c r="B1" s="18" t="s">
        <v>1389</v>
      </c>
      <c r="C1" s="18" t="s">
        <v>1390</v>
      </c>
      <c r="D1" s="173" t="s">
        <v>1391</v>
      </c>
    </row>
    <row r="2" spans="1:4" ht="21" x14ac:dyDescent="0.35">
      <c r="A2" s="18" t="s">
        <v>19</v>
      </c>
      <c r="B2" s="18" t="s">
        <v>1392</v>
      </c>
      <c r="C2" s="18" t="s">
        <v>1393</v>
      </c>
      <c r="D2" s="18">
        <v>7</v>
      </c>
    </row>
    <row r="3" spans="1:4" ht="21" x14ac:dyDescent="0.35">
      <c r="A3" s="18" t="s">
        <v>22</v>
      </c>
      <c r="B3" s="18" t="s">
        <v>1393</v>
      </c>
      <c r="C3" s="18" t="s">
        <v>1394</v>
      </c>
      <c r="D3" s="18">
        <v>20</v>
      </c>
    </row>
    <row r="4" spans="1:4" ht="21" x14ac:dyDescent="0.35">
      <c r="A4" s="18" t="s">
        <v>3</v>
      </c>
      <c r="B4" s="18" t="s">
        <v>1395</v>
      </c>
      <c r="C4" s="18" t="s">
        <v>1396</v>
      </c>
      <c r="D4" s="18">
        <v>6</v>
      </c>
    </row>
    <row r="5" spans="1:4" ht="21" x14ac:dyDescent="0.35">
      <c r="A5" s="18" t="s">
        <v>28</v>
      </c>
      <c r="B5" s="18" t="s">
        <v>1397</v>
      </c>
      <c r="C5" s="18" t="s">
        <v>1398</v>
      </c>
      <c r="D5" s="18">
        <v>10</v>
      </c>
    </row>
    <row r="6" spans="1:4" ht="21" x14ac:dyDescent="0.35">
      <c r="A6" s="18" t="s">
        <v>18</v>
      </c>
      <c r="B6" s="18" t="s">
        <v>1399</v>
      </c>
      <c r="C6" s="18" t="s">
        <v>1400</v>
      </c>
      <c r="D6" s="18">
        <v>7</v>
      </c>
    </row>
    <row r="7" spans="1:4" ht="21" x14ac:dyDescent="0.35">
      <c r="A7" s="18" t="s">
        <v>4</v>
      </c>
      <c r="B7" s="18" t="s">
        <v>1401</v>
      </c>
      <c r="C7" s="18" t="s">
        <v>1402</v>
      </c>
      <c r="D7" s="18">
        <v>18</v>
      </c>
    </row>
    <row r="8" spans="1:4" ht="21" x14ac:dyDescent="0.35">
      <c r="A8" s="18" t="s">
        <v>37</v>
      </c>
      <c r="B8" s="18" t="s">
        <v>1403</v>
      </c>
      <c r="C8" s="18" t="s">
        <v>1404</v>
      </c>
      <c r="D8" s="18">
        <v>16</v>
      </c>
    </row>
    <row r="9" spans="1:4" ht="21" x14ac:dyDescent="0.35">
      <c r="A9" s="18" t="s">
        <v>5</v>
      </c>
      <c r="B9" s="18" t="s">
        <v>1405</v>
      </c>
      <c r="C9" s="18" t="s">
        <v>1406</v>
      </c>
      <c r="D9" s="18">
        <v>19</v>
      </c>
    </row>
    <row r="10" spans="1:4" ht="21" x14ac:dyDescent="0.35">
      <c r="A10" s="18" t="s">
        <v>44</v>
      </c>
      <c r="B10" s="18" t="s">
        <v>1407</v>
      </c>
      <c r="C10" s="18" t="s">
        <v>1408</v>
      </c>
      <c r="D10" s="18">
        <v>17</v>
      </c>
    </row>
    <row r="11" spans="1:4" ht="21" x14ac:dyDescent="0.35">
      <c r="A11" s="18"/>
      <c r="B11" s="18"/>
      <c r="C11" s="18"/>
      <c r="D11" s="18">
        <f>SUM(D2:D10)</f>
        <v>120</v>
      </c>
    </row>
    <row r="12" spans="1:4" ht="21" x14ac:dyDescent="0.35">
      <c r="A12" s="18"/>
      <c r="B12" s="18"/>
      <c r="C12" s="18"/>
      <c r="D12" s="18"/>
    </row>
    <row r="13" spans="1:4" ht="21" x14ac:dyDescent="0.35">
      <c r="A13" s="18"/>
      <c r="B13" s="18"/>
      <c r="C13" s="18"/>
      <c r="D13" s="18"/>
    </row>
    <row r="14" spans="1:4" ht="21" x14ac:dyDescent="0.35">
      <c r="A14" s="18"/>
      <c r="B14" s="18"/>
      <c r="C14" s="18"/>
      <c r="D14" s="18"/>
    </row>
    <row r="15" spans="1:4" ht="21" x14ac:dyDescent="0.35">
      <c r="A15" s="18"/>
      <c r="B15" s="18"/>
      <c r="C15" s="18"/>
      <c r="D15" s="18"/>
    </row>
    <row r="16" spans="1:4" ht="21" x14ac:dyDescent="0.35">
      <c r="A16" s="18"/>
      <c r="B16" s="18"/>
      <c r="C16" s="18"/>
      <c r="D16" s="18"/>
    </row>
    <row r="17" spans="1:4" ht="21" x14ac:dyDescent="0.35">
      <c r="A17" s="18"/>
      <c r="B17" s="18"/>
      <c r="C17" s="18"/>
      <c r="D17" s="18"/>
    </row>
    <row r="18" spans="1:4" ht="21" x14ac:dyDescent="0.35">
      <c r="A18" s="18"/>
      <c r="B18" s="18"/>
      <c r="C18" s="18"/>
      <c r="D18" s="18"/>
    </row>
    <row r="19" spans="1:4" ht="21" x14ac:dyDescent="0.35">
      <c r="A19" s="18"/>
      <c r="B19" s="18"/>
      <c r="C19" s="18"/>
      <c r="D19" s="18"/>
    </row>
    <row r="20" spans="1:4" ht="21" x14ac:dyDescent="0.35">
      <c r="A20" s="18"/>
      <c r="B20" s="18"/>
      <c r="C20" s="18"/>
      <c r="D20" s="18"/>
    </row>
    <row r="21" spans="1:4" ht="21" x14ac:dyDescent="0.35">
      <c r="A21" s="18"/>
      <c r="B21" s="18"/>
      <c r="C21" s="18"/>
      <c r="D21" s="18"/>
    </row>
    <row r="22" spans="1:4" ht="21" x14ac:dyDescent="0.35">
      <c r="A22" s="18"/>
      <c r="B22" s="18"/>
      <c r="C22" s="18"/>
      <c r="D22" s="18"/>
    </row>
    <row r="23" spans="1:4" ht="21" x14ac:dyDescent="0.35">
      <c r="A23" s="18"/>
      <c r="B23" s="18"/>
      <c r="C23" s="18"/>
      <c r="D23"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893D-70B9-460B-9DE1-58BC5AFDF292}">
  <dimension ref="A1:G31"/>
  <sheetViews>
    <sheetView tabSelected="1" topLeftCell="A8" workbookViewId="0">
      <selection activeCell="C10" sqref="C10:D10"/>
    </sheetView>
  </sheetViews>
  <sheetFormatPr defaultColWidth="8.85546875" defaultRowHeight="26.25" x14ac:dyDescent="0.4"/>
  <cols>
    <col min="1" max="1" width="8.85546875" style="1"/>
    <col min="2" max="2" width="60.42578125" style="1" customWidth="1"/>
    <col min="3" max="3" width="60.7109375" style="2" bestFit="1" customWidth="1"/>
    <col min="4" max="4" width="55.28515625" style="3" bestFit="1" customWidth="1"/>
    <col min="5" max="5" width="24" style="1" customWidth="1"/>
    <col min="6" max="7" width="17.85546875" style="1" customWidth="1"/>
    <col min="8" max="16384" width="8.85546875" style="1"/>
  </cols>
  <sheetData>
    <row r="1" spans="1:7" ht="47.25" x14ac:dyDescent="0.4">
      <c r="A1" s="1" t="s">
        <v>1288</v>
      </c>
      <c r="B1" s="38" t="s">
        <v>1</v>
      </c>
      <c r="C1" s="39" t="s">
        <v>1817</v>
      </c>
      <c r="D1" s="40" t="s">
        <v>1286</v>
      </c>
      <c r="F1" s="43" t="s">
        <v>1042</v>
      </c>
      <c r="G1" s="43" t="s">
        <v>19</v>
      </c>
    </row>
    <row r="2" spans="1:7" ht="46.5" x14ac:dyDescent="0.4">
      <c r="A2" s="1">
        <v>1</v>
      </c>
      <c r="B2" s="38" t="s">
        <v>1290</v>
      </c>
      <c r="C2" s="41">
        <v>3</v>
      </c>
      <c r="D2" s="48" t="s">
        <v>1818</v>
      </c>
      <c r="F2" s="43" t="s">
        <v>1069</v>
      </c>
      <c r="G2" s="43" t="s">
        <v>22</v>
      </c>
    </row>
    <row r="3" spans="1:7" x14ac:dyDescent="0.4">
      <c r="A3" s="1">
        <v>2</v>
      </c>
      <c r="B3" s="38" t="str">
        <f>CONCATENATE("Sub Lord of the Primary House: ",C2)</f>
        <v>Sub Lord of the Primary House: 3</v>
      </c>
      <c r="C3" s="39" t="s">
        <v>37</v>
      </c>
      <c r="D3" s="42"/>
      <c r="F3" s="43" t="s">
        <v>1082</v>
      </c>
      <c r="G3" s="43" t="s">
        <v>3</v>
      </c>
    </row>
    <row r="4" spans="1:7" ht="39" customHeight="1" x14ac:dyDescent="0.4">
      <c r="A4" s="1">
        <v>3</v>
      </c>
      <c r="B4" s="38" t="str">
        <f>CONCATENATE("Is Sub Lord ",C3," Retrograde or Direct?")</f>
        <v>Is Sub Lord Jupiter Retrograde or Direct?</v>
      </c>
      <c r="C4" s="39" t="s">
        <v>1277</v>
      </c>
      <c r="D4" s="42" t="str">
        <f>IF(C4="Retrograde",CONCATENATE("Event is denied if Starlord ",C3," is retrograde"),"")</f>
        <v/>
      </c>
      <c r="F4" s="43" t="s">
        <v>1099</v>
      </c>
      <c r="G4" s="43" t="s">
        <v>28</v>
      </c>
    </row>
    <row r="5" spans="1:7" ht="45" customHeight="1" x14ac:dyDescent="0.4">
      <c r="A5" s="1">
        <v>4</v>
      </c>
      <c r="B5" s="38" t="str">
        <f>CONCATENATE("Sub Lord ",C3," Deposited in which Star?")</f>
        <v>Sub Lord Jupiter Deposited in which Star?</v>
      </c>
      <c r="C5" s="39" t="s">
        <v>1099</v>
      </c>
      <c r="D5" s="42"/>
      <c r="F5" s="43" t="s">
        <v>1111</v>
      </c>
      <c r="G5" s="43" t="s">
        <v>18</v>
      </c>
    </row>
    <row r="6" spans="1:7" x14ac:dyDescent="0.4">
      <c r="A6" s="1">
        <v>5</v>
      </c>
      <c r="B6" s="38" t="str">
        <f>CONCATENATE("Star lord of the Star ",C5," ?")</f>
        <v>Star lord of the Star Rohini ?</v>
      </c>
      <c r="C6" s="39" t="s">
        <v>28</v>
      </c>
      <c r="D6" s="42"/>
      <c r="F6" s="43" t="s">
        <v>1121</v>
      </c>
      <c r="G6" s="43" t="s">
        <v>4</v>
      </c>
    </row>
    <row r="7" spans="1:7" ht="69.75" customHeight="1" x14ac:dyDescent="0.4">
      <c r="A7" s="1">
        <v>6</v>
      </c>
      <c r="B7" s="38" t="str">
        <f>CONCATENATE("Is the Star lord ",C6," retrograde?")</f>
        <v>Is the Star lord Moon retrograde?</v>
      </c>
      <c r="C7" s="39" t="s">
        <v>1277</v>
      </c>
      <c r="D7" s="42" t="str">
        <f>IF(C7="Retrograde",CONCATENATE("Event is denied if Starlord ",C6," is retrograde"),"")</f>
        <v/>
      </c>
      <c r="F7" s="43" t="s">
        <v>1131</v>
      </c>
      <c r="G7" s="43" t="s">
        <v>37</v>
      </c>
    </row>
    <row r="8" spans="1:7" ht="47.25" x14ac:dyDescent="0.4">
      <c r="A8" s="1">
        <v>7</v>
      </c>
      <c r="B8" s="38" t="str">
        <f>CONCATENATE("Signification of the Star lord ",C6," ?")</f>
        <v>Signification of the Star lord Moon ?</v>
      </c>
      <c r="C8" s="2" t="s">
        <v>1819</v>
      </c>
      <c r="D8" s="42" t="s">
        <v>1287</v>
      </c>
      <c r="F8" s="43" t="s">
        <v>1142</v>
      </c>
      <c r="G8" s="43" t="s">
        <v>5</v>
      </c>
    </row>
    <row r="9" spans="1:7" x14ac:dyDescent="0.4">
      <c r="B9" s="44" t="s">
        <v>0</v>
      </c>
      <c r="C9" s="4" t="s">
        <v>1820</v>
      </c>
      <c r="D9" s="5"/>
      <c r="F9" s="43" t="s">
        <v>1152</v>
      </c>
      <c r="G9" s="43" t="s">
        <v>44</v>
      </c>
    </row>
    <row r="10" spans="1:7" ht="183.75" customHeight="1" x14ac:dyDescent="0.4">
      <c r="B10" s="45" t="s">
        <v>2</v>
      </c>
      <c r="C10" s="197" t="s">
        <v>1821</v>
      </c>
      <c r="D10" s="197"/>
      <c r="F10" s="43" t="s">
        <v>1159</v>
      </c>
      <c r="G10" s="43" t="s">
        <v>19</v>
      </c>
    </row>
    <row r="11" spans="1:7" ht="78.75" customHeight="1" x14ac:dyDescent="0.4">
      <c r="B11" s="46" t="s">
        <v>1289</v>
      </c>
      <c r="C11" s="198" t="str">
        <f>D2</f>
        <v>3 = 3, 4, 6, 9, 11 Favorable
3 = 2, 5, 8, 10, 12 Unfavorable</v>
      </c>
      <c r="D11" s="198"/>
      <c r="F11" s="43" t="s">
        <v>1163</v>
      </c>
      <c r="G11" s="43" t="s">
        <v>22</v>
      </c>
    </row>
    <row r="12" spans="1:7" ht="42.75" x14ac:dyDescent="0.4">
      <c r="B12" s="1" t="s">
        <v>1277</v>
      </c>
      <c r="C12" s="2" t="s">
        <v>1285</v>
      </c>
      <c r="D12" s="2" t="s">
        <v>1278</v>
      </c>
      <c r="F12" s="43" t="s">
        <v>1163</v>
      </c>
      <c r="G12" s="43" t="s">
        <v>22</v>
      </c>
    </row>
    <row r="13" spans="1:7" ht="52.5" x14ac:dyDescent="0.4">
      <c r="B13" s="1" t="s">
        <v>1279</v>
      </c>
      <c r="C13" s="2" t="s">
        <v>1280</v>
      </c>
      <c r="D13" s="2" t="s">
        <v>1281</v>
      </c>
      <c r="F13" s="43" t="s">
        <v>1165</v>
      </c>
      <c r="G13" s="43" t="s">
        <v>3</v>
      </c>
    </row>
    <row r="14" spans="1:7" x14ac:dyDescent="0.4">
      <c r="B14" s="3"/>
      <c r="F14" s="43" t="s">
        <v>1167</v>
      </c>
      <c r="G14" s="43" t="s">
        <v>28</v>
      </c>
    </row>
    <row r="15" spans="1:7" x14ac:dyDescent="0.4">
      <c r="B15" s="3"/>
      <c r="F15" s="43" t="s">
        <v>1168</v>
      </c>
      <c r="G15" s="43" t="s">
        <v>18</v>
      </c>
    </row>
    <row r="16" spans="1:7" x14ac:dyDescent="0.4">
      <c r="D16" s="1"/>
      <c r="F16" s="43" t="s">
        <v>1170</v>
      </c>
      <c r="G16" s="43" t="s">
        <v>4</v>
      </c>
    </row>
    <row r="17" spans="2:7" x14ac:dyDescent="0.4">
      <c r="F17" s="43" t="s">
        <v>1172</v>
      </c>
      <c r="G17" s="43" t="s">
        <v>37</v>
      </c>
    </row>
    <row r="18" spans="2:7" x14ac:dyDescent="0.4">
      <c r="F18" s="43" t="s">
        <v>1174</v>
      </c>
      <c r="G18" s="43" t="s">
        <v>5</v>
      </c>
    </row>
    <row r="19" spans="2:7" x14ac:dyDescent="0.4">
      <c r="F19" s="43" t="s">
        <v>1177</v>
      </c>
      <c r="G19" s="43" t="s">
        <v>44</v>
      </c>
    </row>
    <row r="20" spans="2:7" x14ac:dyDescent="0.4">
      <c r="F20" s="43" t="s">
        <v>1180</v>
      </c>
      <c r="G20" s="43" t="s">
        <v>19</v>
      </c>
    </row>
    <row r="21" spans="2:7" ht="42.75" x14ac:dyDescent="0.4">
      <c r="F21" s="43" t="s">
        <v>1183</v>
      </c>
      <c r="G21" s="43" t="s">
        <v>22</v>
      </c>
    </row>
    <row r="22" spans="2:7" ht="42.75" x14ac:dyDescent="0.4">
      <c r="F22" s="43" t="s">
        <v>1184</v>
      </c>
      <c r="G22" s="43" t="s">
        <v>3</v>
      </c>
    </row>
    <row r="23" spans="2:7" x14ac:dyDescent="0.4">
      <c r="F23" s="43" t="s">
        <v>1187</v>
      </c>
      <c r="G23" s="43" t="s">
        <v>28</v>
      </c>
    </row>
    <row r="24" spans="2:7" x14ac:dyDescent="0.4">
      <c r="F24" s="43" t="s">
        <v>1190</v>
      </c>
      <c r="G24" s="43" t="s">
        <v>18</v>
      </c>
    </row>
    <row r="25" spans="2:7" x14ac:dyDescent="0.4">
      <c r="F25" s="43" t="s">
        <v>1193</v>
      </c>
      <c r="G25" s="43" t="s">
        <v>4</v>
      </c>
    </row>
    <row r="26" spans="2:7" ht="42.75" x14ac:dyDescent="0.4">
      <c r="F26" s="43" t="s">
        <v>1194</v>
      </c>
      <c r="G26" s="43" t="s">
        <v>37</v>
      </c>
    </row>
    <row r="27" spans="2:7" ht="42.75" x14ac:dyDescent="0.4">
      <c r="B27" s="3"/>
      <c r="F27" s="43" t="s">
        <v>1196</v>
      </c>
      <c r="G27" s="43" t="s">
        <v>5</v>
      </c>
    </row>
    <row r="28" spans="2:7" x14ac:dyDescent="0.4">
      <c r="F28" s="43" t="s">
        <v>1197</v>
      </c>
      <c r="G28" s="43" t="s">
        <v>44</v>
      </c>
    </row>
    <row r="29" spans="2:7" x14ac:dyDescent="0.4">
      <c r="B29" s="3"/>
    </row>
    <row r="31" spans="2:7" x14ac:dyDescent="0.4">
      <c r="B31" s="3"/>
    </row>
  </sheetData>
  <mergeCells count="2">
    <mergeCell ref="C10:D10"/>
    <mergeCell ref="C11:D11"/>
  </mergeCells>
  <dataValidations count="5">
    <dataValidation type="list" showInputMessage="1" showErrorMessage="1" errorTitle="Select from Dropdown" error="Select one of the 27 stars from the list" promptTitle="Select a Star" prompt="Select one of the 27 stars from the list" sqref="C5" xr:uid="{B2966624-72FB-4E42-A323-738FC4E0C2A6}">
      <formula1>$F$1:$F$28</formula1>
    </dataValidation>
    <dataValidation type="whole" showInputMessage="1" showErrorMessage="1" errorTitle="Enter House Number" error="1 to 12 only" promptTitle="Enter House Number" prompt="Enter between 1 and 12" sqref="C2" xr:uid="{95413885-84D4-4E66-B44B-545215D1F3D0}">
      <formula1>1</formula1>
      <formula2>12</formula2>
    </dataValidation>
    <dataValidation type="list" showInputMessage="1" showErrorMessage="1" errorTitle="Choose from List" error="Choose Retrograde or Direct from the Dropdown List" promptTitle="Is it Retro?" prompt="Select Retrograde or Direct" sqref="C4" xr:uid="{7DBDE232-74E5-4A07-9364-164641537B5E}">
      <formula1>"Retrograde,Direct"</formula1>
    </dataValidation>
    <dataValidation type="list" showInputMessage="1" showErrorMessage="1" errorTitle="Choose from List" error="Choose Retrograde or Direct from the Dropdown List" promptTitle="Is it Retro?" prompt="Is the Starlord Retrograde or Direct_x000a_" sqref="C7" xr:uid="{B98C4BB0-71FC-48E8-9E12-4FC83B24D624}">
      <formula1>"Retrograde,Direct"</formula1>
    </dataValidation>
    <dataValidation type="list" showInputMessage="1" showErrorMessage="1" errorTitle="Select from Dropdown" error="Do not enter a value. Select from the list of planets in the dropdown." sqref="C3 C6" xr:uid="{E71131B2-5035-441B-B43A-3F7653627C9D}">
      <formula1>"Ketu,Venus,Sun,Moon,Mars,Rahu,Jupiter,Saturn,Mercury"</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E0F1B-1AF6-4DAD-A988-91DA5AB1B1A8}">
  <dimension ref="A1:D51"/>
  <sheetViews>
    <sheetView topLeftCell="A10" workbookViewId="0">
      <selection activeCell="B18" sqref="B18:D18"/>
    </sheetView>
  </sheetViews>
  <sheetFormatPr defaultRowHeight="15" x14ac:dyDescent="0.25"/>
  <cols>
    <col min="1" max="1" width="11.85546875" bestFit="1" customWidth="1"/>
    <col min="2" max="2" width="42" customWidth="1"/>
    <col min="3" max="3" width="14" style="36" bestFit="1" customWidth="1"/>
    <col min="4" max="4" width="39.28515625" customWidth="1"/>
  </cols>
  <sheetData>
    <row r="1" spans="1:4" x14ac:dyDescent="0.25">
      <c r="A1" t="s">
        <v>1200</v>
      </c>
      <c r="B1" t="s">
        <v>1</v>
      </c>
      <c r="C1" s="36" t="s">
        <v>1201</v>
      </c>
      <c r="D1" t="s">
        <v>1202</v>
      </c>
    </row>
    <row r="2" spans="1:4" x14ac:dyDescent="0.25">
      <c r="A2">
        <v>1</v>
      </c>
      <c r="B2" t="s">
        <v>1199</v>
      </c>
      <c r="C2" s="36">
        <v>2</v>
      </c>
      <c r="D2" t="s">
        <v>1203</v>
      </c>
    </row>
    <row r="3" spans="1:4" x14ac:dyDescent="0.25">
      <c r="A3">
        <v>2</v>
      </c>
      <c r="B3" t="s">
        <v>1204</v>
      </c>
      <c r="C3" s="36">
        <v>2</v>
      </c>
      <c r="D3" t="s">
        <v>1205</v>
      </c>
    </row>
    <row r="4" spans="1:4" x14ac:dyDescent="0.25">
      <c r="A4">
        <v>3</v>
      </c>
      <c r="B4" t="s">
        <v>1206</v>
      </c>
      <c r="C4" s="36">
        <v>3</v>
      </c>
      <c r="D4" t="s">
        <v>1208</v>
      </c>
    </row>
    <row r="5" spans="1:4" x14ac:dyDescent="0.25">
      <c r="A5">
        <v>4</v>
      </c>
      <c r="B5" t="s">
        <v>1209</v>
      </c>
      <c r="C5" s="36">
        <v>5</v>
      </c>
      <c r="D5" t="s">
        <v>1211</v>
      </c>
    </row>
    <row r="6" spans="1:4" x14ac:dyDescent="0.25">
      <c r="A6">
        <v>5</v>
      </c>
      <c r="B6" s="21" t="s">
        <v>1212</v>
      </c>
      <c r="C6" s="37">
        <v>6</v>
      </c>
      <c r="D6" s="21" t="s">
        <v>1213</v>
      </c>
    </row>
    <row r="7" spans="1:4" x14ac:dyDescent="0.25">
      <c r="A7">
        <v>6</v>
      </c>
      <c r="B7" s="21" t="s">
        <v>1214</v>
      </c>
      <c r="C7" s="37">
        <v>8</v>
      </c>
      <c r="D7" s="21" t="s">
        <v>1203</v>
      </c>
    </row>
    <row r="8" spans="1:4" x14ac:dyDescent="0.25">
      <c r="A8">
        <v>7</v>
      </c>
      <c r="B8" s="21" t="s">
        <v>1215</v>
      </c>
      <c r="C8" s="37">
        <v>8</v>
      </c>
      <c r="D8" s="21" t="s">
        <v>1216</v>
      </c>
    </row>
    <row r="9" spans="1:4" x14ac:dyDescent="0.25">
      <c r="A9">
        <v>8</v>
      </c>
      <c r="B9" s="21" t="s">
        <v>1212</v>
      </c>
      <c r="C9" s="37">
        <v>6</v>
      </c>
      <c r="D9" s="21" t="s">
        <v>1213</v>
      </c>
    </row>
    <row r="10" spans="1:4" x14ac:dyDescent="0.25">
      <c r="A10">
        <v>9</v>
      </c>
      <c r="B10" s="28" t="s">
        <v>1284</v>
      </c>
      <c r="C10" s="192">
        <v>9</v>
      </c>
      <c r="D10" s="28" t="s">
        <v>1217</v>
      </c>
    </row>
    <row r="11" spans="1:4" x14ac:dyDescent="0.25">
      <c r="A11">
        <v>10</v>
      </c>
      <c r="B11" s="21" t="s">
        <v>1816</v>
      </c>
      <c r="C11" s="37">
        <v>6</v>
      </c>
      <c r="D11" s="21" t="s">
        <v>1218</v>
      </c>
    </row>
    <row r="12" spans="1:4" x14ac:dyDescent="0.25">
      <c r="A12">
        <v>11</v>
      </c>
      <c r="B12" s="21" t="s">
        <v>1219</v>
      </c>
      <c r="C12" s="37">
        <v>6</v>
      </c>
      <c r="D12" s="21" t="s">
        <v>1218</v>
      </c>
    </row>
    <row r="13" spans="1:4" x14ac:dyDescent="0.25">
      <c r="A13">
        <v>12</v>
      </c>
      <c r="B13" s="21" t="s">
        <v>1220</v>
      </c>
      <c r="C13" s="37">
        <v>6</v>
      </c>
      <c r="D13" s="21" t="s">
        <v>1221</v>
      </c>
    </row>
    <row r="14" spans="1:4" x14ac:dyDescent="0.25">
      <c r="A14">
        <v>13</v>
      </c>
      <c r="B14" s="21" t="s">
        <v>1222</v>
      </c>
      <c r="C14" s="37">
        <v>1</v>
      </c>
      <c r="D14" s="21" t="s">
        <v>1221</v>
      </c>
    </row>
    <row r="15" spans="1:4" x14ac:dyDescent="0.25">
      <c r="A15">
        <v>14</v>
      </c>
      <c r="B15" s="21" t="s">
        <v>1223</v>
      </c>
      <c r="C15" s="37">
        <v>2</v>
      </c>
      <c r="D15" s="21" t="s">
        <v>1221</v>
      </c>
    </row>
    <row r="16" spans="1:4" x14ac:dyDescent="0.25">
      <c r="A16">
        <v>15</v>
      </c>
      <c r="B16" s="21" t="s">
        <v>1224</v>
      </c>
      <c r="C16" s="37">
        <v>6</v>
      </c>
      <c r="D16" s="21" t="s">
        <v>1221</v>
      </c>
    </row>
    <row r="17" spans="1:4" x14ac:dyDescent="0.25">
      <c r="A17">
        <v>16</v>
      </c>
      <c r="B17" s="21" t="s">
        <v>1225</v>
      </c>
      <c r="C17" s="37">
        <v>6</v>
      </c>
      <c r="D17" s="21" t="s">
        <v>1226</v>
      </c>
    </row>
    <row r="18" spans="1:4" x14ac:dyDescent="0.25">
      <c r="A18">
        <v>17</v>
      </c>
      <c r="B18" s="21" t="s">
        <v>1227</v>
      </c>
      <c r="C18" s="37">
        <v>5</v>
      </c>
      <c r="D18" s="21" t="s">
        <v>1228</v>
      </c>
    </row>
    <row r="19" spans="1:4" x14ac:dyDescent="0.25">
      <c r="A19">
        <v>18</v>
      </c>
      <c r="B19" s="21" t="s">
        <v>1229</v>
      </c>
      <c r="C19" s="37">
        <v>7</v>
      </c>
      <c r="D19" s="21" t="s">
        <v>1228</v>
      </c>
    </row>
    <row r="20" spans="1:4" x14ac:dyDescent="0.25">
      <c r="A20">
        <v>19</v>
      </c>
      <c r="B20" s="21" t="s">
        <v>1230</v>
      </c>
      <c r="C20" s="37">
        <v>9</v>
      </c>
      <c r="D20" s="21" t="s">
        <v>1228</v>
      </c>
    </row>
    <row r="21" spans="1:4" x14ac:dyDescent="0.25">
      <c r="A21">
        <v>20</v>
      </c>
      <c r="B21" s="21" t="s">
        <v>1231</v>
      </c>
      <c r="C21" s="37">
        <v>11</v>
      </c>
      <c r="D21" s="21" t="s">
        <v>1228</v>
      </c>
    </row>
    <row r="22" spans="1:4" x14ac:dyDescent="0.25">
      <c r="A22">
        <v>21</v>
      </c>
      <c r="B22" s="21" t="s">
        <v>1232</v>
      </c>
      <c r="C22" s="37">
        <v>2</v>
      </c>
      <c r="D22" s="21" t="s">
        <v>1228</v>
      </c>
    </row>
    <row r="23" spans="1:4" ht="26.25" x14ac:dyDescent="0.25">
      <c r="A23">
        <v>22</v>
      </c>
      <c r="B23" s="21" t="s">
        <v>1233</v>
      </c>
      <c r="C23" s="37"/>
      <c r="D23" s="21" t="s">
        <v>1228</v>
      </c>
    </row>
    <row r="24" spans="1:4" ht="26.25" x14ac:dyDescent="0.25">
      <c r="A24">
        <v>23</v>
      </c>
      <c r="B24" s="21" t="s">
        <v>1234</v>
      </c>
      <c r="C24" s="37">
        <v>11</v>
      </c>
      <c r="D24" s="21" t="s">
        <v>1228</v>
      </c>
    </row>
    <row r="25" spans="1:4" ht="39" x14ac:dyDescent="0.25">
      <c r="A25">
        <v>24</v>
      </c>
      <c r="B25" s="21" t="s">
        <v>1235</v>
      </c>
      <c r="C25" s="37"/>
      <c r="D25" s="21" t="s">
        <v>1236</v>
      </c>
    </row>
    <row r="26" spans="1:4" x14ac:dyDescent="0.25">
      <c r="A26">
        <v>25</v>
      </c>
      <c r="B26" s="21" t="s">
        <v>1237</v>
      </c>
      <c r="C26" s="37">
        <v>5</v>
      </c>
      <c r="D26" s="21" t="s">
        <v>1238</v>
      </c>
    </row>
    <row r="27" spans="1:4" x14ac:dyDescent="0.25">
      <c r="A27">
        <v>26</v>
      </c>
      <c r="B27" s="21" t="s">
        <v>1239</v>
      </c>
      <c r="C27" s="37">
        <v>1</v>
      </c>
      <c r="D27" s="21" t="s">
        <v>1240</v>
      </c>
    </row>
    <row r="28" spans="1:4" x14ac:dyDescent="0.25">
      <c r="A28">
        <v>27</v>
      </c>
      <c r="B28" s="21" t="s">
        <v>1241</v>
      </c>
      <c r="C28" s="37">
        <v>6</v>
      </c>
      <c r="D28" s="21" t="s">
        <v>1240</v>
      </c>
    </row>
    <row r="29" spans="1:4" x14ac:dyDescent="0.25">
      <c r="A29">
        <v>28</v>
      </c>
      <c r="B29" s="21" t="s">
        <v>1242</v>
      </c>
      <c r="C29" s="37">
        <v>4</v>
      </c>
      <c r="D29" s="21" t="s">
        <v>1207</v>
      </c>
    </row>
    <row r="30" spans="1:4" x14ac:dyDescent="0.25">
      <c r="A30">
        <v>29</v>
      </c>
      <c r="B30" s="21" t="s">
        <v>1243</v>
      </c>
      <c r="C30" s="37">
        <v>6</v>
      </c>
      <c r="D30" s="21" t="s">
        <v>1244</v>
      </c>
    </row>
    <row r="31" spans="1:4" x14ac:dyDescent="0.25">
      <c r="A31">
        <v>30</v>
      </c>
      <c r="B31" s="21" t="s">
        <v>1245</v>
      </c>
      <c r="C31" s="37">
        <v>6</v>
      </c>
      <c r="D31" s="21" t="s">
        <v>1221</v>
      </c>
    </row>
    <row r="32" spans="1:4" x14ac:dyDescent="0.25">
      <c r="A32">
        <v>31</v>
      </c>
      <c r="B32" s="21" t="s">
        <v>1246</v>
      </c>
      <c r="C32" s="37">
        <v>6</v>
      </c>
      <c r="D32" s="22" t="s">
        <v>1247</v>
      </c>
    </row>
    <row r="33" spans="1:4" x14ac:dyDescent="0.25">
      <c r="A33">
        <v>32</v>
      </c>
      <c r="B33" s="21" t="s">
        <v>1248</v>
      </c>
      <c r="C33" s="37">
        <v>6</v>
      </c>
      <c r="D33" s="21" t="s">
        <v>1249</v>
      </c>
    </row>
    <row r="34" spans="1:4" x14ac:dyDescent="0.25">
      <c r="A34">
        <v>33</v>
      </c>
      <c r="B34" s="21" t="s">
        <v>1250</v>
      </c>
      <c r="C34" s="37">
        <v>5</v>
      </c>
      <c r="D34" s="21" t="s">
        <v>1210</v>
      </c>
    </row>
    <row r="35" spans="1:4" x14ac:dyDescent="0.25">
      <c r="A35">
        <v>34</v>
      </c>
      <c r="B35" s="21" t="s">
        <v>1251</v>
      </c>
      <c r="C35" s="37">
        <v>7</v>
      </c>
      <c r="D35" s="21" t="s">
        <v>1252</v>
      </c>
    </row>
    <row r="36" spans="1:4" x14ac:dyDescent="0.25">
      <c r="A36">
        <v>35</v>
      </c>
      <c r="B36" s="21" t="s">
        <v>1253</v>
      </c>
      <c r="C36" s="37">
        <v>7</v>
      </c>
      <c r="D36" s="21" t="s">
        <v>1254</v>
      </c>
    </row>
    <row r="37" spans="1:4" x14ac:dyDescent="0.25">
      <c r="A37" s="47">
        <v>36</v>
      </c>
      <c r="B37" s="21" t="s">
        <v>1255</v>
      </c>
      <c r="C37" s="37">
        <v>7</v>
      </c>
      <c r="D37" s="21" t="s">
        <v>1256</v>
      </c>
    </row>
    <row r="38" spans="1:4" x14ac:dyDescent="0.25">
      <c r="A38">
        <v>37</v>
      </c>
      <c r="B38" s="21" t="s">
        <v>1257</v>
      </c>
      <c r="C38" s="37">
        <v>7</v>
      </c>
      <c r="D38" s="21" t="s">
        <v>1258</v>
      </c>
    </row>
    <row r="39" spans="1:4" x14ac:dyDescent="0.25">
      <c r="A39">
        <v>38</v>
      </c>
      <c r="B39" s="21" t="s">
        <v>1259</v>
      </c>
      <c r="C39" s="37">
        <v>11</v>
      </c>
      <c r="D39" s="21" t="s">
        <v>1260</v>
      </c>
    </row>
    <row r="40" spans="1:4" x14ac:dyDescent="0.25">
      <c r="A40">
        <v>39</v>
      </c>
      <c r="B40" s="21" t="s">
        <v>1261</v>
      </c>
      <c r="C40" s="37">
        <v>11</v>
      </c>
      <c r="D40" s="21" t="s">
        <v>1262</v>
      </c>
    </row>
    <row r="41" spans="1:4" x14ac:dyDescent="0.25">
      <c r="A41">
        <v>40</v>
      </c>
      <c r="B41" s="21" t="s">
        <v>1253</v>
      </c>
      <c r="C41" s="37">
        <v>11</v>
      </c>
      <c r="D41" s="21" t="s">
        <v>1254</v>
      </c>
    </row>
    <row r="42" spans="1:4" x14ac:dyDescent="0.25">
      <c r="A42">
        <v>41</v>
      </c>
      <c r="B42" s="21" t="s">
        <v>1263</v>
      </c>
      <c r="C42" s="37">
        <v>3</v>
      </c>
      <c r="D42" s="21" t="s">
        <v>1264</v>
      </c>
    </row>
    <row r="43" spans="1:4" x14ac:dyDescent="0.25">
      <c r="A43">
        <v>42</v>
      </c>
      <c r="B43" s="21" t="s">
        <v>1265</v>
      </c>
      <c r="C43" s="37">
        <v>3</v>
      </c>
      <c r="D43" s="21" t="s">
        <v>1264</v>
      </c>
    </row>
    <row r="44" spans="1:4" x14ac:dyDescent="0.25">
      <c r="A44">
        <v>43</v>
      </c>
      <c r="B44" s="21" t="s">
        <v>1266</v>
      </c>
      <c r="C44" s="37">
        <v>9</v>
      </c>
      <c r="D44" s="21" t="s">
        <v>1264</v>
      </c>
    </row>
    <row r="45" spans="1:4" x14ac:dyDescent="0.25">
      <c r="A45">
        <v>44</v>
      </c>
      <c r="B45" s="21" t="s">
        <v>1267</v>
      </c>
      <c r="C45" s="37">
        <v>12</v>
      </c>
      <c r="D45" s="21" t="s">
        <v>1264</v>
      </c>
    </row>
    <row r="46" spans="1:4" x14ac:dyDescent="0.25">
      <c r="A46">
        <v>45</v>
      </c>
      <c r="B46" s="21" t="s">
        <v>1268</v>
      </c>
      <c r="C46" s="37">
        <v>12</v>
      </c>
      <c r="D46" s="21" t="s">
        <v>1264</v>
      </c>
    </row>
    <row r="47" spans="1:4" ht="26.25" x14ac:dyDescent="0.25">
      <c r="A47">
        <v>46</v>
      </c>
      <c r="B47" s="21" t="s">
        <v>1269</v>
      </c>
      <c r="C47" s="37">
        <v>9</v>
      </c>
      <c r="D47" s="21" t="s">
        <v>1270</v>
      </c>
    </row>
    <row r="48" spans="1:4" x14ac:dyDescent="0.25">
      <c r="A48">
        <v>47</v>
      </c>
      <c r="B48" s="21" t="s">
        <v>1271</v>
      </c>
      <c r="C48" s="37">
        <v>4</v>
      </c>
      <c r="D48" s="21" t="s">
        <v>1216</v>
      </c>
    </row>
    <row r="49" spans="1:4" x14ac:dyDescent="0.25">
      <c r="A49">
        <v>48</v>
      </c>
      <c r="B49" s="21" t="s">
        <v>1272</v>
      </c>
      <c r="C49" s="37">
        <v>4</v>
      </c>
      <c r="D49" s="21" t="s">
        <v>1273</v>
      </c>
    </row>
    <row r="50" spans="1:4" x14ac:dyDescent="0.25">
      <c r="A50">
        <v>49</v>
      </c>
      <c r="B50" s="21" t="s">
        <v>1274</v>
      </c>
      <c r="C50" s="37">
        <v>4</v>
      </c>
      <c r="D50" s="21" t="s">
        <v>1275</v>
      </c>
    </row>
    <row r="51" spans="1:4" ht="26.25" x14ac:dyDescent="0.25">
      <c r="A51">
        <v>50</v>
      </c>
      <c r="B51" s="21" t="s">
        <v>1276</v>
      </c>
      <c r="C51" s="37">
        <v>7</v>
      </c>
      <c r="D51" s="21" t="s">
        <v>1203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84C9-4A93-4737-93D2-2416CE1B6CF8}">
  <dimension ref="A1:H994"/>
  <sheetViews>
    <sheetView topLeftCell="A62" workbookViewId="0">
      <selection activeCell="H216" sqref="H216"/>
    </sheetView>
  </sheetViews>
  <sheetFormatPr defaultColWidth="14.42578125" defaultRowHeight="15" x14ac:dyDescent="0.25"/>
  <cols>
    <col min="1" max="1" width="8.5703125" style="9" customWidth="1"/>
    <col min="2" max="2" width="9.42578125" style="9" bestFit="1" customWidth="1"/>
    <col min="3" max="3" width="17.5703125" style="9" bestFit="1" customWidth="1"/>
    <col min="4" max="4" width="15" style="9" bestFit="1" customWidth="1"/>
    <col min="5" max="5" width="8.28515625" style="9" bestFit="1" customWidth="1"/>
    <col min="6" max="6" width="7.85546875" style="9" bestFit="1" customWidth="1"/>
    <col min="7" max="7" width="7.7109375" style="9" bestFit="1" customWidth="1"/>
    <col min="8" max="8" width="39.7109375" style="8" customWidth="1"/>
    <col min="9" max="16384" width="14.42578125" style="9"/>
  </cols>
  <sheetData>
    <row r="1" spans="1:8" x14ac:dyDescent="0.25">
      <c r="A1" s="6"/>
      <c r="B1" s="7"/>
      <c r="C1" s="199" t="s">
        <v>6</v>
      </c>
      <c r="D1" s="200"/>
      <c r="E1" s="201"/>
      <c r="F1" s="7"/>
      <c r="G1" s="7"/>
    </row>
    <row r="2" spans="1:8" x14ac:dyDescent="0.25">
      <c r="A2" s="6" t="s">
        <v>7</v>
      </c>
      <c r="B2" s="7" t="s">
        <v>8</v>
      </c>
      <c r="C2" s="7" t="s">
        <v>9</v>
      </c>
      <c r="D2" s="7" t="s">
        <v>10</v>
      </c>
      <c r="E2" s="7" t="s">
        <v>11</v>
      </c>
      <c r="F2" s="7" t="s">
        <v>12</v>
      </c>
      <c r="G2" s="7" t="s">
        <v>13</v>
      </c>
      <c r="H2" s="10" t="s">
        <v>14</v>
      </c>
    </row>
    <row r="3" spans="1:8" ht="30" x14ac:dyDescent="0.25">
      <c r="A3" s="6">
        <v>1</v>
      </c>
      <c r="B3" s="7" t="s">
        <v>15</v>
      </c>
      <c r="C3" s="7" t="s">
        <v>16</v>
      </c>
      <c r="D3" s="7" t="s">
        <v>17</v>
      </c>
      <c r="E3" s="7" t="s">
        <v>18</v>
      </c>
      <c r="F3" s="7" t="s">
        <v>19</v>
      </c>
      <c r="G3" s="7" t="s">
        <v>19</v>
      </c>
      <c r="H3" s="8" t="s">
        <v>20</v>
      </c>
    </row>
    <row r="4" spans="1:8" ht="30" x14ac:dyDescent="0.25">
      <c r="A4" s="6">
        <v>2</v>
      </c>
      <c r="B4" s="7" t="s">
        <v>15</v>
      </c>
      <c r="C4" s="7" t="s">
        <v>17</v>
      </c>
      <c r="D4" s="7" t="s">
        <v>21</v>
      </c>
      <c r="E4" s="7" t="s">
        <v>18</v>
      </c>
      <c r="F4" s="7" t="s">
        <v>19</v>
      </c>
      <c r="G4" s="7" t="s">
        <v>22</v>
      </c>
      <c r="H4" s="8" t="s">
        <v>23</v>
      </c>
    </row>
    <row r="5" spans="1:8" ht="45" x14ac:dyDescent="0.25">
      <c r="A5" s="6">
        <v>3</v>
      </c>
      <c r="B5" s="7" t="s">
        <v>15</v>
      </c>
      <c r="C5" s="7" t="s">
        <v>24</v>
      </c>
      <c r="D5" s="7" t="s">
        <v>25</v>
      </c>
      <c r="E5" s="7" t="s">
        <v>18</v>
      </c>
      <c r="F5" s="7" t="s">
        <v>19</v>
      </c>
      <c r="G5" s="7" t="s">
        <v>3</v>
      </c>
      <c r="H5" s="8" t="s">
        <v>26</v>
      </c>
    </row>
    <row r="6" spans="1:8" ht="45" x14ac:dyDescent="0.25">
      <c r="A6" s="6">
        <v>4</v>
      </c>
      <c r="B6" s="7" t="s">
        <v>15</v>
      </c>
      <c r="C6" s="7" t="s">
        <v>25</v>
      </c>
      <c r="D6" s="7" t="s">
        <v>27</v>
      </c>
      <c r="E6" s="7" t="s">
        <v>18</v>
      </c>
      <c r="F6" s="7" t="s">
        <v>19</v>
      </c>
      <c r="G6" s="7" t="s">
        <v>28</v>
      </c>
      <c r="H6" s="8" t="s">
        <v>29</v>
      </c>
    </row>
    <row r="7" spans="1:8" x14ac:dyDescent="0.25">
      <c r="A7" s="6">
        <v>5</v>
      </c>
      <c r="B7" s="7" t="s">
        <v>15</v>
      </c>
      <c r="C7" s="7" t="s">
        <v>30</v>
      </c>
      <c r="D7" s="7" t="s">
        <v>31</v>
      </c>
      <c r="E7" s="7" t="s">
        <v>18</v>
      </c>
      <c r="F7" s="7" t="s">
        <v>19</v>
      </c>
      <c r="G7" s="7" t="s">
        <v>18</v>
      </c>
      <c r="H7" s="8" t="s">
        <v>32</v>
      </c>
    </row>
    <row r="8" spans="1:8" x14ac:dyDescent="0.25">
      <c r="A8" s="6">
        <v>6</v>
      </c>
      <c r="B8" s="7" t="s">
        <v>15</v>
      </c>
      <c r="C8" s="7" t="s">
        <v>31</v>
      </c>
      <c r="D8" s="7" t="s">
        <v>33</v>
      </c>
      <c r="E8" s="7" t="s">
        <v>18</v>
      </c>
      <c r="F8" s="7" t="s">
        <v>19</v>
      </c>
      <c r="G8" s="7" t="s">
        <v>4</v>
      </c>
      <c r="H8" s="8" t="s">
        <v>34</v>
      </c>
    </row>
    <row r="9" spans="1:8" x14ac:dyDescent="0.25">
      <c r="A9" s="6">
        <v>7</v>
      </c>
      <c r="B9" s="7" t="s">
        <v>15</v>
      </c>
      <c r="C9" s="7" t="s">
        <v>35</v>
      </c>
      <c r="D9" s="7" t="s">
        <v>36</v>
      </c>
      <c r="E9" s="7" t="s">
        <v>18</v>
      </c>
      <c r="F9" s="7" t="s">
        <v>19</v>
      </c>
      <c r="G9" s="7" t="s">
        <v>37</v>
      </c>
      <c r="H9" s="8" t="s">
        <v>38</v>
      </c>
    </row>
    <row r="10" spans="1:8" ht="75" x14ac:dyDescent="0.25">
      <c r="A10" s="6">
        <v>8</v>
      </c>
      <c r="B10" s="7" t="s">
        <v>15</v>
      </c>
      <c r="C10" s="7" t="s">
        <v>39</v>
      </c>
      <c r="D10" s="7" t="s">
        <v>40</v>
      </c>
      <c r="E10" s="7" t="s">
        <v>18</v>
      </c>
      <c r="F10" s="7" t="s">
        <v>19</v>
      </c>
      <c r="G10" s="7" t="s">
        <v>5</v>
      </c>
      <c r="H10" s="8" t="s">
        <v>41</v>
      </c>
    </row>
    <row r="11" spans="1:8" ht="30" x14ac:dyDescent="0.25">
      <c r="A11" s="6">
        <v>9</v>
      </c>
      <c r="B11" s="7" t="s">
        <v>15</v>
      </c>
      <c r="C11" s="7" t="s">
        <v>42</v>
      </c>
      <c r="D11" s="7" t="s">
        <v>43</v>
      </c>
      <c r="E11" s="7" t="s">
        <v>18</v>
      </c>
      <c r="F11" s="7" t="s">
        <v>19</v>
      </c>
      <c r="G11" s="7" t="s">
        <v>44</v>
      </c>
      <c r="H11" s="8" t="s">
        <v>45</v>
      </c>
    </row>
    <row r="12" spans="1:8" x14ac:dyDescent="0.25">
      <c r="A12" s="6">
        <v>10</v>
      </c>
      <c r="B12" s="7" t="s">
        <v>15</v>
      </c>
      <c r="C12" s="7" t="s">
        <v>46</v>
      </c>
      <c r="D12" s="7" t="s">
        <v>47</v>
      </c>
      <c r="E12" s="7" t="s">
        <v>18</v>
      </c>
      <c r="F12" s="7" t="s">
        <v>22</v>
      </c>
      <c r="G12" s="7" t="s">
        <v>22</v>
      </c>
      <c r="H12" s="8" t="s">
        <v>48</v>
      </c>
    </row>
    <row r="13" spans="1:8" x14ac:dyDescent="0.25">
      <c r="A13" s="6">
        <v>11</v>
      </c>
      <c r="B13" s="7" t="s">
        <v>15</v>
      </c>
      <c r="C13" s="7" t="s">
        <v>49</v>
      </c>
      <c r="D13" s="7" t="s">
        <v>50</v>
      </c>
      <c r="E13" s="7" t="s">
        <v>18</v>
      </c>
      <c r="F13" s="7" t="s">
        <v>22</v>
      </c>
      <c r="G13" s="7" t="s">
        <v>3</v>
      </c>
      <c r="H13" s="8" t="s">
        <v>51</v>
      </c>
    </row>
    <row r="14" spans="1:8" x14ac:dyDescent="0.25">
      <c r="A14" s="6">
        <v>12</v>
      </c>
      <c r="B14" s="7" t="s">
        <v>15</v>
      </c>
      <c r="C14" s="7" t="s">
        <v>52</v>
      </c>
      <c r="D14" s="7" t="s">
        <v>53</v>
      </c>
      <c r="E14" s="7" t="s">
        <v>18</v>
      </c>
      <c r="F14" s="7" t="s">
        <v>22</v>
      </c>
      <c r="G14" s="7" t="s">
        <v>28</v>
      </c>
      <c r="H14" s="8" t="s">
        <v>54</v>
      </c>
    </row>
    <row r="15" spans="1:8" x14ac:dyDescent="0.25">
      <c r="A15" s="6">
        <v>13</v>
      </c>
      <c r="B15" s="7" t="s">
        <v>15</v>
      </c>
      <c r="C15" s="7" t="s">
        <v>55</v>
      </c>
      <c r="D15" s="7" t="s">
        <v>56</v>
      </c>
      <c r="E15" s="7" t="s">
        <v>18</v>
      </c>
      <c r="F15" s="7" t="s">
        <v>22</v>
      </c>
      <c r="G15" s="7" t="s">
        <v>18</v>
      </c>
      <c r="H15" s="8" t="s">
        <v>57</v>
      </c>
    </row>
    <row r="16" spans="1:8" x14ac:dyDescent="0.25">
      <c r="A16" s="6">
        <v>14</v>
      </c>
      <c r="B16" s="7" t="s">
        <v>15</v>
      </c>
      <c r="C16" s="7" t="s">
        <v>56</v>
      </c>
      <c r="D16" s="7" t="s">
        <v>58</v>
      </c>
      <c r="E16" s="7" t="s">
        <v>18</v>
      </c>
      <c r="F16" s="7" t="s">
        <v>22</v>
      </c>
      <c r="G16" s="7" t="s">
        <v>4</v>
      </c>
      <c r="H16" s="8" t="s">
        <v>59</v>
      </c>
    </row>
    <row r="17" spans="1:8" x14ac:dyDescent="0.25">
      <c r="A17" s="6">
        <v>15</v>
      </c>
      <c r="B17" s="7" t="s">
        <v>15</v>
      </c>
      <c r="C17" s="7" t="s">
        <v>60</v>
      </c>
      <c r="D17" s="7" t="s">
        <v>61</v>
      </c>
      <c r="E17" s="7" t="s">
        <v>18</v>
      </c>
      <c r="F17" s="7" t="s">
        <v>22</v>
      </c>
      <c r="G17" s="7" t="s">
        <v>37</v>
      </c>
      <c r="H17" s="8" t="s">
        <v>62</v>
      </c>
    </row>
    <row r="18" spans="1:8" x14ac:dyDescent="0.25">
      <c r="A18" s="6">
        <v>16</v>
      </c>
      <c r="B18" s="7" t="s">
        <v>15</v>
      </c>
      <c r="C18" s="7" t="s">
        <v>61</v>
      </c>
      <c r="D18" s="7" t="s">
        <v>63</v>
      </c>
      <c r="E18" s="7" t="s">
        <v>18</v>
      </c>
      <c r="F18" s="7" t="s">
        <v>22</v>
      </c>
      <c r="G18" s="7" t="s">
        <v>5</v>
      </c>
      <c r="H18" s="8" t="s">
        <v>64</v>
      </c>
    </row>
    <row r="19" spans="1:8" x14ac:dyDescent="0.25">
      <c r="A19" s="6">
        <v>17</v>
      </c>
      <c r="B19" s="7" t="s">
        <v>15</v>
      </c>
      <c r="C19" s="7" t="s">
        <v>63</v>
      </c>
      <c r="D19" s="7" t="s">
        <v>65</v>
      </c>
      <c r="E19" s="7" t="s">
        <v>18</v>
      </c>
      <c r="F19" s="7" t="s">
        <v>22</v>
      </c>
      <c r="G19" s="7" t="s">
        <v>44</v>
      </c>
      <c r="H19" s="8" t="s">
        <v>66</v>
      </c>
    </row>
    <row r="20" spans="1:8" ht="30" x14ac:dyDescent="0.25">
      <c r="A20" s="6">
        <v>18</v>
      </c>
      <c r="B20" s="7" t="s">
        <v>15</v>
      </c>
      <c r="C20" s="7" t="s">
        <v>65</v>
      </c>
      <c r="D20" s="7" t="s">
        <v>67</v>
      </c>
      <c r="E20" s="7" t="s">
        <v>18</v>
      </c>
      <c r="F20" s="7" t="s">
        <v>22</v>
      </c>
      <c r="G20" s="7" t="s">
        <v>19</v>
      </c>
      <c r="H20" s="8" t="s">
        <v>68</v>
      </c>
    </row>
    <row r="21" spans="1:8" x14ac:dyDescent="0.25">
      <c r="A21" s="6">
        <v>19</v>
      </c>
      <c r="B21" s="7" t="s">
        <v>15</v>
      </c>
      <c r="C21" s="7" t="s">
        <v>69</v>
      </c>
      <c r="D21" s="7" t="s">
        <v>70</v>
      </c>
      <c r="E21" s="7" t="s">
        <v>18</v>
      </c>
      <c r="F21" s="7" t="s">
        <v>3</v>
      </c>
      <c r="G21" s="7" t="s">
        <v>3</v>
      </c>
      <c r="H21" s="8" t="s">
        <v>71</v>
      </c>
    </row>
    <row r="22" spans="1:8" x14ac:dyDescent="0.25">
      <c r="A22" s="6">
        <v>20</v>
      </c>
      <c r="B22" s="7" t="s">
        <v>15</v>
      </c>
      <c r="C22" s="7" t="s">
        <v>70</v>
      </c>
      <c r="D22" s="7" t="s">
        <v>72</v>
      </c>
      <c r="E22" s="7" t="s">
        <v>18</v>
      </c>
      <c r="F22" s="7" t="s">
        <v>3</v>
      </c>
      <c r="G22" s="7" t="s">
        <v>28</v>
      </c>
      <c r="H22" s="8" t="s">
        <v>73</v>
      </c>
    </row>
    <row r="23" spans="1:8" ht="45" x14ac:dyDescent="0.25">
      <c r="A23" s="6">
        <v>21</v>
      </c>
      <c r="B23" s="7" t="s">
        <v>15</v>
      </c>
      <c r="C23" s="7" t="s">
        <v>72</v>
      </c>
      <c r="D23" s="7" t="s">
        <v>74</v>
      </c>
      <c r="E23" s="7" t="s">
        <v>18</v>
      </c>
      <c r="F23" s="7" t="s">
        <v>3</v>
      </c>
      <c r="G23" s="7" t="s">
        <v>18</v>
      </c>
      <c r="H23" s="8" t="s">
        <v>75</v>
      </c>
    </row>
    <row r="24" spans="1:8" x14ac:dyDescent="0.25">
      <c r="A24" s="6">
        <v>22</v>
      </c>
      <c r="B24" s="7" t="s">
        <v>15</v>
      </c>
      <c r="C24" s="7" t="s">
        <v>74</v>
      </c>
      <c r="D24" s="7" t="s">
        <v>76</v>
      </c>
      <c r="E24" s="7" t="s">
        <v>18</v>
      </c>
      <c r="F24" s="7" t="s">
        <v>3</v>
      </c>
      <c r="G24" s="7" t="s">
        <v>4</v>
      </c>
      <c r="H24" s="8" t="s">
        <v>77</v>
      </c>
    </row>
    <row r="25" spans="1:8" x14ac:dyDescent="0.25">
      <c r="A25" s="6">
        <v>23</v>
      </c>
      <c r="B25" s="7" t="s">
        <v>78</v>
      </c>
      <c r="C25" s="7" t="s">
        <v>16</v>
      </c>
      <c r="D25" s="7" t="s">
        <v>79</v>
      </c>
      <c r="E25" s="7" t="s">
        <v>22</v>
      </c>
      <c r="F25" s="7" t="s">
        <v>3</v>
      </c>
      <c r="G25" s="7" t="s">
        <v>4</v>
      </c>
      <c r="H25" s="8" t="s">
        <v>80</v>
      </c>
    </row>
    <row r="26" spans="1:8" x14ac:dyDescent="0.25">
      <c r="A26" s="6">
        <v>24</v>
      </c>
      <c r="B26" s="7" t="s">
        <v>78</v>
      </c>
      <c r="C26" s="7" t="s">
        <v>79</v>
      </c>
      <c r="D26" s="7" t="s">
        <v>81</v>
      </c>
      <c r="E26" s="7" t="s">
        <v>22</v>
      </c>
      <c r="F26" s="7" t="s">
        <v>3</v>
      </c>
      <c r="G26" s="7" t="s">
        <v>37</v>
      </c>
      <c r="H26" s="8" t="s">
        <v>82</v>
      </c>
    </row>
    <row r="27" spans="1:8" x14ac:dyDescent="0.25">
      <c r="A27" s="6">
        <v>25</v>
      </c>
      <c r="B27" s="7" t="s">
        <v>78</v>
      </c>
      <c r="C27" s="7" t="s">
        <v>21</v>
      </c>
      <c r="D27" s="7" t="s">
        <v>83</v>
      </c>
      <c r="E27" s="7" t="s">
        <v>22</v>
      </c>
      <c r="F27" s="7" t="s">
        <v>3</v>
      </c>
      <c r="G27" s="7" t="s">
        <v>5</v>
      </c>
      <c r="H27" s="8" t="s">
        <v>84</v>
      </c>
    </row>
    <row r="28" spans="1:8" x14ac:dyDescent="0.25">
      <c r="A28" s="6">
        <v>26</v>
      </c>
      <c r="B28" s="7" t="s">
        <v>78</v>
      </c>
      <c r="C28" s="7" t="s">
        <v>85</v>
      </c>
      <c r="D28" s="7" t="s">
        <v>86</v>
      </c>
      <c r="E28" s="7" t="s">
        <v>22</v>
      </c>
      <c r="F28" s="7" t="s">
        <v>3</v>
      </c>
      <c r="G28" s="7" t="s">
        <v>44</v>
      </c>
      <c r="H28" s="8" t="s">
        <v>87</v>
      </c>
    </row>
    <row r="29" spans="1:8" x14ac:dyDescent="0.25">
      <c r="A29" s="6">
        <v>27</v>
      </c>
      <c r="B29" s="7" t="s">
        <v>78</v>
      </c>
      <c r="C29" s="7" t="s">
        <v>86</v>
      </c>
      <c r="D29" s="7" t="s">
        <v>88</v>
      </c>
      <c r="E29" s="7" t="s">
        <v>22</v>
      </c>
      <c r="F29" s="7" t="s">
        <v>3</v>
      </c>
      <c r="G29" s="7" t="s">
        <v>19</v>
      </c>
      <c r="H29" s="8" t="s">
        <v>89</v>
      </c>
    </row>
    <row r="30" spans="1:8" ht="45" x14ac:dyDescent="0.25">
      <c r="A30" s="6">
        <v>28</v>
      </c>
      <c r="B30" s="7" t="s">
        <v>78</v>
      </c>
      <c r="C30" s="7" t="s">
        <v>90</v>
      </c>
      <c r="D30" s="7" t="s">
        <v>91</v>
      </c>
      <c r="E30" s="7" t="s">
        <v>22</v>
      </c>
      <c r="F30" s="7" t="s">
        <v>3</v>
      </c>
      <c r="G30" s="7" t="s">
        <v>22</v>
      </c>
      <c r="H30" s="8" t="s">
        <v>92</v>
      </c>
    </row>
    <row r="31" spans="1:8" x14ac:dyDescent="0.25">
      <c r="A31" s="6">
        <v>29</v>
      </c>
      <c r="B31" s="7" t="s">
        <v>78</v>
      </c>
      <c r="C31" s="7" t="s">
        <v>91</v>
      </c>
      <c r="D31" s="7" t="s">
        <v>93</v>
      </c>
      <c r="E31" s="7" t="s">
        <v>22</v>
      </c>
      <c r="F31" s="7" t="s">
        <v>28</v>
      </c>
      <c r="G31" s="7" t="s">
        <v>28</v>
      </c>
      <c r="H31" s="8" t="s">
        <v>94</v>
      </c>
    </row>
    <row r="32" spans="1:8" ht="30" x14ac:dyDescent="0.25">
      <c r="A32" s="6">
        <v>30</v>
      </c>
      <c r="B32" s="7" t="s">
        <v>78</v>
      </c>
      <c r="C32" s="7" t="s">
        <v>95</v>
      </c>
      <c r="D32" s="7" t="s">
        <v>96</v>
      </c>
      <c r="E32" s="7" t="s">
        <v>22</v>
      </c>
      <c r="F32" s="7" t="s">
        <v>28</v>
      </c>
      <c r="G32" s="7" t="s">
        <v>18</v>
      </c>
      <c r="H32" s="8" t="s">
        <v>97</v>
      </c>
    </row>
    <row r="33" spans="1:8" x14ac:dyDescent="0.25">
      <c r="A33" s="6">
        <v>31</v>
      </c>
      <c r="B33" s="7" t="s">
        <v>78</v>
      </c>
      <c r="C33" s="7" t="s">
        <v>98</v>
      </c>
      <c r="D33" s="7" t="s">
        <v>99</v>
      </c>
      <c r="E33" s="7" t="s">
        <v>22</v>
      </c>
      <c r="F33" s="7" t="s">
        <v>28</v>
      </c>
      <c r="G33" s="7" t="s">
        <v>4</v>
      </c>
      <c r="H33" s="8" t="s">
        <v>100</v>
      </c>
    </row>
    <row r="34" spans="1:8" x14ac:dyDescent="0.25">
      <c r="A34" s="6">
        <v>32</v>
      </c>
      <c r="B34" s="7" t="s">
        <v>78</v>
      </c>
      <c r="C34" s="7" t="s">
        <v>101</v>
      </c>
      <c r="D34" s="7" t="s">
        <v>102</v>
      </c>
      <c r="E34" s="7" t="s">
        <v>22</v>
      </c>
      <c r="F34" s="7" t="s">
        <v>28</v>
      </c>
      <c r="G34" s="7" t="s">
        <v>37</v>
      </c>
      <c r="H34" s="8" t="s">
        <v>103</v>
      </c>
    </row>
    <row r="35" spans="1:8" ht="30" x14ac:dyDescent="0.25">
      <c r="A35" s="6">
        <v>33</v>
      </c>
      <c r="B35" s="7" t="s">
        <v>78</v>
      </c>
      <c r="C35" s="7" t="s">
        <v>104</v>
      </c>
      <c r="D35" s="7" t="s">
        <v>105</v>
      </c>
      <c r="E35" s="7" t="s">
        <v>22</v>
      </c>
      <c r="F35" s="7" t="s">
        <v>28</v>
      </c>
      <c r="G35" s="7" t="s">
        <v>5</v>
      </c>
      <c r="H35" s="8" t="s">
        <v>106</v>
      </c>
    </row>
    <row r="36" spans="1:8" ht="30" x14ac:dyDescent="0.25">
      <c r="A36" s="6">
        <v>34</v>
      </c>
      <c r="B36" s="7" t="s">
        <v>78</v>
      </c>
      <c r="C36" s="7" t="s">
        <v>107</v>
      </c>
      <c r="D36" s="7" t="s">
        <v>108</v>
      </c>
      <c r="E36" s="7" t="s">
        <v>22</v>
      </c>
      <c r="F36" s="7" t="s">
        <v>28</v>
      </c>
      <c r="G36" s="7" t="s">
        <v>44</v>
      </c>
      <c r="H36" s="8" t="s">
        <v>109</v>
      </c>
    </row>
    <row r="37" spans="1:8" x14ac:dyDescent="0.25">
      <c r="A37" s="6">
        <v>35</v>
      </c>
      <c r="B37" s="7" t="s">
        <v>78</v>
      </c>
      <c r="C37" s="7" t="s">
        <v>110</v>
      </c>
      <c r="D37" s="7" t="s">
        <v>111</v>
      </c>
      <c r="E37" s="7" t="s">
        <v>22</v>
      </c>
      <c r="F37" s="7" t="s">
        <v>28</v>
      </c>
      <c r="G37" s="7" t="s">
        <v>19</v>
      </c>
      <c r="H37" s="8" t="s">
        <v>112</v>
      </c>
    </row>
    <row r="38" spans="1:8" x14ac:dyDescent="0.25">
      <c r="A38" s="6">
        <v>36</v>
      </c>
      <c r="B38" s="7" t="s">
        <v>78</v>
      </c>
      <c r="C38" s="7" t="s">
        <v>113</v>
      </c>
      <c r="D38" s="7" t="s">
        <v>114</v>
      </c>
      <c r="E38" s="7" t="s">
        <v>22</v>
      </c>
      <c r="F38" s="7" t="s">
        <v>28</v>
      </c>
      <c r="G38" s="7" t="s">
        <v>22</v>
      </c>
      <c r="H38" s="8" t="s">
        <v>115</v>
      </c>
    </row>
    <row r="39" spans="1:8" ht="30" x14ac:dyDescent="0.25">
      <c r="A39" s="6">
        <v>37</v>
      </c>
      <c r="B39" s="7" t="s">
        <v>78</v>
      </c>
      <c r="C39" s="7" t="s">
        <v>116</v>
      </c>
      <c r="D39" s="7" t="s">
        <v>117</v>
      </c>
      <c r="E39" s="7" t="s">
        <v>22</v>
      </c>
      <c r="F39" s="7" t="s">
        <v>28</v>
      </c>
      <c r="G39" s="7" t="s">
        <v>3</v>
      </c>
      <c r="H39" s="8" t="s">
        <v>118</v>
      </c>
    </row>
    <row r="40" spans="1:8" ht="30" x14ac:dyDescent="0.25">
      <c r="A40" s="6">
        <v>38</v>
      </c>
      <c r="B40" s="7" t="s">
        <v>78</v>
      </c>
      <c r="C40" s="7" t="s">
        <v>117</v>
      </c>
      <c r="D40" s="7" t="s">
        <v>119</v>
      </c>
      <c r="E40" s="7" t="s">
        <v>22</v>
      </c>
      <c r="F40" s="7" t="s">
        <v>18</v>
      </c>
      <c r="G40" s="7" t="s">
        <v>18</v>
      </c>
      <c r="H40" s="8" t="s">
        <v>120</v>
      </c>
    </row>
    <row r="41" spans="1:8" ht="30" x14ac:dyDescent="0.25">
      <c r="A41" s="6">
        <v>39</v>
      </c>
      <c r="B41" s="7" t="s">
        <v>78</v>
      </c>
      <c r="C41" s="7" t="s">
        <v>121</v>
      </c>
      <c r="D41" s="7" t="s">
        <v>122</v>
      </c>
      <c r="E41" s="7" t="s">
        <v>22</v>
      </c>
      <c r="F41" s="7" t="s">
        <v>18</v>
      </c>
      <c r="G41" s="7" t="s">
        <v>4</v>
      </c>
      <c r="H41" s="8" t="s">
        <v>123</v>
      </c>
    </row>
    <row r="42" spans="1:8" ht="30" x14ac:dyDescent="0.25">
      <c r="A42" s="6">
        <v>40</v>
      </c>
      <c r="B42" s="7" t="s">
        <v>78</v>
      </c>
      <c r="C42" s="7" t="s">
        <v>124</v>
      </c>
      <c r="D42" s="7" t="s">
        <v>125</v>
      </c>
      <c r="E42" s="7" t="s">
        <v>22</v>
      </c>
      <c r="F42" s="7" t="s">
        <v>18</v>
      </c>
      <c r="G42" s="7" t="s">
        <v>37</v>
      </c>
      <c r="H42" s="8" t="s">
        <v>126</v>
      </c>
    </row>
    <row r="43" spans="1:8" ht="30" x14ac:dyDescent="0.25">
      <c r="A43" s="6">
        <v>41</v>
      </c>
      <c r="B43" s="7" t="s">
        <v>78</v>
      </c>
      <c r="C43" s="7" t="s">
        <v>127</v>
      </c>
      <c r="D43" s="7" t="s">
        <v>128</v>
      </c>
      <c r="E43" s="7" t="s">
        <v>22</v>
      </c>
      <c r="F43" s="7" t="s">
        <v>18</v>
      </c>
      <c r="G43" s="7" t="s">
        <v>5</v>
      </c>
      <c r="H43" s="8" t="s">
        <v>129</v>
      </c>
    </row>
    <row r="44" spans="1:8" x14ac:dyDescent="0.25">
      <c r="A44" s="6">
        <v>42</v>
      </c>
      <c r="B44" s="7" t="s">
        <v>130</v>
      </c>
      <c r="C44" s="7" t="s">
        <v>16</v>
      </c>
      <c r="D44" s="7" t="s">
        <v>131</v>
      </c>
      <c r="E44" s="7" t="s">
        <v>44</v>
      </c>
      <c r="F44" s="7" t="s">
        <v>18</v>
      </c>
      <c r="G44" s="7" t="s">
        <v>44</v>
      </c>
      <c r="H44" s="8" t="s">
        <v>132</v>
      </c>
    </row>
    <row r="45" spans="1:8" ht="30" x14ac:dyDescent="0.25">
      <c r="A45" s="6">
        <v>43</v>
      </c>
      <c r="B45" s="7" t="s">
        <v>130</v>
      </c>
      <c r="C45" s="7" t="s">
        <v>131</v>
      </c>
      <c r="D45" s="7" t="s">
        <v>133</v>
      </c>
      <c r="E45" s="7" t="s">
        <v>44</v>
      </c>
      <c r="F45" s="7" t="s">
        <v>18</v>
      </c>
      <c r="G45" s="7" t="s">
        <v>19</v>
      </c>
      <c r="H45" s="8" t="s">
        <v>134</v>
      </c>
    </row>
    <row r="46" spans="1:8" ht="45" x14ac:dyDescent="0.25">
      <c r="A46" s="6">
        <v>44</v>
      </c>
      <c r="B46" s="7" t="s">
        <v>130</v>
      </c>
      <c r="C46" s="7" t="s">
        <v>135</v>
      </c>
      <c r="D46" s="7" t="s">
        <v>136</v>
      </c>
      <c r="E46" s="7" t="s">
        <v>44</v>
      </c>
      <c r="F46" s="7" t="s">
        <v>18</v>
      </c>
      <c r="G46" s="7" t="s">
        <v>22</v>
      </c>
      <c r="H46" s="8" t="s">
        <v>137</v>
      </c>
    </row>
    <row r="47" spans="1:8" x14ac:dyDescent="0.25">
      <c r="A47" s="6">
        <v>45</v>
      </c>
      <c r="B47" s="7" t="s">
        <v>130</v>
      </c>
      <c r="C47" s="7" t="s">
        <v>138</v>
      </c>
      <c r="D47" s="7" t="s">
        <v>31</v>
      </c>
      <c r="E47" s="7" t="s">
        <v>44</v>
      </c>
      <c r="F47" s="7" t="s">
        <v>18</v>
      </c>
      <c r="G47" s="7" t="s">
        <v>3</v>
      </c>
      <c r="H47" s="8" t="s">
        <v>139</v>
      </c>
    </row>
    <row r="48" spans="1:8" ht="30" x14ac:dyDescent="0.25">
      <c r="A48" s="6">
        <v>46</v>
      </c>
      <c r="B48" s="7" t="s">
        <v>130</v>
      </c>
      <c r="C48" s="7" t="s">
        <v>140</v>
      </c>
      <c r="D48" s="7" t="s">
        <v>141</v>
      </c>
      <c r="E48" s="7" t="s">
        <v>44</v>
      </c>
      <c r="F48" s="7" t="s">
        <v>18</v>
      </c>
      <c r="G48" s="7" t="s">
        <v>28</v>
      </c>
      <c r="H48" s="8" t="s">
        <v>142</v>
      </c>
    </row>
    <row r="49" spans="1:8" x14ac:dyDescent="0.25">
      <c r="A49" s="6">
        <v>47</v>
      </c>
      <c r="B49" s="7" t="s">
        <v>130</v>
      </c>
      <c r="C49" s="7" t="s">
        <v>141</v>
      </c>
      <c r="D49" s="7" t="s">
        <v>143</v>
      </c>
      <c r="E49" s="7" t="s">
        <v>44</v>
      </c>
      <c r="F49" s="7" t="s">
        <v>4</v>
      </c>
      <c r="G49" s="7" t="s">
        <v>4</v>
      </c>
      <c r="H49" s="8" t="s">
        <v>144</v>
      </c>
    </row>
    <row r="50" spans="1:8" x14ac:dyDescent="0.25">
      <c r="A50" s="6">
        <v>48</v>
      </c>
      <c r="B50" s="7" t="s">
        <v>130</v>
      </c>
      <c r="C50" s="7" t="s">
        <v>145</v>
      </c>
      <c r="D50" s="7" t="s">
        <v>146</v>
      </c>
      <c r="E50" s="7" t="s">
        <v>44</v>
      </c>
      <c r="F50" s="7" t="s">
        <v>4</v>
      </c>
      <c r="G50" s="7" t="s">
        <v>37</v>
      </c>
      <c r="H50" s="8" t="s">
        <v>147</v>
      </c>
    </row>
    <row r="51" spans="1:8" x14ac:dyDescent="0.25">
      <c r="A51" s="6">
        <v>49</v>
      </c>
      <c r="B51" s="7" t="s">
        <v>130</v>
      </c>
      <c r="C51" s="7" t="s">
        <v>146</v>
      </c>
      <c r="D51" s="7" t="s">
        <v>148</v>
      </c>
      <c r="E51" s="7" t="s">
        <v>44</v>
      </c>
      <c r="F51" s="7" t="s">
        <v>4</v>
      </c>
      <c r="G51" s="7" t="s">
        <v>5</v>
      </c>
      <c r="H51" s="8" t="s">
        <v>149</v>
      </c>
    </row>
    <row r="52" spans="1:8" x14ac:dyDescent="0.25">
      <c r="A52" s="6">
        <v>50</v>
      </c>
      <c r="B52" s="7" t="s">
        <v>130</v>
      </c>
      <c r="C52" s="7" t="s">
        <v>150</v>
      </c>
      <c r="D52" s="7" t="s">
        <v>151</v>
      </c>
      <c r="E52" s="7" t="s">
        <v>44</v>
      </c>
      <c r="F52" s="7" t="s">
        <v>4</v>
      </c>
      <c r="G52" s="7" t="s">
        <v>44</v>
      </c>
      <c r="H52" s="8" t="s">
        <v>152</v>
      </c>
    </row>
    <row r="53" spans="1:8" x14ac:dyDescent="0.25">
      <c r="A53" s="6">
        <v>51</v>
      </c>
      <c r="B53" s="7" t="s">
        <v>130</v>
      </c>
      <c r="C53" s="7" t="s">
        <v>151</v>
      </c>
      <c r="D53" s="7" t="s">
        <v>153</v>
      </c>
      <c r="E53" s="7" t="s">
        <v>44</v>
      </c>
      <c r="F53" s="7" t="s">
        <v>4</v>
      </c>
      <c r="G53" s="7" t="s">
        <v>19</v>
      </c>
      <c r="H53" s="8" t="s">
        <v>154</v>
      </c>
    </row>
    <row r="54" spans="1:8" x14ac:dyDescent="0.25">
      <c r="A54" s="6">
        <v>52</v>
      </c>
      <c r="B54" s="7" t="s">
        <v>130</v>
      </c>
      <c r="C54" s="7" t="s">
        <v>153</v>
      </c>
      <c r="D54" s="7" t="s">
        <v>155</v>
      </c>
      <c r="E54" s="7" t="s">
        <v>44</v>
      </c>
      <c r="F54" s="7" t="s">
        <v>4</v>
      </c>
      <c r="G54" s="7" t="s">
        <v>22</v>
      </c>
      <c r="H54" s="8" t="s">
        <v>156</v>
      </c>
    </row>
    <row r="55" spans="1:8" x14ac:dyDescent="0.25">
      <c r="A55" s="6">
        <v>53</v>
      </c>
      <c r="B55" s="7" t="s">
        <v>130</v>
      </c>
      <c r="C55" s="7" t="s">
        <v>155</v>
      </c>
      <c r="D55" s="7" t="s">
        <v>56</v>
      </c>
      <c r="E55" s="7" t="s">
        <v>44</v>
      </c>
      <c r="F55" s="7" t="s">
        <v>4</v>
      </c>
      <c r="G55" s="7" t="s">
        <v>3</v>
      </c>
      <c r="H55" s="8" t="s">
        <v>157</v>
      </c>
    </row>
    <row r="56" spans="1:8" x14ac:dyDescent="0.25">
      <c r="A56" s="6">
        <v>54</v>
      </c>
      <c r="B56" s="7" t="s">
        <v>130</v>
      </c>
      <c r="C56" s="7" t="s">
        <v>158</v>
      </c>
      <c r="D56" s="7" t="s">
        <v>159</v>
      </c>
      <c r="E56" s="7" t="s">
        <v>44</v>
      </c>
      <c r="F56" s="7" t="s">
        <v>4</v>
      </c>
      <c r="G56" s="7" t="s">
        <v>28</v>
      </c>
      <c r="H56" s="8" t="s">
        <v>160</v>
      </c>
    </row>
    <row r="57" spans="1:8" x14ac:dyDescent="0.25">
      <c r="A57" s="6">
        <v>55</v>
      </c>
      <c r="B57" s="7" t="s">
        <v>130</v>
      </c>
      <c r="C57" s="7" t="s">
        <v>161</v>
      </c>
      <c r="D57" s="7" t="s">
        <v>162</v>
      </c>
      <c r="E57" s="7" t="s">
        <v>44</v>
      </c>
      <c r="F57" s="7" t="s">
        <v>4</v>
      </c>
      <c r="G57" s="7" t="s">
        <v>18</v>
      </c>
      <c r="H57" s="8" t="s">
        <v>163</v>
      </c>
    </row>
    <row r="58" spans="1:8" x14ac:dyDescent="0.25">
      <c r="A58" s="6">
        <v>56</v>
      </c>
      <c r="B58" s="7" t="s">
        <v>130</v>
      </c>
      <c r="C58" s="7" t="s">
        <v>162</v>
      </c>
      <c r="D58" s="7" t="s">
        <v>164</v>
      </c>
      <c r="E58" s="7" t="s">
        <v>44</v>
      </c>
      <c r="F58" s="7" t="s">
        <v>37</v>
      </c>
      <c r="G58" s="7" t="s">
        <v>37</v>
      </c>
      <c r="H58" s="8" t="s">
        <v>165</v>
      </c>
    </row>
    <row r="59" spans="1:8" ht="45" x14ac:dyDescent="0.25">
      <c r="A59" s="6">
        <v>57</v>
      </c>
      <c r="B59" s="7" t="s">
        <v>130</v>
      </c>
      <c r="C59" s="7" t="s">
        <v>166</v>
      </c>
      <c r="D59" s="7" t="s">
        <v>167</v>
      </c>
      <c r="E59" s="7" t="s">
        <v>44</v>
      </c>
      <c r="F59" s="7" t="s">
        <v>37</v>
      </c>
      <c r="G59" s="7" t="s">
        <v>5</v>
      </c>
      <c r="H59" s="8" t="s">
        <v>168</v>
      </c>
    </row>
    <row r="60" spans="1:8" x14ac:dyDescent="0.25">
      <c r="A60" s="6">
        <v>58</v>
      </c>
      <c r="B60" s="7" t="s">
        <v>130</v>
      </c>
      <c r="C60" s="7" t="s">
        <v>169</v>
      </c>
      <c r="D60" s="7" t="s">
        <v>170</v>
      </c>
      <c r="E60" s="7" t="s">
        <v>44</v>
      </c>
      <c r="F60" s="7" t="s">
        <v>37</v>
      </c>
      <c r="G60" s="7" t="s">
        <v>44</v>
      </c>
      <c r="H60" s="8" t="s">
        <v>171</v>
      </c>
    </row>
    <row r="61" spans="1:8" ht="30" x14ac:dyDescent="0.25">
      <c r="A61" s="6">
        <v>59</v>
      </c>
      <c r="B61" s="7" t="s">
        <v>130</v>
      </c>
      <c r="C61" s="7" t="s">
        <v>172</v>
      </c>
      <c r="D61" s="7" t="s">
        <v>173</v>
      </c>
      <c r="E61" s="7" t="s">
        <v>44</v>
      </c>
      <c r="F61" s="7" t="s">
        <v>37</v>
      </c>
      <c r="G61" s="7" t="s">
        <v>19</v>
      </c>
      <c r="H61" s="8" t="s">
        <v>174</v>
      </c>
    </row>
    <row r="62" spans="1:8" x14ac:dyDescent="0.25">
      <c r="A62" s="6">
        <v>60</v>
      </c>
      <c r="B62" s="7" t="s">
        <v>130</v>
      </c>
      <c r="C62" s="7" t="s">
        <v>175</v>
      </c>
      <c r="D62" s="7" t="s">
        <v>176</v>
      </c>
      <c r="E62" s="7" t="s">
        <v>44</v>
      </c>
      <c r="F62" s="7" t="s">
        <v>37</v>
      </c>
      <c r="G62" s="7" t="s">
        <v>22</v>
      </c>
      <c r="H62" s="8" t="s">
        <v>177</v>
      </c>
    </row>
    <row r="63" spans="1:8" ht="30" x14ac:dyDescent="0.25">
      <c r="A63" s="6">
        <v>61</v>
      </c>
      <c r="B63" s="7" t="s">
        <v>130</v>
      </c>
      <c r="C63" s="7" t="s">
        <v>176</v>
      </c>
      <c r="D63" s="7" t="s">
        <v>178</v>
      </c>
      <c r="E63" s="7" t="s">
        <v>44</v>
      </c>
      <c r="F63" s="7" t="s">
        <v>37</v>
      </c>
      <c r="G63" s="7" t="s">
        <v>3</v>
      </c>
      <c r="H63" s="8" t="s">
        <v>179</v>
      </c>
    </row>
    <row r="64" spans="1:8" x14ac:dyDescent="0.25">
      <c r="A64" s="6">
        <v>62</v>
      </c>
      <c r="B64" s="7" t="s">
        <v>130</v>
      </c>
      <c r="C64" s="7" t="s">
        <v>178</v>
      </c>
      <c r="D64" s="7" t="s">
        <v>76</v>
      </c>
      <c r="E64" s="7" t="s">
        <v>44</v>
      </c>
      <c r="F64" s="7" t="s">
        <v>37</v>
      </c>
      <c r="G64" s="7" t="s">
        <v>28</v>
      </c>
      <c r="H64" s="8" t="s">
        <v>180</v>
      </c>
    </row>
    <row r="65" spans="1:8" ht="30" x14ac:dyDescent="0.25">
      <c r="A65" s="6">
        <v>63</v>
      </c>
      <c r="B65" s="7" t="s">
        <v>181</v>
      </c>
      <c r="C65" s="7" t="s">
        <v>16</v>
      </c>
      <c r="D65" s="7" t="s">
        <v>182</v>
      </c>
      <c r="E65" s="7" t="s">
        <v>28</v>
      </c>
      <c r="F65" s="7" t="s">
        <v>37</v>
      </c>
      <c r="G65" s="7" t="s">
        <v>28</v>
      </c>
      <c r="H65" s="8" t="s">
        <v>183</v>
      </c>
    </row>
    <row r="66" spans="1:8" ht="30" x14ac:dyDescent="0.25">
      <c r="A66" s="6">
        <v>64</v>
      </c>
      <c r="B66" s="7" t="s">
        <v>181</v>
      </c>
      <c r="C66" s="7" t="s">
        <v>182</v>
      </c>
      <c r="D66" s="7" t="s">
        <v>184</v>
      </c>
      <c r="E66" s="7" t="s">
        <v>28</v>
      </c>
      <c r="F66" s="7" t="s">
        <v>37</v>
      </c>
      <c r="G66" s="7" t="s">
        <v>18</v>
      </c>
      <c r="H66" s="8" t="s">
        <v>185</v>
      </c>
    </row>
    <row r="67" spans="1:8" ht="30" x14ac:dyDescent="0.25">
      <c r="A67" s="6">
        <v>65</v>
      </c>
      <c r="B67" s="7" t="s">
        <v>181</v>
      </c>
      <c r="C67" s="7" t="s">
        <v>186</v>
      </c>
      <c r="D67" s="7" t="s">
        <v>187</v>
      </c>
      <c r="E67" s="7" t="s">
        <v>28</v>
      </c>
      <c r="F67" s="7" t="s">
        <v>37</v>
      </c>
      <c r="G67" s="7" t="s">
        <v>4</v>
      </c>
      <c r="H67" s="8" t="s">
        <v>188</v>
      </c>
    </row>
    <row r="68" spans="1:8" ht="30" x14ac:dyDescent="0.25">
      <c r="A68" s="6">
        <v>66</v>
      </c>
      <c r="B68" s="7" t="s">
        <v>181</v>
      </c>
      <c r="C68" s="7" t="s">
        <v>189</v>
      </c>
      <c r="D68" s="7" t="s">
        <v>190</v>
      </c>
      <c r="E68" s="7" t="s">
        <v>28</v>
      </c>
      <c r="F68" s="7" t="s">
        <v>5</v>
      </c>
      <c r="G68" s="7" t="s">
        <v>5</v>
      </c>
      <c r="H68" s="8" t="s">
        <v>191</v>
      </c>
    </row>
    <row r="69" spans="1:8" x14ac:dyDescent="0.25">
      <c r="A69" s="6">
        <v>67</v>
      </c>
      <c r="B69" s="7" t="s">
        <v>181</v>
      </c>
      <c r="C69" s="7" t="s">
        <v>190</v>
      </c>
      <c r="D69" s="7" t="s">
        <v>186</v>
      </c>
      <c r="E69" s="7" t="s">
        <v>28</v>
      </c>
      <c r="F69" s="7" t="s">
        <v>5</v>
      </c>
      <c r="G69" s="7" t="s">
        <v>44</v>
      </c>
      <c r="H69" s="8" t="s">
        <v>192</v>
      </c>
    </row>
    <row r="70" spans="1:8" ht="30" x14ac:dyDescent="0.25">
      <c r="A70" s="6">
        <v>68</v>
      </c>
      <c r="B70" s="7" t="s">
        <v>181</v>
      </c>
      <c r="C70" s="7" t="s">
        <v>186</v>
      </c>
      <c r="D70" s="7" t="s">
        <v>193</v>
      </c>
      <c r="E70" s="7" t="s">
        <v>28</v>
      </c>
      <c r="F70" s="7" t="s">
        <v>5</v>
      </c>
      <c r="G70" s="7" t="s">
        <v>19</v>
      </c>
      <c r="H70" s="8" t="s">
        <v>194</v>
      </c>
    </row>
    <row r="71" spans="1:8" x14ac:dyDescent="0.25">
      <c r="A71" s="6">
        <v>69</v>
      </c>
      <c r="B71" s="7" t="s">
        <v>181</v>
      </c>
      <c r="C71" s="7" t="s">
        <v>195</v>
      </c>
      <c r="D71" s="7" t="s">
        <v>196</v>
      </c>
      <c r="E71" s="7" t="s">
        <v>28</v>
      </c>
      <c r="F71" s="7" t="s">
        <v>5</v>
      </c>
      <c r="G71" s="7" t="s">
        <v>22</v>
      </c>
      <c r="H71" s="8" t="s">
        <v>197</v>
      </c>
    </row>
    <row r="72" spans="1:8" x14ac:dyDescent="0.25">
      <c r="A72" s="6">
        <v>70</v>
      </c>
      <c r="B72" s="7" t="s">
        <v>181</v>
      </c>
      <c r="C72" s="7" t="s">
        <v>198</v>
      </c>
      <c r="D72" s="7" t="s">
        <v>199</v>
      </c>
      <c r="E72" s="7" t="s">
        <v>28</v>
      </c>
      <c r="F72" s="7" t="s">
        <v>5</v>
      </c>
      <c r="G72" s="7" t="s">
        <v>3</v>
      </c>
      <c r="H72" s="8" t="s">
        <v>200</v>
      </c>
    </row>
    <row r="73" spans="1:8" ht="30" x14ac:dyDescent="0.25">
      <c r="A73" s="6">
        <v>71</v>
      </c>
      <c r="B73" s="7" t="s">
        <v>181</v>
      </c>
      <c r="C73" s="7" t="s">
        <v>201</v>
      </c>
      <c r="D73" s="7" t="s">
        <v>202</v>
      </c>
      <c r="E73" s="7" t="s">
        <v>28</v>
      </c>
      <c r="F73" s="7" t="s">
        <v>5</v>
      </c>
      <c r="G73" s="7" t="s">
        <v>28</v>
      </c>
      <c r="H73" s="8" t="s">
        <v>203</v>
      </c>
    </row>
    <row r="74" spans="1:8" ht="30" x14ac:dyDescent="0.25">
      <c r="A74" s="6">
        <v>72</v>
      </c>
      <c r="B74" s="7" t="s">
        <v>181</v>
      </c>
      <c r="C74" s="7" t="s">
        <v>204</v>
      </c>
      <c r="D74" s="7" t="s">
        <v>205</v>
      </c>
      <c r="E74" s="7" t="s">
        <v>28</v>
      </c>
      <c r="F74" s="7" t="s">
        <v>5</v>
      </c>
      <c r="G74" s="7" t="s">
        <v>18</v>
      </c>
      <c r="H74" s="8" t="s">
        <v>206</v>
      </c>
    </row>
    <row r="75" spans="1:8" ht="30" x14ac:dyDescent="0.25">
      <c r="A75" s="6">
        <v>73</v>
      </c>
      <c r="B75" s="7" t="s">
        <v>181</v>
      </c>
      <c r="C75" s="7" t="s">
        <v>207</v>
      </c>
      <c r="D75" s="7" t="s">
        <v>208</v>
      </c>
      <c r="E75" s="7" t="s">
        <v>28</v>
      </c>
      <c r="F75" s="7" t="s">
        <v>5</v>
      </c>
      <c r="G75" s="7" t="s">
        <v>4</v>
      </c>
      <c r="H75" s="8" t="s">
        <v>209</v>
      </c>
    </row>
    <row r="76" spans="1:8" x14ac:dyDescent="0.25">
      <c r="A76" s="6">
        <v>74</v>
      </c>
      <c r="B76" s="7" t="s">
        <v>181</v>
      </c>
      <c r="C76" s="7" t="s">
        <v>208</v>
      </c>
      <c r="D76" s="7" t="s">
        <v>210</v>
      </c>
      <c r="E76" s="7" t="s">
        <v>28</v>
      </c>
      <c r="F76" s="7" t="s">
        <v>5</v>
      </c>
      <c r="G76" s="7" t="s">
        <v>37</v>
      </c>
      <c r="H76" s="8" t="s">
        <v>211</v>
      </c>
    </row>
    <row r="77" spans="1:8" ht="45" x14ac:dyDescent="0.25">
      <c r="A77" s="6">
        <v>75</v>
      </c>
      <c r="B77" s="7" t="s">
        <v>181</v>
      </c>
      <c r="C77" s="7" t="s">
        <v>212</v>
      </c>
      <c r="D77" s="7" t="s">
        <v>213</v>
      </c>
      <c r="E77" s="7" t="s">
        <v>28</v>
      </c>
      <c r="F77" s="7" t="s">
        <v>44</v>
      </c>
      <c r="G77" s="7" t="s">
        <v>44</v>
      </c>
      <c r="H77" s="8" t="s">
        <v>214</v>
      </c>
    </row>
    <row r="78" spans="1:8" x14ac:dyDescent="0.25">
      <c r="A78" s="6">
        <v>76</v>
      </c>
      <c r="B78" s="7" t="s">
        <v>181</v>
      </c>
      <c r="C78" s="7" t="s">
        <v>215</v>
      </c>
      <c r="D78" s="7" t="s">
        <v>216</v>
      </c>
      <c r="E78" s="7" t="s">
        <v>28</v>
      </c>
      <c r="F78" s="7" t="s">
        <v>44</v>
      </c>
      <c r="G78" s="7" t="s">
        <v>19</v>
      </c>
      <c r="H78" s="8" t="s">
        <v>217</v>
      </c>
    </row>
    <row r="79" spans="1:8" x14ac:dyDescent="0.25">
      <c r="A79" s="6">
        <v>77</v>
      </c>
      <c r="B79" s="7" t="s">
        <v>181</v>
      </c>
      <c r="C79" s="7" t="s">
        <v>216</v>
      </c>
      <c r="D79" s="7" t="s">
        <v>218</v>
      </c>
      <c r="E79" s="7" t="s">
        <v>28</v>
      </c>
      <c r="F79" s="7" t="s">
        <v>44</v>
      </c>
      <c r="G79" s="7" t="s">
        <v>22</v>
      </c>
      <c r="H79" s="8" t="s">
        <v>219</v>
      </c>
    </row>
    <row r="80" spans="1:8" ht="30" x14ac:dyDescent="0.25">
      <c r="A80" s="6">
        <v>78</v>
      </c>
      <c r="B80" s="7" t="s">
        <v>181</v>
      </c>
      <c r="C80" s="7" t="s">
        <v>218</v>
      </c>
      <c r="D80" s="7" t="s">
        <v>220</v>
      </c>
      <c r="E80" s="7" t="s">
        <v>28</v>
      </c>
      <c r="F80" s="7" t="s">
        <v>44</v>
      </c>
      <c r="G80" s="7" t="s">
        <v>3</v>
      </c>
      <c r="H80" s="8" t="s">
        <v>221</v>
      </c>
    </row>
    <row r="81" spans="1:8" x14ac:dyDescent="0.25">
      <c r="A81" s="6">
        <v>79</v>
      </c>
      <c r="B81" s="7" t="s">
        <v>181</v>
      </c>
      <c r="C81" s="7" t="s">
        <v>220</v>
      </c>
      <c r="D81" s="7" t="s">
        <v>222</v>
      </c>
      <c r="E81" s="7" t="s">
        <v>28</v>
      </c>
      <c r="F81" s="7" t="s">
        <v>44</v>
      </c>
      <c r="G81" s="7" t="s">
        <v>28</v>
      </c>
      <c r="H81" s="8" t="s">
        <v>223</v>
      </c>
    </row>
    <row r="82" spans="1:8" ht="30" x14ac:dyDescent="0.25">
      <c r="A82" s="6">
        <v>80</v>
      </c>
      <c r="B82" s="7" t="s">
        <v>181</v>
      </c>
      <c r="C82" s="7" t="s">
        <v>222</v>
      </c>
      <c r="D82" s="7" t="s">
        <v>224</v>
      </c>
      <c r="E82" s="7" t="s">
        <v>28</v>
      </c>
      <c r="F82" s="7" t="s">
        <v>44</v>
      </c>
      <c r="G82" s="7" t="s">
        <v>18</v>
      </c>
      <c r="H82" s="8" t="s">
        <v>225</v>
      </c>
    </row>
    <row r="83" spans="1:8" x14ac:dyDescent="0.25">
      <c r="A83" s="6">
        <v>81</v>
      </c>
      <c r="B83" s="7" t="s">
        <v>181</v>
      </c>
      <c r="C83" s="7" t="s">
        <v>224</v>
      </c>
      <c r="D83" s="7" t="s">
        <v>124</v>
      </c>
      <c r="E83" s="7" t="s">
        <v>28</v>
      </c>
      <c r="F83" s="7" t="s">
        <v>44</v>
      </c>
      <c r="G83" s="7" t="s">
        <v>4</v>
      </c>
      <c r="H83" s="8" t="s">
        <v>226</v>
      </c>
    </row>
    <row r="84" spans="1:8" ht="30" x14ac:dyDescent="0.25">
      <c r="A84" s="6">
        <v>82</v>
      </c>
      <c r="B84" s="7" t="s">
        <v>181</v>
      </c>
      <c r="C84" s="7" t="s">
        <v>122</v>
      </c>
      <c r="D84" s="7" t="s">
        <v>127</v>
      </c>
      <c r="E84" s="7" t="s">
        <v>28</v>
      </c>
      <c r="F84" s="7" t="s">
        <v>44</v>
      </c>
      <c r="G84" s="7" t="s">
        <v>37</v>
      </c>
      <c r="H84" s="8" t="s">
        <v>227</v>
      </c>
    </row>
    <row r="85" spans="1:8" ht="45" x14ac:dyDescent="0.25">
      <c r="A85" s="6">
        <v>83</v>
      </c>
      <c r="B85" s="7" t="s">
        <v>181</v>
      </c>
      <c r="C85" s="7" t="s">
        <v>127</v>
      </c>
      <c r="D85" s="7" t="s">
        <v>128</v>
      </c>
      <c r="E85" s="7" t="s">
        <v>28</v>
      </c>
      <c r="F85" s="7" t="s">
        <v>44</v>
      </c>
      <c r="G85" s="7" t="s">
        <v>5</v>
      </c>
      <c r="H85" s="8" t="s">
        <v>228</v>
      </c>
    </row>
    <row r="86" spans="1:8" ht="30" x14ac:dyDescent="0.25">
      <c r="A86" s="6">
        <v>84</v>
      </c>
      <c r="B86" s="7" t="s">
        <v>229</v>
      </c>
      <c r="C86" s="7" t="s">
        <v>16</v>
      </c>
      <c r="D86" s="7" t="s">
        <v>17</v>
      </c>
      <c r="E86" s="7" t="s">
        <v>3</v>
      </c>
      <c r="F86" s="7" t="s">
        <v>19</v>
      </c>
      <c r="G86" s="7" t="s">
        <v>19</v>
      </c>
      <c r="H86" s="8" t="s">
        <v>230</v>
      </c>
    </row>
    <row r="87" spans="1:8" ht="30" x14ac:dyDescent="0.25">
      <c r="A87" s="6">
        <v>85</v>
      </c>
      <c r="B87" s="7" t="s">
        <v>229</v>
      </c>
      <c r="C87" s="7" t="s">
        <v>17</v>
      </c>
      <c r="D87" s="7" t="s">
        <v>21</v>
      </c>
      <c r="E87" s="7" t="s">
        <v>3</v>
      </c>
      <c r="F87" s="7" t="s">
        <v>19</v>
      </c>
      <c r="G87" s="7" t="s">
        <v>22</v>
      </c>
      <c r="H87" s="8" t="s">
        <v>231</v>
      </c>
    </row>
    <row r="88" spans="1:8" ht="30" x14ac:dyDescent="0.25">
      <c r="A88" s="6">
        <v>86</v>
      </c>
      <c r="B88" s="7" t="s">
        <v>229</v>
      </c>
      <c r="C88" s="7" t="s">
        <v>21</v>
      </c>
      <c r="D88" s="7" t="s">
        <v>25</v>
      </c>
      <c r="E88" s="7" t="s">
        <v>3</v>
      </c>
      <c r="F88" s="7" t="s">
        <v>19</v>
      </c>
      <c r="G88" s="7" t="s">
        <v>3</v>
      </c>
      <c r="H88" s="8" t="s">
        <v>232</v>
      </c>
    </row>
    <row r="89" spans="1:8" ht="30" x14ac:dyDescent="0.25">
      <c r="A89" s="6">
        <v>87</v>
      </c>
      <c r="B89" s="7" t="s">
        <v>229</v>
      </c>
      <c r="C89" s="7" t="s">
        <v>233</v>
      </c>
      <c r="D89" s="7" t="s">
        <v>234</v>
      </c>
      <c r="E89" s="7" t="s">
        <v>3</v>
      </c>
      <c r="F89" s="7" t="s">
        <v>19</v>
      </c>
      <c r="G89" s="7" t="s">
        <v>28</v>
      </c>
      <c r="H89" s="8" t="s">
        <v>235</v>
      </c>
    </row>
    <row r="90" spans="1:8" ht="45" x14ac:dyDescent="0.25">
      <c r="A90" s="6">
        <v>88</v>
      </c>
      <c r="B90" s="7" t="s">
        <v>229</v>
      </c>
      <c r="C90" s="7" t="s">
        <v>236</v>
      </c>
      <c r="D90" s="7" t="s">
        <v>140</v>
      </c>
      <c r="E90" s="7" t="s">
        <v>3</v>
      </c>
      <c r="F90" s="7" t="s">
        <v>19</v>
      </c>
      <c r="G90" s="7" t="s">
        <v>18</v>
      </c>
      <c r="H90" s="8" t="s">
        <v>237</v>
      </c>
    </row>
    <row r="91" spans="1:8" ht="30" x14ac:dyDescent="0.25">
      <c r="A91" s="6">
        <v>89</v>
      </c>
      <c r="B91" s="7" t="s">
        <v>229</v>
      </c>
      <c r="C91" s="7" t="s">
        <v>31</v>
      </c>
      <c r="D91" s="7" t="s">
        <v>33</v>
      </c>
      <c r="E91" s="7" t="s">
        <v>3</v>
      </c>
      <c r="F91" s="7" t="s">
        <v>19</v>
      </c>
      <c r="G91" s="7" t="s">
        <v>4</v>
      </c>
      <c r="H91" s="8" t="s">
        <v>238</v>
      </c>
    </row>
    <row r="92" spans="1:8" ht="30" x14ac:dyDescent="0.25">
      <c r="A92" s="6">
        <v>90</v>
      </c>
      <c r="B92" s="7" t="s">
        <v>229</v>
      </c>
      <c r="C92" s="7" t="s">
        <v>35</v>
      </c>
      <c r="D92" s="7" t="s">
        <v>36</v>
      </c>
      <c r="E92" s="7" t="s">
        <v>3</v>
      </c>
      <c r="F92" s="7" t="s">
        <v>19</v>
      </c>
      <c r="G92" s="7" t="s">
        <v>37</v>
      </c>
      <c r="H92" s="8" t="s">
        <v>239</v>
      </c>
    </row>
    <row r="93" spans="1:8" ht="75" x14ac:dyDescent="0.25">
      <c r="A93" s="6">
        <v>91</v>
      </c>
      <c r="B93" s="7" t="s">
        <v>229</v>
      </c>
      <c r="C93" s="7" t="s">
        <v>36</v>
      </c>
      <c r="D93" s="7" t="s">
        <v>40</v>
      </c>
      <c r="E93" s="7" t="s">
        <v>3</v>
      </c>
      <c r="F93" s="7" t="s">
        <v>19</v>
      </c>
      <c r="G93" s="7" t="s">
        <v>5</v>
      </c>
      <c r="H93" s="8" t="s">
        <v>240</v>
      </c>
    </row>
    <row r="94" spans="1:8" ht="45" x14ac:dyDescent="0.25">
      <c r="A94" s="6">
        <v>92</v>
      </c>
      <c r="B94" s="7" t="s">
        <v>229</v>
      </c>
      <c r="C94" s="7" t="s">
        <v>241</v>
      </c>
      <c r="D94" s="7" t="s">
        <v>46</v>
      </c>
      <c r="E94" s="7" t="s">
        <v>3</v>
      </c>
      <c r="F94" s="7" t="s">
        <v>19</v>
      </c>
      <c r="G94" s="7" t="s">
        <v>44</v>
      </c>
      <c r="H94" s="8" t="s">
        <v>242</v>
      </c>
    </row>
    <row r="95" spans="1:8" x14ac:dyDescent="0.25">
      <c r="A95" s="6">
        <v>93</v>
      </c>
      <c r="B95" s="7" t="s">
        <v>229</v>
      </c>
      <c r="C95" s="7" t="s">
        <v>43</v>
      </c>
      <c r="D95" s="7" t="s">
        <v>47</v>
      </c>
      <c r="E95" s="7" t="s">
        <v>3</v>
      </c>
      <c r="F95" s="7" t="s">
        <v>22</v>
      </c>
      <c r="G95" s="7" t="s">
        <v>22</v>
      </c>
      <c r="H95" s="8" t="s">
        <v>243</v>
      </c>
    </row>
    <row r="96" spans="1:8" ht="30" x14ac:dyDescent="0.25">
      <c r="A96" s="6">
        <v>94</v>
      </c>
      <c r="B96" s="7" t="s">
        <v>229</v>
      </c>
      <c r="C96" s="7" t="s">
        <v>47</v>
      </c>
      <c r="D96" s="7" t="s">
        <v>52</v>
      </c>
      <c r="E96" s="7" t="s">
        <v>3</v>
      </c>
      <c r="F96" s="7" t="s">
        <v>22</v>
      </c>
      <c r="G96" s="7" t="s">
        <v>3</v>
      </c>
      <c r="H96" s="8" t="s">
        <v>244</v>
      </c>
    </row>
    <row r="97" spans="1:8" ht="30" x14ac:dyDescent="0.25">
      <c r="A97" s="6">
        <v>95</v>
      </c>
      <c r="B97" s="7" t="s">
        <v>229</v>
      </c>
      <c r="C97" s="7" t="s">
        <v>50</v>
      </c>
      <c r="D97" s="7" t="s">
        <v>245</v>
      </c>
      <c r="E97" s="7" t="s">
        <v>3</v>
      </c>
      <c r="F97" s="7" t="s">
        <v>22</v>
      </c>
      <c r="G97" s="7" t="s">
        <v>28</v>
      </c>
      <c r="H97" s="8" t="s">
        <v>246</v>
      </c>
    </row>
    <row r="98" spans="1:8" x14ac:dyDescent="0.25">
      <c r="A98" s="6">
        <v>96</v>
      </c>
      <c r="B98" s="7" t="s">
        <v>229</v>
      </c>
      <c r="C98" s="7" t="s">
        <v>247</v>
      </c>
      <c r="D98" s="7" t="s">
        <v>56</v>
      </c>
      <c r="E98" s="7" t="s">
        <v>3</v>
      </c>
      <c r="F98" s="7" t="s">
        <v>22</v>
      </c>
      <c r="G98" s="7" t="s">
        <v>18</v>
      </c>
      <c r="H98" s="8" t="s">
        <v>248</v>
      </c>
    </row>
    <row r="99" spans="1:8" x14ac:dyDescent="0.25">
      <c r="A99" s="6">
        <v>97</v>
      </c>
      <c r="B99" s="7" t="s">
        <v>229</v>
      </c>
      <c r="C99" s="7" t="s">
        <v>56</v>
      </c>
      <c r="D99" s="7" t="s">
        <v>58</v>
      </c>
      <c r="E99" s="7" t="s">
        <v>3</v>
      </c>
      <c r="F99" s="7" t="s">
        <v>22</v>
      </c>
      <c r="G99" s="7" t="s">
        <v>4</v>
      </c>
      <c r="H99" s="8" t="s">
        <v>249</v>
      </c>
    </row>
    <row r="100" spans="1:8" ht="30" x14ac:dyDescent="0.25">
      <c r="A100" s="6">
        <v>98</v>
      </c>
      <c r="B100" s="7" t="s">
        <v>229</v>
      </c>
      <c r="C100" s="7" t="s">
        <v>58</v>
      </c>
      <c r="D100" s="7" t="s">
        <v>61</v>
      </c>
      <c r="E100" s="7" t="s">
        <v>3</v>
      </c>
      <c r="F100" s="7" t="s">
        <v>22</v>
      </c>
      <c r="G100" s="7" t="s">
        <v>37</v>
      </c>
      <c r="H100" s="8" t="s">
        <v>250</v>
      </c>
    </row>
    <row r="101" spans="1:8" x14ac:dyDescent="0.25">
      <c r="A101" s="6">
        <v>99</v>
      </c>
      <c r="B101" s="7" t="s">
        <v>229</v>
      </c>
      <c r="C101" s="7" t="s">
        <v>251</v>
      </c>
      <c r="D101" s="7" t="s">
        <v>63</v>
      </c>
      <c r="E101" s="7" t="s">
        <v>3</v>
      </c>
      <c r="F101" s="7" t="s">
        <v>22</v>
      </c>
      <c r="G101" s="7" t="s">
        <v>5</v>
      </c>
      <c r="H101" s="8" t="s">
        <v>252</v>
      </c>
    </row>
    <row r="102" spans="1:8" ht="30" x14ac:dyDescent="0.25">
      <c r="A102" s="6">
        <v>100</v>
      </c>
      <c r="B102" s="7" t="s">
        <v>229</v>
      </c>
      <c r="C102" s="7" t="s">
        <v>253</v>
      </c>
      <c r="D102" s="7" t="s">
        <v>254</v>
      </c>
      <c r="E102" s="7" t="s">
        <v>3</v>
      </c>
      <c r="F102" s="7" t="s">
        <v>22</v>
      </c>
      <c r="G102" s="7" t="s">
        <v>44</v>
      </c>
      <c r="H102" s="8" t="s">
        <v>255</v>
      </c>
    </row>
    <row r="103" spans="1:8" x14ac:dyDescent="0.25">
      <c r="A103" s="6">
        <v>101</v>
      </c>
      <c r="B103" s="7" t="s">
        <v>229</v>
      </c>
      <c r="C103" s="7" t="s">
        <v>65</v>
      </c>
      <c r="D103" s="7" t="s">
        <v>67</v>
      </c>
      <c r="E103" s="7" t="s">
        <v>3</v>
      </c>
      <c r="F103" s="7" t="s">
        <v>22</v>
      </c>
      <c r="G103" s="7" t="s">
        <v>19</v>
      </c>
      <c r="H103" s="8" t="s">
        <v>256</v>
      </c>
    </row>
    <row r="104" spans="1:8" ht="45" x14ac:dyDescent="0.25">
      <c r="A104" s="6">
        <v>102</v>
      </c>
      <c r="B104" s="7" t="s">
        <v>229</v>
      </c>
      <c r="C104" s="7" t="s">
        <v>67</v>
      </c>
      <c r="D104" s="7" t="s">
        <v>70</v>
      </c>
      <c r="E104" s="7" t="s">
        <v>3</v>
      </c>
      <c r="F104" s="7" t="s">
        <v>3</v>
      </c>
      <c r="G104" s="7" t="s">
        <v>3</v>
      </c>
      <c r="H104" s="8" t="s">
        <v>257</v>
      </c>
    </row>
    <row r="105" spans="1:8" ht="30" x14ac:dyDescent="0.25">
      <c r="A105" s="6">
        <v>103</v>
      </c>
      <c r="B105" s="7" t="s">
        <v>229</v>
      </c>
      <c r="C105" s="7" t="s">
        <v>258</v>
      </c>
      <c r="D105" s="7" t="s">
        <v>259</v>
      </c>
      <c r="E105" s="7" t="s">
        <v>3</v>
      </c>
      <c r="F105" s="7" t="s">
        <v>3</v>
      </c>
      <c r="G105" s="7" t="s">
        <v>28</v>
      </c>
      <c r="H105" s="8" t="s">
        <v>260</v>
      </c>
    </row>
    <row r="106" spans="1:8" ht="60" x14ac:dyDescent="0.25">
      <c r="A106" s="6">
        <v>104</v>
      </c>
      <c r="B106" s="7" t="s">
        <v>229</v>
      </c>
      <c r="C106" s="7" t="s">
        <v>72</v>
      </c>
      <c r="D106" s="7" t="s">
        <v>261</v>
      </c>
      <c r="E106" s="7" t="s">
        <v>3</v>
      </c>
      <c r="F106" s="7" t="s">
        <v>3</v>
      </c>
      <c r="G106" s="7" t="s">
        <v>18</v>
      </c>
      <c r="H106" s="8" t="s">
        <v>262</v>
      </c>
    </row>
    <row r="107" spans="1:8" ht="30" x14ac:dyDescent="0.25">
      <c r="A107" s="6">
        <v>105</v>
      </c>
      <c r="B107" s="7" t="s">
        <v>229</v>
      </c>
      <c r="C107" s="7" t="s">
        <v>263</v>
      </c>
      <c r="D107" s="7" t="s">
        <v>76</v>
      </c>
      <c r="E107" s="7" t="s">
        <v>3</v>
      </c>
      <c r="F107" s="7" t="s">
        <v>3</v>
      </c>
      <c r="G107" s="7" t="s">
        <v>4</v>
      </c>
      <c r="H107" s="8" t="s">
        <v>264</v>
      </c>
    </row>
    <row r="108" spans="1:8" ht="45" x14ac:dyDescent="0.25">
      <c r="A108" s="6">
        <v>106</v>
      </c>
      <c r="B108" s="7" t="s">
        <v>265</v>
      </c>
      <c r="C108" s="7" t="s">
        <v>266</v>
      </c>
      <c r="D108" s="7" t="s">
        <v>267</v>
      </c>
      <c r="E108" s="7" t="s">
        <v>44</v>
      </c>
      <c r="F108" s="7" t="s">
        <v>3</v>
      </c>
      <c r="G108" s="7" t="s">
        <v>4</v>
      </c>
      <c r="H108" s="8" t="s">
        <v>268</v>
      </c>
    </row>
    <row r="109" spans="1:8" ht="30" x14ac:dyDescent="0.25">
      <c r="A109" s="6" t="s">
        <v>269</v>
      </c>
      <c r="B109" s="7" t="s">
        <v>265</v>
      </c>
      <c r="C109" s="7" t="s">
        <v>270</v>
      </c>
      <c r="D109" s="7" t="s">
        <v>24</v>
      </c>
      <c r="E109" s="7" t="s">
        <v>44</v>
      </c>
      <c r="F109" s="7" t="s">
        <v>3</v>
      </c>
      <c r="G109" s="7" t="s">
        <v>37</v>
      </c>
      <c r="H109" s="8" t="s">
        <v>271</v>
      </c>
    </row>
    <row r="110" spans="1:8" x14ac:dyDescent="0.25">
      <c r="A110" s="6">
        <v>108</v>
      </c>
      <c r="B110" s="7" t="s">
        <v>265</v>
      </c>
      <c r="C110" s="7" t="s">
        <v>21</v>
      </c>
      <c r="D110" s="7" t="s">
        <v>85</v>
      </c>
      <c r="E110" s="7" t="s">
        <v>44</v>
      </c>
      <c r="F110" s="7" t="s">
        <v>3</v>
      </c>
      <c r="G110" s="7" t="s">
        <v>5</v>
      </c>
      <c r="H110" s="8" t="s">
        <v>272</v>
      </c>
    </row>
    <row r="111" spans="1:8" ht="30" x14ac:dyDescent="0.25">
      <c r="A111" s="6">
        <v>109</v>
      </c>
      <c r="B111" s="7" t="s">
        <v>265</v>
      </c>
      <c r="C111" s="7" t="s">
        <v>85</v>
      </c>
      <c r="D111" s="7" t="s">
        <v>86</v>
      </c>
      <c r="E111" s="7" t="s">
        <v>44</v>
      </c>
      <c r="F111" s="7" t="s">
        <v>3</v>
      </c>
      <c r="G111" s="7" t="s">
        <v>44</v>
      </c>
      <c r="H111" s="8" t="s">
        <v>273</v>
      </c>
    </row>
    <row r="112" spans="1:8" x14ac:dyDescent="0.25">
      <c r="A112" s="6">
        <v>110</v>
      </c>
      <c r="B112" s="7" t="s">
        <v>265</v>
      </c>
      <c r="C112" s="7" t="s">
        <v>86</v>
      </c>
      <c r="D112" s="7" t="s">
        <v>274</v>
      </c>
      <c r="E112" s="7" t="s">
        <v>44</v>
      </c>
      <c r="F112" s="7" t="s">
        <v>3</v>
      </c>
      <c r="G112" s="7" t="s">
        <v>19</v>
      </c>
      <c r="H112" s="8" t="s">
        <v>275</v>
      </c>
    </row>
    <row r="113" spans="1:8" ht="30" x14ac:dyDescent="0.25">
      <c r="A113" s="6">
        <v>111</v>
      </c>
      <c r="B113" s="7" t="s">
        <v>265</v>
      </c>
      <c r="C113" s="7" t="s">
        <v>276</v>
      </c>
      <c r="D113" s="7" t="s">
        <v>277</v>
      </c>
      <c r="E113" s="7" t="s">
        <v>44</v>
      </c>
      <c r="F113" s="7" t="s">
        <v>3</v>
      </c>
      <c r="G113" s="7" t="s">
        <v>22</v>
      </c>
      <c r="H113" s="8" t="s">
        <v>278</v>
      </c>
    </row>
    <row r="114" spans="1:8" ht="30" x14ac:dyDescent="0.25">
      <c r="A114" s="6">
        <v>112</v>
      </c>
      <c r="B114" s="7" t="s">
        <v>265</v>
      </c>
      <c r="C114" s="7" t="s">
        <v>277</v>
      </c>
      <c r="D114" s="7" t="s">
        <v>95</v>
      </c>
      <c r="E114" s="7" t="s">
        <v>44</v>
      </c>
      <c r="F114" s="7" t="s">
        <v>28</v>
      </c>
      <c r="G114" s="7" t="s">
        <v>28</v>
      </c>
      <c r="H114" s="8" t="s">
        <v>279</v>
      </c>
    </row>
    <row r="115" spans="1:8" ht="30" x14ac:dyDescent="0.25">
      <c r="A115" s="6">
        <v>113</v>
      </c>
      <c r="B115" s="7" t="s">
        <v>265</v>
      </c>
      <c r="C115" s="7" t="s">
        <v>280</v>
      </c>
      <c r="D115" s="7" t="s">
        <v>98</v>
      </c>
      <c r="E115" s="7" t="s">
        <v>44</v>
      </c>
      <c r="F115" s="7" t="s">
        <v>28</v>
      </c>
      <c r="G115" s="7" t="s">
        <v>18</v>
      </c>
      <c r="H115" s="8" t="s">
        <v>281</v>
      </c>
    </row>
    <row r="116" spans="1:8" x14ac:dyDescent="0.25">
      <c r="A116" s="6">
        <v>114</v>
      </c>
      <c r="B116" s="7" t="s">
        <v>265</v>
      </c>
      <c r="C116" s="7" t="s">
        <v>98</v>
      </c>
      <c r="D116" s="7" t="s">
        <v>101</v>
      </c>
      <c r="E116" s="7" t="s">
        <v>44</v>
      </c>
      <c r="F116" s="7" t="s">
        <v>28</v>
      </c>
      <c r="G116" s="7" t="s">
        <v>4</v>
      </c>
      <c r="H116" s="8" t="s">
        <v>282</v>
      </c>
    </row>
    <row r="117" spans="1:8" ht="30" x14ac:dyDescent="0.25">
      <c r="A117" s="6">
        <v>115</v>
      </c>
      <c r="B117" s="7" t="s">
        <v>265</v>
      </c>
      <c r="C117" s="7" t="s">
        <v>101</v>
      </c>
      <c r="D117" s="7" t="s">
        <v>104</v>
      </c>
      <c r="E117" s="7" t="s">
        <v>44</v>
      </c>
      <c r="F117" s="7" t="s">
        <v>28</v>
      </c>
      <c r="G117" s="7" t="s">
        <v>37</v>
      </c>
      <c r="H117" s="8" t="s">
        <v>283</v>
      </c>
    </row>
    <row r="118" spans="1:8" ht="30" x14ac:dyDescent="0.25">
      <c r="A118" s="6">
        <v>116</v>
      </c>
      <c r="B118" s="7" t="s">
        <v>265</v>
      </c>
      <c r="C118" s="7" t="s">
        <v>102</v>
      </c>
      <c r="D118" s="7" t="s">
        <v>284</v>
      </c>
      <c r="E118" s="7" t="s">
        <v>44</v>
      </c>
      <c r="F118" s="7" t="s">
        <v>28</v>
      </c>
      <c r="G118" s="7" t="s">
        <v>5</v>
      </c>
      <c r="H118" s="8" t="s">
        <v>285</v>
      </c>
    </row>
    <row r="119" spans="1:8" ht="30" x14ac:dyDescent="0.25">
      <c r="A119" s="6">
        <v>117</v>
      </c>
      <c r="B119" s="7" t="s">
        <v>265</v>
      </c>
      <c r="C119" s="7" t="s">
        <v>107</v>
      </c>
      <c r="D119" s="7" t="s">
        <v>108</v>
      </c>
      <c r="E119" s="7" t="s">
        <v>44</v>
      </c>
      <c r="F119" s="7" t="s">
        <v>28</v>
      </c>
      <c r="G119" s="7" t="s">
        <v>44</v>
      </c>
      <c r="H119" s="8" t="s">
        <v>286</v>
      </c>
    </row>
    <row r="120" spans="1:8" x14ac:dyDescent="0.25">
      <c r="A120" s="6">
        <v>118</v>
      </c>
      <c r="B120" s="7" t="s">
        <v>265</v>
      </c>
      <c r="C120" s="7" t="s">
        <v>108</v>
      </c>
      <c r="D120" s="7" t="s">
        <v>287</v>
      </c>
      <c r="E120" s="7" t="s">
        <v>44</v>
      </c>
      <c r="F120" s="7" t="s">
        <v>28</v>
      </c>
      <c r="G120" s="7" t="s">
        <v>19</v>
      </c>
      <c r="H120" s="8" t="s">
        <v>288</v>
      </c>
    </row>
    <row r="121" spans="1:8" x14ac:dyDescent="0.25">
      <c r="A121" s="6">
        <v>119</v>
      </c>
      <c r="B121" s="7" t="s">
        <v>265</v>
      </c>
      <c r="C121" s="7" t="s">
        <v>113</v>
      </c>
      <c r="D121" s="7" t="s">
        <v>114</v>
      </c>
      <c r="E121" s="7" t="s">
        <v>44</v>
      </c>
      <c r="F121" s="7" t="s">
        <v>28</v>
      </c>
      <c r="G121" s="7" t="s">
        <v>22</v>
      </c>
      <c r="H121" s="8" t="s">
        <v>289</v>
      </c>
    </row>
    <row r="122" spans="1:8" x14ac:dyDescent="0.25">
      <c r="A122" s="6">
        <v>120</v>
      </c>
      <c r="B122" s="7" t="s">
        <v>265</v>
      </c>
      <c r="C122" s="7" t="s">
        <v>116</v>
      </c>
      <c r="D122" s="7" t="s">
        <v>290</v>
      </c>
      <c r="E122" s="7" t="s">
        <v>44</v>
      </c>
      <c r="F122" s="7" t="s">
        <v>28</v>
      </c>
      <c r="G122" s="7" t="s">
        <v>3</v>
      </c>
      <c r="H122" s="8" t="s">
        <v>291</v>
      </c>
    </row>
    <row r="123" spans="1:8" ht="30" x14ac:dyDescent="0.25">
      <c r="A123" s="6">
        <v>121</v>
      </c>
      <c r="B123" s="7" t="s">
        <v>265</v>
      </c>
      <c r="C123" s="7" t="s">
        <v>292</v>
      </c>
      <c r="D123" s="7" t="s">
        <v>224</v>
      </c>
      <c r="E123" s="7" t="s">
        <v>44</v>
      </c>
      <c r="F123" s="7" t="s">
        <v>18</v>
      </c>
      <c r="G123" s="7" t="s">
        <v>18</v>
      </c>
      <c r="H123" s="8" t="s">
        <v>293</v>
      </c>
    </row>
    <row r="124" spans="1:8" x14ac:dyDescent="0.25">
      <c r="A124" s="6">
        <v>122</v>
      </c>
      <c r="B124" s="7" t="s">
        <v>265</v>
      </c>
      <c r="C124" s="7" t="s">
        <v>294</v>
      </c>
      <c r="D124" s="7" t="s">
        <v>295</v>
      </c>
      <c r="E124" s="7" t="s">
        <v>44</v>
      </c>
      <c r="F124" s="7" t="s">
        <v>18</v>
      </c>
      <c r="G124" s="7" t="s">
        <v>4</v>
      </c>
      <c r="H124" s="8" t="s">
        <v>296</v>
      </c>
    </row>
    <row r="125" spans="1:8" x14ac:dyDescent="0.25">
      <c r="A125" s="6">
        <v>123</v>
      </c>
      <c r="B125" s="7" t="s">
        <v>265</v>
      </c>
      <c r="C125" s="7" t="s">
        <v>122</v>
      </c>
      <c r="D125" s="7" t="s">
        <v>297</v>
      </c>
      <c r="E125" s="7" t="s">
        <v>44</v>
      </c>
      <c r="F125" s="7" t="s">
        <v>18</v>
      </c>
      <c r="G125" s="7" t="s">
        <v>37</v>
      </c>
      <c r="H125" s="8" t="s">
        <v>298</v>
      </c>
    </row>
    <row r="126" spans="1:8" ht="30" x14ac:dyDescent="0.25">
      <c r="A126" s="6">
        <v>124</v>
      </c>
      <c r="B126" s="7" t="s">
        <v>265</v>
      </c>
      <c r="C126" s="7" t="s">
        <v>127</v>
      </c>
      <c r="D126" s="7" t="s">
        <v>128</v>
      </c>
      <c r="E126" s="7" t="s">
        <v>44</v>
      </c>
      <c r="F126" s="7" t="s">
        <v>18</v>
      </c>
      <c r="G126" s="7" t="s">
        <v>5</v>
      </c>
      <c r="H126" s="8" t="s">
        <v>299</v>
      </c>
    </row>
    <row r="127" spans="1:8" x14ac:dyDescent="0.25">
      <c r="A127" s="6">
        <v>125</v>
      </c>
      <c r="B127" s="7" t="s">
        <v>300</v>
      </c>
      <c r="C127" s="7" t="s">
        <v>266</v>
      </c>
      <c r="D127" s="7" t="s">
        <v>301</v>
      </c>
      <c r="E127" s="7" t="s">
        <v>22</v>
      </c>
      <c r="F127" s="7" t="s">
        <v>18</v>
      </c>
      <c r="G127" s="7" t="s">
        <v>44</v>
      </c>
      <c r="H127" s="8" t="s">
        <v>302</v>
      </c>
    </row>
    <row r="128" spans="1:8" x14ac:dyDescent="0.25">
      <c r="A128" s="6">
        <v>126</v>
      </c>
      <c r="B128" s="7" t="s">
        <v>300</v>
      </c>
      <c r="C128" s="7" t="s">
        <v>131</v>
      </c>
      <c r="D128" s="7" t="s">
        <v>135</v>
      </c>
      <c r="E128" s="7" t="s">
        <v>22</v>
      </c>
      <c r="F128" s="7" t="s">
        <v>18</v>
      </c>
      <c r="G128" s="7" t="s">
        <v>19</v>
      </c>
      <c r="H128" s="8" t="s">
        <v>303</v>
      </c>
    </row>
    <row r="129" spans="1:8" x14ac:dyDescent="0.25">
      <c r="A129" s="6">
        <v>127</v>
      </c>
      <c r="B129" s="7" t="s">
        <v>300</v>
      </c>
      <c r="C129" s="7" t="s">
        <v>135</v>
      </c>
      <c r="D129" s="7" t="s">
        <v>136</v>
      </c>
      <c r="E129" s="7" t="s">
        <v>22</v>
      </c>
      <c r="F129" s="7" t="s">
        <v>18</v>
      </c>
      <c r="G129" s="7" t="s">
        <v>22</v>
      </c>
      <c r="H129" s="8" t="s">
        <v>304</v>
      </c>
    </row>
    <row r="130" spans="1:8" x14ac:dyDescent="0.25">
      <c r="A130" s="6">
        <v>128</v>
      </c>
      <c r="B130" s="7" t="s">
        <v>300</v>
      </c>
      <c r="C130" s="7" t="s">
        <v>305</v>
      </c>
      <c r="D130" s="7" t="s">
        <v>140</v>
      </c>
      <c r="E130" s="7" t="s">
        <v>22</v>
      </c>
      <c r="F130" s="7" t="s">
        <v>18</v>
      </c>
      <c r="G130" s="7" t="s">
        <v>3</v>
      </c>
      <c r="H130" s="8" t="s">
        <v>306</v>
      </c>
    </row>
    <row r="131" spans="1:8" ht="30" x14ac:dyDescent="0.25">
      <c r="A131" s="6">
        <v>129</v>
      </c>
      <c r="B131" s="7" t="s">
        <v>300</v>
      </c>
      <c r="C131" s="7" t="s">
        <v>31</v>
      </c>
      <c r="D131" s="7" t="s">
        <v>307</v>
      </c>
      <c r="E131" s="7" t="s">
        <v>22</v>
      </c>
      <c r="F131" s="7" t="s">
        <v>18</v>
      </c>
      <c r="G131" s="7" t="s">
        <v>28</v>
      </c>
      <c r="H131" s="8" t="s">
        <v>308</v>
      </c>
    </row>
    <row r="132" spans="1:8" x14ac:dyDescent="0.25">
      <c r="A132" s="6">
        <v>130</v>
      </c>
      <c r="B132" s="7" t="s">
        <v>300</v>
      </c>
      <c r="C132" s="7" t="s">
        <v>307</v>
      </c>
      <c r="D132" s="7" t="s">
        <v>309</v>
      </c>
      <c r="E132" s="7" t="s">
        <v>22</v>
      </c>
      <c r="F132" s="7" t="s">
        <v>4</v>
      </c>
      <c r="G132" s="7" t="s">
        <v>4</v>
      </c>
      <c r="H132" s="8" t="s">
        <v>310</v>
      </c>
    </row>
    <row r="133" spans="1:8" x14ac:dyDescent="0.25">
      <c r="A133" s="6">
        <v>131</v>
      </c>
      <c r="B133" s="7" t="s">
        <v>300</v>
      </c>
      <c r="C133" s="7" t="s">
        <v>311</v>
      </c>
      <c r="D133" s="7" t="s">
        <v>312</v>
      </c>
      <c r="E133" s="7" t="s">
        <v>22</v>
      </c>
      <c r="F133" s="7" t="s">
        <v>4</v>
      </c>
      <c r="G133" s="7" t="s">
        <v>37</v>
      </c>
      <c r="H133" s="8" t="s">
        <v>313</v>
      </c>
    </row>
    <row r="134" spans="1:8" x14ac:dyDescent="0.25">
      <c r="A134" s="6">
        <v>132</v>
      </c>
      <c r="B134" s="7" t="s">
        <v>300</v>
      </c>
      <c r="C134" s="7" t="s">
        <v>146</v>
      </c>
      <c r="D134" s="7" t="s">
        <v>314</v>
      </c>
      <c r="E134" s="7" t="s">
        <v>22</v>
      </c>
      <c r="F134" s="7" t="s">
        <v>4</v>
      </c>
      <c r="G134" s="7" t="s">
        <v>5</v>
      </c>
      <c r="H134" s="8" t="s">
        <v>315</v>
      </c>
    </row>
    <row r="135" spans="1:8" x14ac:dyDescent="0.25">
      <c r="A135" s="6">
        <v>133</v>
      </c>
      <c r="B135" s="7" t="s">
        <v>300</v>
      </c>
      <c r="C135" s="7" t="s">
        <v>314</v>
      </c>
      <c r="D135" s="7" t="s">
        <v>151</v>
      </c>
      <c r="E135" s="7" t="s">
        <v>22</v>
      </c>
      <c r="F135" s="7" t="s">
        <v>4</v>
      </c>
      <c r="G135" s="7" t="s">
        <v>44</v>
      </c>
      <c r="H135" s="8" t="s">
        <v>316</v>
      </c>
    </row>
    <row r="136" spans="1:8" x14ac:dyDescent="0.25">
      <c r="A136" s="6">
        <v>134</v>
      </c>
      <c r="B136" s="7" t="s">
        <v>300</v>
      </c>
      <c r="C136" s="7" t="s">
        <v>317</v>
      </c>
      <c r="D136" s="7" t="s">
        <v>153</v>
      </c>
      <c r="E136" s="7" t="s">
        <v>22</v>
      </c>
      <c r="F136" s="7" t="s">
        <v>4</v>
      </c>
      <c r="G136" s="7" t="s">
        <v>19</v>
      </c>
      <c r="H136" s="8" t="s">
        <v>318</v>
      </c>
    </row>
    <row r="137" spans="1:8" x14ac:dyDescent="0.25">
      <c r="A137" s="6">
        <v>135</v>
      </c>
      <c r="B137" s="7" t="s">
        <v>300</v>
      </c>
      <c r="C137" s="7" t="s">
        <v>153</v>
      </c>
      <c r="D137" s="7" t="s">
        <v>155</v>
      </c>
      <c r="E137" s="7" t="s">
        <v>22</v>
      </c>
      <c r="F137" s="7" t="s">
        <v>4</v>
      </c>
      <c r="G137" s="7" t="s">
        <v>22</v>
      </c>
      <c r="H137" s="8" t="s">
        <v>319</v>
      </c>
    </row>
    <row r="138" spans="1:8" x14ac:dyDescent="0.25">
      <c r="A138" s="6">
        <v>136</v>
      </c>
      <c r="B138" s="7" t="s">
        <v>300</v>
      </c>
      <c r="C138" s="7" t="s">
        <v>155</v>
      </c>
      <c r="D138" s="7" t="s">
        <v>320</v>
      </c>
      <c r="E138" s="7" t="s">
        <v>22</v>
      </c>
      <c r="F138" s="7" t="s">
        <v>4</v>
      </c>
      <c r="G138" s="7" t="s">
        <v>3</v>
      </c>
      <c r="H138" s="8" t="s">
        <v>321</v>
      </c>
    </row>
    <row r="139" spans="1:8" x14ac:dyDescent="0.25">
      <c r="A139" s="6">
        <v>137</v>
      </c>
      <c r="B139" s="7" t="s">
        <v>300</v>
      </c>
      <c r="C139" s="7" t="s">
        <v>322</v>
      </c>
      <c r="D139" s="7" t="s">
        <v>323</v>
      </c>
      <c r="E139" s="7" t="s">
        <v>22</v>
      </c>
      <c r="F139" s="7" t="s">
        <v>4</v>
      </c>
      <c r="G139" s="7" t="s">
        <v>28</v>
      </c>
      <c r="H139" s="8" t="s">
        <v>324</v>
      </c>
    </row>
    <row r="140" spans="1:8" x14ac:dyDescent="0.25">
      <c r="A140" s="6">
        <v>138</v>
      </c>
      <c r="B140" s="7" t="s">
        <v>300</v>
      </c>
      <c r="C140" s="7" t="s">
        <v>161</v>
      </c>
      <c r="D140" s="7" t="s">
        <v>325</v>
      </c>
      <c r="E140" s="7" t="s">
        <v>22</v>
      </c>
      <c r="F140" s="7" t="s">
        <v>4</v>
      </c>
      <c r="G140" s="7" t="s">
        <v>18</v>
      </c>
      <c r="H140" s="8" t="s">
        <v>326</v>
      </c>
    </row>
    <row r="141" spans="1:8" ht="30" x14ac:dyDescent="0.25">
      <c r="A141" s="6">
        <v>139</v>
      </c>
      <c r="B141" s="7" t="s">
        <v>300</v>
      </c>
      <c r="C141" s="7" t="s">
        <v>162</v>
      </c>
      <c r="D141" s="7" t="s">
        <v>164</v>
      </c>
      <c r="E141" s="7" t="s">
        <v>22</v>
      </c>
      <c r="F141" s="7" t="s">
        <v>37</v>
      </c>
      <c r="G141" s="7" t="s">
        <v>37</v>
      </c>
      <c r="H141" s="8" t="s">
        <v>327</v>
      </c>
    </row>
    <row r="142" spans="1:8" ht="30" x14ac:dyDescent="0.25">
      <c r="A142" s="6">
        <v>140</v>
      </c>
      <c r="B142" s="7" t="s">
        <v>300</v>
      </c>
      <c r="C142" s="7" t="s">
        <v>166</v>
      </c>
      <c r="D142" s="7" t="s">
        <v>169</v>
      </c>
      <c r="E142" s="7" t="s">
        <v>22</v>
      </c>
      <c r="F142" s="7" t="s">
        <v>37</v>
      </c>
      <c r="G142" s="7" t="s">
        <v>5</v>
      </c>
      <c r="H142" s="8" t="s">
        <v>328</v>
      </c>
    </row>
    <row r="143" spans="1:8" x14ac:dyDescent="0.25">
      <c r="A143" s="6">
        <v>141</v>
      </c>
      <c r="B143" s="7" t="s">
        <v>300</v>
      </c>
      <c r="C143" s="7" t="s">
        <v>169</v>
      </c>
      <c r="D143" s="7" t="s">
        <v>170</v>
      </c>
      <c r="E143" s="7" t="s">
        <v>22</v>
      </c>
      <c r="F143" s="7" t="s">
        <v>37</v>
      </c>
      <c r="G143" s="7" t="s">
        <v>44</v>
      </c>
      <c r="H143" s="8" t="s">
        <v>329</v>
      </c>
    </row>
    <row r="144" spans="1:8" x14ac:dyDescent="0.25">
      <c r="A144" s="6">
        <v>142</v>
      </c>
      <c r="B144" s="7" t="s">
        <v>300</v>
      </c>
      <c r="C144" s="7" t="s">
        <v>172</v>
      </c>
      <c r="D144" s="7" t="s">
        <v>330</v>
      </c>
      <c r="E144" s="7" t="s">
        <v>22</v>
      </c>
      <c r="F144" s="7" t="s">
        <v>37</v>
      </c>
      <c r="G144" s="7" t="s">
        <v>19</v>
      </c>
      <c r="H144" s="8" t="s">
        <v>331</v>
      </c>
    </row>
    <row r="145" spans="1:8" x14ac:dyDescent="0.25">
      <c r="A145" s="6">
        <v>143</v>
      </c>
      <c r="B145" s="7" t="s">
        <v>300</v>
      </c>
      <c r="C145" s="7" t="s">
        <v>330</v>
      </c>
      <c r="D145" s="7" t="s">
        <v>176</v>
      </c>
      <c r="E145" s="7" t="s">
        <v>22</v>
      </c>
      <c r="F145" s="7" t="s">
        <v>37</v>
      </c>
      <c r="G145" s="7" t="s">
        <v>22</v>
      </c>
      <c r="H145" s="8" t="s">
        <v>332</v>
      </c>
    </row>
    <row r="146" spans="1:8" ht="30" x14ac:dyDescent="0.25">
      <c r="A146" s="6">
        <v>144</v>
      </c>
      <c r="B146" s="7" t="s">
        <v>300</v>
      </c>
      <c r="C146" s="7" t="s">
        <v>176</v>
      </c>
      <c r="D146" s="7" t="s">
        <v>333</v>
      </c>
      <c r="E146" s="7" t="s">
        <v>22</v>
      </c>
      <c r="F146" s="7" t="s">
        <v>37</v>
      </c>
      <c r="G146" s="7" t="s">
        <v>3</v>
      </c>
      <c r="H146" s="8" t="s">
        <v>334</v>
      </c>
    </row>
    <row r="147" spans="1:8" ht="30" x14ac:dyDescent="0.25">
      <c r="A147" s="6">
        <v>145</v>
      </c>
      <c r="B147" s="7" t="s">
        <v>300</v>
      </c>
      <c r="C147" s="7" t="s">
        <v>178</v>
      </c>
      <c r="D147" s="7" t="s">
        <v>76</v>
      </c>
      <c r="E147" s="7" t="s">
        <v>22</v>
      </c>
      <c r="F147" s="7" t="s">
        <v>37</v>
      </c>
      <c r="G147" s="7" t="s">
        <v>28</v>
      </c>
      <c r="H147" s="8" t="s">
        <v>335</v>
      </c>
    </row>
    <row r="148" spans="1:8" x14ac:dyDescent="0.25">
      <c r="A148" s="6">
        <v>146</v>
      </c>
      <c r="B148" s="7" t="s">
        <v>336</v>
      </c>
      <c r="C148" s="7" t="s">
        <v>16</v>
      </c>
      <c r="D148" s="7" t="s">
        <v>337</v>
      </c>
      <c r="E148" s="7" t="s">
        <v>18</v>
      </c>
      <c r="F148" s="7" t="s">
        <v>37</v>
      </c>
      <c r="G148" s="7" t="s">
        <v>28</v>
      </c>
      <c r="H148" s="8" t="s">
        <v>338</v>
      </c>
    </row>
    <row r="149" spans="1:8" x14ac:dyDescent="0.25">
      <c r="A149" s="6">
        <v>147</v>
      </c>
      <c r="B149" s="7" t="s">
        <v>336</v>
      </c>
      <c r="C149" s="7" t="s">
        <v>182</v>
      </c>
      <c r="D149" s="7" t="s">
        <v>184</v>
      </c>
      <c r="E149" s="7" t="s">
        <v>18</v>
      </c>
      <c r="F149" s="7" t="s">
        <v>37</v>
      </c>
      <c r="G149" s="7" t="s">
        <v>18</v>
      </c>
      <c r="H149" s="8" t="s">
        <v>339</v>
      </c>
    </row>
    <row r="150" spans="1:8" ht="30" x14ac:dyDescent="0.25">
      <c r="A150" s="6">
        <v>148</v>
      </c>
      <c r="B150" s="7" t="s">
        <v>336</v>
      </c>
      <c r="C150" s="7" t="s">
        <v>184</v>
      </c>
      <c r="D150" s="7" t="s">
        <v>340</v>
      </c>
      <c r="E150" s="7" t="s">
        <v>18</v>
      </c>
      <c r="F150" s="7" t="s">
        <v>37</v>
      </c>
      <c r="G150" s="7" t="s">
        <v>4</v>
      </c>
      <c r="H150" s="8" t="s">
        <v>341</v>
      </c>
    </row>
    <row r="151" spans="1:8" ht="30" x14ac:dyDescent="0.25">
      <c r="A151" s="6">
        <v>149</v>
      </c>
      <c r="B151" s="7" t="s">
        <v>336</v>
      </c>
      <c r="C151" s="7" t="s">
        <v>189</v>
      </c>
      <c r="D151" s="7" t="s">
        <v>342</v>
      </c>
      <c r="E151" s="7" t="s">
        <v>18</v>
      </c>
      <c r="F151" s="7" t="s">
        <v>5</v>
      </c>
      <c r="G151" s="7" t="s">
        <v>5</v>
      </c>
      <c r="H151" s="8" t="s">
        <v>343</v>
      </c>
    </row>
    <row r="152" spans="1:8" x14ac:dyDescent="0.25">
      <c r="A152" s="6">
        <v>150</v>
      </c>
      <c r="B152" s="7" t="s">
        <v>336</v>
      </c>
      <c r="C152" s="7" t="s">
        <v>190</v>
      </c>
      <c r="D152" s="7" t="s">
        <v>186</v>
      </c>
      <c r="E152" s="7" t="s">
        <v>18</v>
      </c>
      <c r="F152" s="7" t="s">
        <v>5</v>
      </c>
      <c r="G152" s="7" t="s">
        <v>44</v>
      </c>
      <c r="H152" s="8" t="s">
        <v>344</v>
      </c>
    </row>
    <row r="153" spans="1:8" ht="45" x14ac:dyDescent="0.25">
      <c r="A153" s="6">
        <v>151</v>
      </c>
      <c r="B153" s="7" t="s">
        <v>336</v>
      </c>
      <c r="C153" s="7" t="s">
        <v>186</v>
      </c>
      <c r="D153" s="7" t="s">
        <v>193</v>
      </c>
      <c r="E153" s="7" t="s">
        <v>18</v>
      </c>
      <c r="F153" s="7" t="s">
        <v>5</v>
      </c>
      <c r="G153" s="7" t="s">
        <v>19</v>
      </c>
      <c r="H153" s="8" t="s">
        <v>345</v>
      </c>
    </row>
    <row r="154" spans="1:8" ht="30" x14ac:dyDescent="0.25">
      <c r="A154" s="6">
        <v>152</v>
      </c>
      <c r="B154" s="7" t="s">
        <v>336</v>
      </c>
      <c r="C154" s="7" t="s">
        <v>193</v>
      </c>
      <c r="D154" s="7" t="s">
        <v>198</v>
      </c>
      <c r="E154" s="7" t="s">
        <v>18</v>
      </c>
      <c r="F154" s="7" t="s">
        <v>5</v>
      </c>
      <c r="G154" s="7" t="s">
        <v>22</v>
      </c>
      <c r="H154" s="8" t="s">
        <v>346</v>
      </c>
    </row>
    <row r="155" spans="1:8" ht="30" x14ac:dyDescent="0.25">
      <c r="A155" s="6">
        <v>153</v>
      </c>
      <c r="B155" s="7" t="s">
        <v>336</v>
      </c>
      <c r="C155" s="7" t="s">
        <v>198</v>
      </c>
      <c r="D155" s="7" t="s">
        <v>347</v>
      </c>
      <c r="E155" s="7" t="s">
        <v>18</v>
      </c>
      <c r="F155" s="7" t="s">
        <v>5</v>
      </c>
      <c r="G155" s="7" t="s">
        <v>3</v>
      </c>
      <c r="H155" s="8" t="s">
        <v>348</v>
      </c>
    </row>
    <row r="156" spans="1:8" ht="30" x14ac:dyDescent="0.25">
      <c r="A156" s="6">
        <v>154</v>
      </c>
      <c r="B156" s="7" t="s">
        <v>336</v>
      </c>
      <c r="C156" s="7" t="s">
        <v>349</v>
      </c>
      <c r="D156" s="7" t="s">
        <v>350</v>
      </c>
      <c r="E156" s="7" t="s">
        <v>18</v>
      </c>
      <c r="F156" s="7" t="s">
        <v>5</v>
      </c>
      <c r="G156" s="7" t="s">
        <v>28</v>
      </c>
      <c r="H156" s="8" t="s">
        <v>351</v>
      </c>
    </row>
    <row r="157" spans="1:8" ht="30" x14ac:dyDescent="0.25">
      <c r="A157" s="6">
        <v>155</v>
      </c>
      <c r="B157" s="7" t="s">
        <v>336</v>
      </c>
      <c r="C157" s="7" t="s">
        <v>352</v>
      </c>
      <c r="D157" s="7" t="s">
        <v>205</v>
      </c>
      <c r="E157" s="7" t="s">
        <v>18</v>
      </c>
      <c r="F157" s="7" t="s">
        <v>5</v>
      </c>
      <c r="G157" s="7" t="s">
        <v>18</v>
      </c>
      <c r="H157" s="8" t="s">
        <v>353</v>
      </c>
    </row>
    <row r="158" spans="1:8" ht="30" x14ac:dyDescent="0.25">
      <c r="A158" s="6">
        <v>156</v>
      </c>
      <c r="B158" s="7" t="s">
        <v>336</v>
      </c>
      <c r="C158" s="7" t="s">
        <v>207</v>
      </c>
      <c r="D158" s="7" t="s">
        <v>354</v>
      </c>
      <c r="E158" s="7" t="s">
        <v>18</v>
      </c>
      <c r="F158" s="7" t="s">
        <v>5</v>
      </c>
      <c r="G158" s="7" t="s">
        <v>4</v>
      </c>
      <c r="H158" s="8" t="s">
        <v>355</v>
      </c>
    </row>
    <row r="159" spans="1:8" x14ac:dyDescent="0.25">
      <c r="A159" s="6">
        <v>157</v>
      </c>
      <c r="B159" s="7" t="s">
        <v>336</v>
      </c>
      <c r="C159" s="7" t="s">
        <v>356</v>
      </c>
      <c r="D159" s="7" t="s">
        <v>210</v>
      </c>
      <c r="E159" s="7" t="s">
        <v>18</v>
      </c>
      <c r="F159" s="7" t="s">
        <v>5</v>
      </c>
      <c r="G159" s="7" t="s">
        <v>37</v>
      </c>
      <c r="H159" s="8" t="s">
        <v>357</v>
      </c>
    </row>
    <row r="160" spans="1:8" ht="30" x14ac:dyDescent="0.25">
      <c r="A160" s="6">
        <v>158</v>
      </c>
      <c r="B160" s="7" t="s">
        <v>336</v>
      </c>
      <c r="C160" s="7" t="s">
        <v>210</v>
      </c>
      <c r="D160" s="7" t="s">
        <v>358</v>
      </c>
      <c r="E160" s="7" t="s">
        <v>18</v>
      </c>
      <c r="F160" s="7" t="s">
        <v>44</v>
      </c>
      <c r="G160" s="7" t="s">
        <v>44</v>
      </c>
      <c r="H160" s="8" t="s">
        <v>359</v>
      </c>
    </row>
    <row r="161" spans="1:8" ht="30" x14ac:dyDescent="0.25">
      <c r="A161" s="6">
        <v>159</v>
      </c>
      <c r="B161" s="7" t="s">
        <v>336</v>
      </c>
      <c r="C161" s="7" t="s">
        <v>360</v>
      </c>
      <c r="D161" s="7" t="s">
        <v>361</v>
      </c>
      <c r="E161" s="7" t="s">
        <v>18</v>
      </c>
      <c r="F161" s="7" t="s">
        <v>44</v>
      </c>
      <c r="G161" s="7" t="s">
        <v>19</v>
      </c>
      <c r="H161" s="8" t="s">
        <v>362</v>
      </c>
    </row>
    <row r="162" spans="1:8" ht="45" x14ac:dyDescent="0.25">
      <c r="A162" s="6">
        <v>160</v>
      </c>
      <c r="B162" s="7" t="s">
        <v>336</v>
      </c>
      <c r="C162" s="7" t="s">
        <v>361</v>
      </c>
      <c r="D162" s="7" t="s">
        <v>218</v>
      </c>
      <c r="E162" s="7" t="s">
        <v>18</v>
      </c>
      <c r="F162" s="7" t="s">
        <v>44</v>
      </c>
      <c r="G162" s="7" t="s">
        <v>22</v>
      </c>
      <c r="H162" s="8" t="s">
        <v>363</v>
      </c>
    </row>
    <row r="163" spans="1:8" x14ac:dyDescent="0.25">
      <c r="A163" s="6">
        <v>161</v>
      </c>
      <c r="B163" s="7" t="s">
        <v>336</v>
      </c>
      <c r="C163" s="7" t="s">
        <v>364</v>
      </c>
      <c r="D163" s="7" t="s">
        <v>220</v>
      </c>
      <c r="E163" s="7" t="s">
        <v>18</v>
      </c>
      <c r="F163" s="7" t="s">
        <v>44</v>
      </c>
      <c r="G163" s="7" t="s">
        <v>3</v>
      </c>
      <c r="H163" s="8" t="s">
        <v>365</v>
      </c>
    </row>
    <row r="164" spans="1:8" x14ac:dyDescent="0.25">
      <c r="A164" s="6">
        <v>162</v>
      </c>
      <c r="B164" s="7" t="s">
        <v>336</v>
      </c>
      <c r="C164" s="7" t="s">
        <v>220</v>
      </c>
      <c r="D164" s="7" t="s">
        <v>117</v>
      </c>
      <c r="E164" s="7" t="s">
        <v>18</v>
      </c>
      <c r="F164" s="7" t="s">
        <v>44</v>
      </c>
      <c r="G164" s="7" t="s">
        <v>28</v>
      </c>
      <c r="H164" s="8" t="s">
        <v>366</v>
      </c>
    </row>
    <row r="165" spans="1:8" ht="30" x14ac:dyDescent="0.25">
      <c r="A165" s="6">
        <v>163</v>
      </c>
      <c r="B165" s="7" t="s">
        <v>336</v>
      </c>
      <c r="C165" s="7" t="s">
        <v>290</v>
      </c>
      <c r="D165" s="7" t="s">
        <v>121</v>
      </c>
      <c r="E165" s="7" t="s">
        <v>18</v>
      </c>
      <c r="F165" s="7" t="s">
        <v>44</v>
      </c>
      <c r="G165" s="7" t="s">
        <v>18</v>
      </c>
      <c r="H165" s="8" t="s">
        <v>367</v>
      </c>
    </row>
    <row r="166" spans="1:8" ht="30" x14ac:dyDescent="0.25">
      <c r="A166" s="6">
        <v>164</v>
      </c>
      <c r="B166" s="7" t="s">
        <v>336</v>
      </c>
      <c r="C166" s="7" t="s">
        <v>121</v>
      </c>
      <c r="D166" s="7" t="s">
        <v>124</v>
      </c>
      <c r="E166" s="7" t="s">
        <v>18</v>
      </c>
      <c r="F166" s="7" t="s">
        <v>44</v>
      </c>
      <c r="G166" s="7" t="s">
        <v>4</v>
      </c>
      <c r="H166" s="8" t="s">
        <v>368</v>
      </c>
    </row>
    <row r="167" spans="1:8" ht="30" x14ac:dyDescent="0.25">
      <c r="A167" s="6">
        <v>165</v>
      </c>
      <c r="B167" s="7" t="s">
        <v>336</v>
      </c>
      <c r="C167" s="7" t="s">
        <v>122</v>
      </c>
      <c r="D167" s="7" t="s">
        <v>127</v>
      </c>
      <c r="E167" s="7" t="s">
        <v>18</v>
      </c>
      <c r="F167" s="7" t="s">
        <v>44</v>
      </c>
      <c r="G167" s="7" t="s">
        <v>37</v>
      </c>
      <c r="H167" s="8" t="s">
        <v>369</v>
      </c>
    </row>
    <row r="168" spans="1:8" ht="30" x14ac:dyDescent="0.25">
      <c r="A168" s="6">
        <v>166</v>
      </c>
      <c r="B168" s="7" t="s">
        <v>336</v>
      </c>
      <c r="C168" s="7" t="s">
        <v>127</v>
      </c>
      <c r="D168" s="7" t="s">
        <v>76</v>
      </c>
      <c r="E168" s="7" t="s">
        <v>18</v>
      </c>
      <c r="F168" s="7" t="s">
        <v>44</v>
      </c>
      <c r="G168" s="7" t="s">
        <v>5</v>
      </c>
      <c r="H168" s="8" t="s">
        <v>370</v>
      </c>
    </row>
    <row r="169" spans="1:8" ht="30" x14ac:dyDescent="0.25">
      <c r="A169" s="6">
        <v>167</v>
      </c>
      <c r="B169" s="7" t="s">
        <v>371</v>
      </c>
      <c r="C169" s="7" t="s">
        <v>16</v>
      </c>
      <c r="D169" s="7" t="s">
        <v>372</v>
      </c>
      <c r="E169" s="7" t="s">
        <v>37</v>
      </c>
      <c r="F169" s="7" t="s">
        <v>19</v>
      </c>
      <c r="G169" s="7" t="s">
        <v>19</v>
      </c>
      <c r="H169" s="8" t="s">
        <v>373</v>
      </c>
    </row>
    <row r="170" spans="1:8" x14ac:dyDescent="0.25">
      <c r="A170" s="6">
        <v>168</v>
      </c>
      <c r="B170" s="7" t="s">
        <v>371</v>
      </c>
      <c r="C170" s="7" t="s">
        <v>374</v>
      </c>
      <c r="D170" s="7" t="s">
        <v>24</v>
      </c>
      <c r="E170" s="7" t="s">
        <v>37</v>
      </c>
      <c r="F170" s="7" t="s">
        <v>19</v>
      </c>
      <c r="G170" s="7" t="s">
        <v>22</v>
      </c>
      <c r="H170" s="8" t="s">
        <v>375</v>
      </c>
    </row>
    <row r="171" spans="1:8" ht="30" x14ac:dyDescent="0.25">
      <c r="A171" s="6">
        <v>169</v>
      </c>
      <c r="B171" s="7" t="s">
        <v>371</v>
      </c>
      <c r="C171" s="7" t="s">
        <v>21</v>
      </c>
      <c r="D171" s="7" t="s">
        <v>233</v>
      </c>
      <c r="E171" s="7" t="s">
        <v>37</v>
      </c>
      <c r="F171" s="7" t="s">
        <v>19</v>
      </c>
      <c r="G171" s="7" t="s">
        <v>3</v>
      </c>
      <c r="H171" s="8" t="s">
        <v>376</v>
      </c>
    </row>
    <row r="172" spans="1:8" ht="30" x14ac:dyDescent="0.25">
      <c r="A172" s="6">
        <v>170</v>
      </c>
      <c r="B172" s="7" t="s">
        <v>371</v>
      </c>
      <c r="C172" s="7" t="s">
        <v>377</v>
      </c>
      <c r="D172" s="7" t="s">
        <v>27</v>
      </c>
      <c r="E172" s="7" t="s">
        <v>37</v>
      </c>
      <c r="F172" s="7" t="s">
        <v>19</v>
      </c>
      <c r="G172" s="7" t="s">
        <v>28</v>
      </c>
      <c r="H172" s="8" t="s">
        <v>378</v>
      </c>
    </row>
    <row r="173" spans="1:8" ht="30" x14ac:dyDescent="0.25">
      <c r="A173" s="6">
        <v>171</v>
      </c>
      <c r="B173" s="7" t="s">
        <v>371</v>
      </c>
      <c r="C173" s="7" t="s">
        <v>379</v>
      </c>
      <c r="D173" s="7" t="s">
        <v>380</v>
      </c>
      <c r="E173" s="7" t="s">
        <v>37</v>
      </c>
      <c r="F173" s="7" t="s">
        <v>19</v>
      </c>
      <c r="G173" s="7" t="s">
        <v>18</v>
      </c>
      <c r="H173" s="8" t="s">
        <v>381</v>
      </c>
    </row>
    <row r="174" spans="1:8" x14ac:dyDescent="0.25">
      <c r="A174" s="6">
        <v>172</v>
      </c>
      <c r="B174" s="7" t="s">
        <v>371</v>
      </c>
      <c r="C174" s="7" t="s">
        <v>382</v>
      </c>
      <c r="D174" s="7" t="s">
        <v>35</v>
      </c>
      <c r="E174" s="7" t="s">
        <v>37</v>
      </c>
      <c r="F174" s="7" t="s">
        <v>19</v>
      </c>
      <c r="G174" s="7" t="s">
        <v>4</v>
      </c>
      <c r="H174" s="8" t="s">
        <v>383</v>
      </c>
    </row>
    <row r="175" spans="1:8" x14ac:dyDescent="0.25">
      <c r="A175" s="6">
        <v>173</v>
      </c>
      <c r="B175" s="7" t="s">
        <v>371</v>
      </c>
      <c r="C175" s="7" t="s">
        <v>33</v>
      </c>
      <c r="D175" s="7" t="s">
        <v>36</v>
      </c>
      <c r="E175" s="7" t="s">
        <v>37</v>
      </c>
      <c r="F175" s="7" t="s">
        <v>19</v>
      </c>
      <c r="G175" s="7" t="s">
        <v>37</v>
      </c>
      <c r="H175" s="8" t="s">
        <v>384</v>
      </c>
    </row>
    <row r="176" spans="1:8" x14ac:dyDescent="0.25">
      <c r="A176" s="6">
        <v>174</v>
      </c>
      <c r="B176" s="7" t="s">
        <v>371</v>
      </c>
      <c r="C176" s="7" t="s">
        <v>36</v>
      </c>
      <c r="D176" s="7" t="s">
        <v>40</v>
      </c>
      <c r="E176" s="7" t="s">
        <v>37</v>
      </c>
      <c r="F176" s="7" t="s">
        <v>19</v>
      </c>
      <c r="G176" s="7" t="s">
        <v>5</v>
      </c>
      <c r="H176" s="8" t="s">
        <v>385</v>
      </c>
    </row>
    <row r="177" spans="1:8" ht="30" x14ac:dyDescent="0.25">
      <c r="A177" s="6">
        <v>175</v>
      </c>
      <c r="B177" s="7" t="s">
        <v>371</v>
      </c>
      <c r="C177" s="7" t="s">
        <v>40</v>
      </c>
      <c r="D177" s="7" t="s">
        <v>386</v>
      </c>
      <c r="E177" s="7" t="s">
        <v>37</v>
      </c>
      <c r="F177" s="7" t="s">
        <v>19</v>
      </c>
      <c r="G177" s="7" t="s">
        <v>44</v>
      </c>
      <c r="H177" s="8" t="s">
        <v>387</v>
      </c>
    </row>
    <row r="178" spans="1:8" x14ac:dyDescent="0.25">
      <c r="A178" s="6">
        <v>176</v>
      </c>
      <c r="B178" s="7" t="s">
        <v>371</v>
      </c>
      <c r="C178" s="7" t="s">
        <v>43</v>
      </c>
      <c r="D178" s="7" t="s">
        <v>47</v>
      </c>
      <c r="E178" s="7" t="s">
        <v>37</v>
      </c>
      <c r="F178" s="7" t="s">
        <v>22</v>
      </c>
      <c r="G178" s="7" t="s">
        <v>22</v>
      </c>
      <c r="H178" s="8" t="s">
        <v>388</v>
      </c>
    </row>
    <row r="179" spans="1:8" x14ac:dyDescent="0.25">
      <c r="A179" s="6">
        <v>177</v>
      </c>
      <c r="B179" s="7" t="s">
        <v>371</v>
      </c>
      <c r="C179" s="7" t="s">
        <v>47</v>
      </c>
      <c r="D179" s="7" t="s">
        <v>52</v>
      </c>
      <c r="E179" s="7" t="s">
        <v>37</v>
      </c>
      <c r="F179" s="7" t="s">
        <v>22</v>
      </c>
      <c r="G179" s="7" t="s">
        <v>3</v>
      </c>
      <c r="H179" s="8" t="s">
        <v>389</v>
      </c>
    </row>
    <row r="180" spans="1:8" ht="30" x14ac:dyDescent="0.25">
      <c r="A180" s="6">
        <v>178</v>
      </c>
      <c r="B180" s="7" t="s">
        <v>371</v>
      </c>
      <c r="C180" s="7" t="s">
        <v>52</v>
      </c>
      <c r="D180" s="7" t="s">
        <v>247</v>
      </c>
      <c r="E180" s="7" t="s">
        <v>37</v>
      </c>
      <c r="F180" s="7" t="s">
        <v>22</v>
      </c>
      <c r="G180" s="7" t="s">
        <v>28</v>
      </c>
      <c r="H180" s="8" t="s">
        <v>390</v>
      </c>
    </row>
    <row r="181" spans="1:8" ht="30" x14ac:dyDescent="0.25">
      <c r="A181" s="6">
        <v>179</v>
      </c>
      <c r="B181" s="7" t="s">
        <v>371</v>
      </c>
      <c r="C181" s="7" t="s">
        <v>247</v>
      </c>
      <c r="D181" s="7" t="s">
        <v>320</v>
      </c>
      <c r="E181" s="7" t="s">
        <v>37</v>
      </c>
      <c r="F181" s="7" t="s">
        <v>22</v>
      </c>
      <c r="G181" s="7" t="s">
        <v>18</v>
      </c>
      <c r="H181" s="8" t="s">
        <v>391</v>
      </c>
    </row>
    <row r="182" spans="1:8" ht="30" x14ac:dyDescent="0.25">
      <c r="A182" s="6">
        <v>180</v>
      </c>
      <c r="B182" s="7" t="s">
        <v>371</v>
      </c>
      <c r="C182" s="7" t="s">
        <v>56</v>
      </c>
      <c r="D182" s="7" t="s">
        <v>392</v>
      </c>
      <c r="E182" s="7" t="s">
        <v>37</v>
      </c>
      <c r="F182" s="7" t="s">
        <v>22</v>
      </c>
      <c r="G182" s="7" t="s">
        <v>4</v>
      </c>
      <c r="H182" s="8" t="s">
        <v>393</v>
      </c>
    </row>
    <row r="183" spans="1:8" ht="30" x14ac:dyDescent="0.25">
      <c r="A183" s="6">
        <v>181</v>
      </c>
      <c r="B183" s="7" t="s">
        <v>371</v>
      </c>
      <c r="C183" s="7" t="s">
        <v>58</v>
      </c>
      <c r="D183" s="7" t="s">
        <v>394</v>
      </c>
      <c r="E183" s="7" t="s">
        <v>37</v>
      </c>
      <c r="F183" s="7" t="s">
        <v>22</v>
      </c>
      <c r="G183" s="7" t="s">
        <v>37</v>
      </c>
      <c r="H183" s="8" t="s">
        <v>395</v>
      </c>
    </row>
    <row r="184" spans="1:8" ht="30" x14ac:dyDescent="0.25">
      <c r="A184" s="6">
        <v>182</v>
      </c>
      <c r="B184" s="7" t="s">
        <v>371</v>
      </c>
      <c r="C184" s="7" t="s">
        <v>61</v>
      </c>
      <c r="D184" s="7" t="s">
        <v>396</v>
      </c>
      <c r="E184" s="7" t="s">
        <v>37</v>
      </c>
      <c r="F184" s="7" t="s">
        <v>22</v>
      </c>
      <c r="G184" s="7" t="s">
        <v>5</v>
      </c>
      <c r="H184" s="8" t="s">
        <v>397</v>
      </c>
    </row>
    <row r="185" spans="1:8" ht="30" x14ac:dyDescent="0.25">
      <c r="A185" s="6">
        <v>183</v>
      </c>
      <c r="B185" s="7" t="s">
        <v>371</v>
      </c>
      <c r="C185" s="7" t="s">
        <v>253</v>
      </c>
      <c r="D185" s="7" t="s">
        <v>65</v>
      </c>
      <c r="E185" s="7" t="s">
        <v>37</v>
      </c>
      <c r="F185" s="7" t="s">
        <v>22</v>
      </c>
      <c r="G185" s="7" t="s">
        <v>44</v>
      </c>
      <c r="H185" s="8" t="s">
        <v>398</v>
      </c>
    </row>
    <row r="186" spans="1:8" ht="30" x14ac:dyDescent="0.25">
      <c r="A186" s="6">
        <v>184</v>
      </c>
      <c r="B186" s="7" t="s">
        <v>371</v>
      </c>
      <c r="C186" s="7" t="s">
        <v>399</v>
      </c>
      <c r="D186" s="7" t="s">
        <v>69</v>
      </c>
      <c r="E186" s="7" t="s">
        <v>37</v>
      </c>
      <c r="F186" s="7" t="s">
        <v>22</v>
      </c>
      <c r="G186" s="7" t="s">
        <v>19</v>
      </c>
      <c r="H186" s="8" t="s">
        <v>400</v>
      </c>
    </row>
    <row r="187" spans="1:8" x14ac:dyDescent="0.25">
      <c r="A187" s="6">
        <v>185</v>
      </c>
      <c r="B187" s="7" t="s">
        <v>371</v>
      </c>
      <c r="C187" s="7" t="s">
        <v>401</v>
      </c>
      <c r="D187" s="7" t="s">
        <v>70</v>
      </c>
      <c r="E187" s="7" t="s">
        <v>37</v>
      </c>
      <c r="F187" s="7" t="s">
        <v>3</v>
      </c>
      <c r="G187" s="7" t="s">
        <v>3</v>
      </c>
      <c r="H187" s="8" t="s">
        <v>402</v>
      </c>
    </row>
    <row r="188" spans="1:8" ht="30" x14ac:dyDescent="0.25">
      <c r="A188" s="6">
        <v>186</v>
      </c>
      <c r="B188" s="7" t="s">
        <v>371</v>
      </c>
      <c r="C188" s="7" t="s">
        <v>258</v>
      </c>
      <c r="D188" s="7" t="s">
        <v>259</v>
      </c>
      <c r="E188" s="7" t="s">
        <v>37</v>
      </c>
      <c r="F188" s="7" t="s">
        <v>3</v>
      </c>
      <c r="G188" s="7" t="s">
        <v>28</v>
      </c>
      <c r="H188" s="8" t="s">
        <v>403</v>
      </c>
    </row>
    <row r="189" spans="1:8" ht="30" x14ac:dyDescent="0.25">
      <c r="A189" s="6">
        <v>187</v>
      </c>
      <c r="B189" s="7" t="s">
        <v>371</v>
      </c>
      <c r="C189" s="7" t="s">
        <v>404</v>
      </c>
      <c r="D189" s="7" t="s">
        <v>261</v>
      </c>
      <c r="E189" s="7" t="s">
        <v>37</v>
      </c>
      <c r="F189" s="7" t="s">
        <v>3</v>
      </c>
      <c r="G189" s="7" t="s">
        <v>18</v>
      </c>
      <c r="H189" s="8" t="s">
        <v>405</v>
      </c>
    </row>
    <row r="190" spans="1:8" ht="30" x14ac:dyDescent="0.25">
      <c r="A190" s="6">
        <v>188</v>
      </c>
      <c r="B190" s="7" t="s">
        <v>371</v>
      </c>
      <c r="C190" s="7" t="s">
        <v>406</v>
      </c>
      <c r="D190" s="7" t="s">
        <v>76</v>
      </c>
      <c r="E190" s="7" t="s">
        <v>37</v>
      </c>
      <c r="F190" s="7" t="s">
        <v>3</v>
      </c>
      <c r="G190" s="7" t="s">
        <v>4</v>
      </c>
      <c r="H190" s="8" t="s">
        <v>407</v>
      </c>
    </row>
    <row r="191" spans="1:8" ht="30" x14ac:dyDescent="0.25">
      <c r="A191" s="6">
        <v>189</v>
      </c>
      <c r="B191" s="7" t="s">
        <v>408</v>
      </c>
      <c r="C191" s="7" t="s">
        <v>16</v>
      </c>
      <c r="D191" s="7" t="s">
        <v>270</v>
      </c>
      <c r="E191" s="7" t="s">
        <v>5</v>
      </c>
      <c r="F191" s="7" t="s">
        <v>3</v>
      </c>
      <c r="G191" s="7" t="s">
        <v>4</v>
      </c>
      <c r="H191" s="8" t="s">
        <v>409</v>
      </c>
    </row>
    <row r="192" spans="1:8" ht="30" x14ac:dyDescent="0.25">
      <c r="A192" s="6">
        <v>190</v>
      </c>
      <c r="B192" s="7" t="s">
        <v>408</v>
      </c>
      <c r="C192" s="7" t="s">
        <v>270</v>
      </c>
      <c r="D192" s="7" t="s">
        <v>24</v>
      </c>
      <c r="E192" s="7" t="s">
        <v>5</v>
      </c>
      <c r="F192" s="7" t="s">
        <v>3</v>
      </c>
      <c r="G192" s="7" t="s">
        <v>37</v>
      </c>
      <c r="H192" s="8" t="s">
        <v>410</v>
      </c>
    </row>
    <row r="193" spans="1:8" ht="60" x14ac:dyDescent="0.25">
      <c r="A193" s="6">
        <v>191</v>
      </c>
      <c r="B193" s="7" t="s">
        <v>408</v>
      </c>
      <c r="C193" s="7" t="s">
        <v>21</v>
      </c>
      <c r="D193" s="7" t="s">
        <v>85</v>
      </c>
      <c r="E193" s="7" t="s">
        <v>5</v>
      </c>
      <c r="F193" s="7" t="s">
        <v>3</v>
      </c>
      <c r="G193" s="7" t="s">
        <v>5</v>
      </c>
      <c r="H193" s="8" t="s">
        <v>411</v>
      </c>
    </row>
    <row r="194" spans="1:8" ht="30" x14ac:dyDescent="0.25">
      <c r="A194" s="6">
        <v>192</v>
      </c>
      <c r="B194" s="7" t="s">
        <v>408</v>
      </c>
      <c r="C194" s="7" t="s">
        <v>85</v>
      </c>
      <c r="D194" s="7" t="s">
        <v>412</v>
      </c>
      <c r="E194" s="7" t="s">
        <v>5</v>
      </c>
      <c r="F194" s="7" t="s">
        <v>3</v>
      </c>
      <c r="G194" s="7" t="s">
        <v>44</v>
      </c>
      <c r="H194" s="8" t="s">
        <v>413</v>
      </c>
    </row>
    <row r="195" spans="1:8" ht="30" x14ac:dyDescent="0.25">
      <c r="A195" s="6">
        <v>193</v>
      </c>
      <c r="B195" s="7" t="s">
        <v>408</v>
      </c>
      <c r="C195" s="7" t="s">
        <v>86</v>
      </c>
      <c r="D195" s="7" t="s">
        <v>276</v>
      </c>
      <c r="E195" s="7" t="s">
        <v>5</v>
      </c>
      <c r="F195" s="7" t="s">
        <v>3</v>
      </c>
      <c r="G195" s="7" t="s">
        <v>19</v>
      </c>
      <c r="H195" s="8" t="s">
        <v>414</v>
      </c>
    </row>
    <row r="196" spans="1:8" ht="30" x14ac:dyDescent="0.25">
      <c r="A196" s="6">
        <v>194</v>
      </c>
      <c r="B196" s="7" t="s">
        <v>408</v>
      </c>
      <c r="C196" s="7" t="s">
        <v>274</v>
      </c>
      <c r="D196" s="7" t="s">
        <v>91</v>
      </c>
      <c r="E196" s="7" t="s">
        <v>5</v>
      </c>
      <c r="F196" s="7" t="s">
        <v>3</v>
      </c>
      <c r="G196" s="7" t="s">
        <v>22</v>
      </c>
      <c r="H196" s="8" t="s">
        <v>415</v>
      </c>
    </row>
    <row r="197" spans="1:8" ht="45" x14ac:dyDescent="0.25">
      <c r="A197" s="6">
        <v>195</v>
      </c>
      <c r="B197" s="7" t="s">
        <v>408</v>
      </c>
      <c r="C197" s="7" t="s">
        <v>91</v>
      </c>
      <c r="D197" s="7" t="s">
        <v>280</v>
      </c>
      <c r="E197" s="7" t="s">
        <v>5</v>
      </c>
      <c r="F197" s="7" t="s">
        <v>28</v>
      </c>
      <c r="G197" s="7" t="s">
        <v>28</v>
      </c>
      <c r="H197" s="8" t="s">
        <v>416</v>
      </c>
    </row>
    <row r="198" spans="1:8" ht="45" x14ac:dyDescent="0.25">
      <c r="A198" s="6">
        <v>196</v>
      </c>
      <c r="B198" s="7" t="s">
        <v>408</v>
      </c>
      <c r="C198" s="7" t="s">
        <v>95</v>
      </c>
      <c r="D198" s="7" t="s">
        <v>98</v>
      </c>
      <c r="E198" s="7" t="s">
        <v>5</v>
      </c>
      <c r="F198" s="7" t="s">
        <v>28</v>
      </c>
      <c r="G198" s="7" t="s">
        <v>18</v>
      </c>
      <c r="H198" s="8" t="s">
        <v>417</v>
      </c>
    </row>
    <row r="199" spans="1:8" x14ac:dyDescent="0.25">
      <c r="A199" s="6">
        <v>197</v>
      </c>
      <c r="B199" s="7" t="s">
        <v>408</v>
      </c>
      <c r="C199" s="7" t="s">
        <v>418</v>
      </c>
      <c r="D199" s="7" t="s">
        <v>101</v>
      </c>
      <c r="E199" s="7" t="s">
        <v>5</v>
      </c>
      <c r="F199" s="7" t="s">
        <v>28</v>
      </c>
      <c r="G199" s="7" t="s">
        <v>4</v>
      </c>
      <c r="H199" s="8" t="s">
        <v>419</v>
      </c>
    </row>
    <row r="200" spans="1:8" ht="30" x14ac:dyDescent="0.25">
      <c r="A200" s="6">
        <v>198</v>
      </c>
      <c r="B200" s="7" t="s">
        <v>408</v>
      </c>
      <c r="C200" s="7" t="s">
        <v>99</v>
      </c>
      <c r="D200" s="7" t="s">
        <v>104</v>
      </c>
      <c r="E200" s="7" t="s">
        <v>5</v>
      </c>
      <c r="F200" s="7" t="s">
        <v>28</v>
      </c>
      <c r="G200" s="7" t="s">
        <v>37</v>
      </c>
      <c r="H200" s="8" t="s">
        <v>420</v>
      </c>
    </row>
    <row r="201" spans="1:8" ht="45" x14ac:dyDescent="0.25">
      <c r="A201" s="6"/>
      <c r="B201" s="7"/>
      <c r="C201" s="7"/>
      <c r="D201" s="7"/>
      <c r="E201" s="7"/>
      <c r="F201" s="7"/>
      <c r="G201" s="7"/>
      <c r="H201" s="8" t="s">
        <v>421</v>
      </c>
    </row>
    <row r="202" spans="1:8" ht="30" x14ac:dyDescent="0.25">
      <c r="A202" s="6">
        <v>199</v>
      </c>
      <c r="B202" s="7" t="s">
        <v>408</v>
      </c>
      <c r="C202" s="7" t="s">
        <v>422</v>
      </c>
      <c r="D202" s="7" t="s">
        <v>107</v>
      </c>
      <c r="E202" s="7" t="s">
        <v>5</v>
      </c>
      <c r="F202" s="7" t="s">
        <v>28</v>
      </c>
      <c r="G202" s="7" t="s">
        <v>5</v>
      </c>
      <c r="H202" s="8" t="s">
        <v>423</v>
      </c>
    </row>
    <row r="203" spans="1:8" ht="30" x14ac:dyDescent="0.25">
      <c r="A203" s="6">
        <v>200</v>
      </c>
      <c r="B203" s="7" t="s">
        <v>408</v>
      </c>
      <c r="C203" s="7" t="s">
        <v>424</v>
      </c>
      <c r="D203" s="7" t="s">
        <v>425</v>
      </c>
      <c r="E203" s="7" t="s">
        <v>5</v>
      </c>
      <c r="F203" s="7" t="s">
        <v>28</v>
      </c>
      <c r="G203" s="7" t="s">
        <v>44</v>
      </c>
      <c r="H203" s="8" t="s">
        <v>426</v>
      </c>
    </row>
    <row r="204" spans="1:8" ht="30" x14ac:dyDescent="0.25">
      <c r="A204" s="6">
        <v>201</v>
      </c>
      <c r="B204" s="7" t="s">
        <v>408</v>
      </c>
      <c r="C204" s="7" t="s">
        <v>427</v>
      </c>
      <c r="D204" s="7" t="s">
        <v>428</v>
      </c>
      <c r="E204" s="7" t="s">
        <v>5</v>
      </c>
      <c r="F204" s="7" t="s">
        <v>28</v>
      </c>
      <c r="G204" s="7" t="s">
        <v>19</v>
      </c>
      <c r="H204" s="8" t="s">
        <v>426</v>
      </c>
    </row>
    <row r="205" spans="1:8" ht="30" x14ac:dyDescent="0.25">
      <c r="A205" s="6">
        <v>202</v>
      </c>
      <c r="B205" s="7" t="s">
        <v>408</v>
      </c>
      <c r="C205" s="7" t="s">
        <v>428</v>
      </c>
      <c r="D205" s="7" t="s">
        <v>429</v>
      </c>
      <c r="E205" s="7" t="s">
        <v>5</v>
      </c>
      <c r="F205" s="7" t="s">
        <v>28</v>
      </c>
      <c r="G205" s="7" t="s">
        <v>22</v>
      </c>
      <c r="H205" s="8" t="s">
        <v>430</v>
      </c>
    </row>
    <row r="206" spans="1:8" ht="45" x14ac:dyDescent="0.25">
      <c r="A206" s="6">
        <v>203</v>
      </c>
      <c r="B206" s="7" t="s">
        <v>408</v>
      </c>
      <c r="C206" s="7" t="s">
        <v>114</v>
      </c>
      <c r="D206" s="7" t="s">
        <v>290</v>
      </c>
      <c r="E206" s="7" t="s">
        <v>5</v>
      </c>
      <c r="F206" s="7" t="s">
        <v>28</v>
      </c>
      <c r="G206" s="7" t="s">
        <v>3</v>
      </c>
      <c r="H206" s="8" t="s">
        <v>431</v>
      </c>
    </row>
    <row r="207" spans="1:8" ht="30" x14ac:dyDescent="0.25">
      <c r="A207" s="6">
        <v>204</v>
      </c>
      <c r="B207" s="7" t="s">
        <v>408</v>
      </c>
      <c r="C207" s="7" t="s">
        <v>117</v>
      </c>
      <c r="D207" s="7" t="s">
        <v>224</v>
      </c>
      <c r="E207" s="7" t="s">
        <v>5</v>
      </c>
      <c r="F207" s="7" t="s">
        <v>18</v>
      </c>
      <c r="G207" s="7" t="s">
        <v>18</v>
      </c>
      <c r="H207" s="8" t="s">
        <v>432</v>
      </c>
    </row>
    <row r="208" spans="1:8" ht="30" x14ac:dyDescent="0.25">
      <c r="A208" s="6">
        <v>205</v>
      </c>
      <c r="B208" s="7" t="s">
        <v>408</v>
      </c>
      <c r="C208" s="7" t="s">
        <v>121</v>
      </c>
      <c r="D208" s="7" t="s">
        <v>122</v>
      </c>
      <c r="E208" s="7" t="s">
        <v>5</v>
      </c>
      <c r="F208" s="7" t="s">
        <v>18</v>
      </c>
      <c r="G208" s="7" t="s">
        <v>4</v>
      </c>
      <c r="H208" s="8" t="s">
        <v>433</v>
      </c>
    </row>
    <row r="209" spans="1:8" ht="30" x14ac:dyDescent="0.25">
      <c r="A209" s="6">
        <v>206</v>
      </c>
      <c r="B209" s="7" t="s">
        <v>408</v>
      </c>
      <c r="C209" s="7" t="s">
        <v>124</v>
      </c>
      <c r="D209" s="7" t="s">
        <v>127</v>
      </c>
      <c r="E209" s="7" t="s">
        <v>5</v>
      </c>
      <c r="F209" s="7" t="s">
        <v>18</v>
      </c>
      <c r="G209" s="7" t="s">
        <v>37</v>
      </c>
      <c r="H209" s="8" t="s">
        <v>434</v>
      </c>
    </row>
    <row r="210" spans="1:8" ht="30" x14ac:dyDescent="0.25">
      <c r="A210" s="6">
        <v>207</v>
      </c>
      <c r="B210" s="7" t="s">
        <v>408</v>
      </c>
      <c r="C210" s="7" t="s">
        <v>127</v>
      </c>
      <c r="D210" s="7" t="s">
        <v>76</v>
      </c>
      <c r="E210" s="7" t="s">
        <v>5</v>
      </c>
      <c r="F210" s="7" t="s">
        <v>18</v>
      </c>
      <c r="G210" s="7" t="s">
        <v>5</v>
      </c>
      <c r="H210" s="8" t="s">
        <v>435</v>
      </c>
    </row>
    <row r="211" spans="1:8" ht="30" x14ac:dyDescent="0.25">
      <c r="A211" s="6">
        <v>208</v>
      </c>
      <c r="B211" s="7" t="s">
        <v>436</v>
      </c>
      <c r="C211" s="7" t="s">
        <v>266</v>
      </c>
      <c r="D211" s="7" t="s">
        <v>131</v>
      </c>
      <c r="E211" s="7" t="s">
        <v>5</v>
      </c>
      <c r="F211" s="7" t="s">
        <v>18</v>
      </c>
      <c r="G211" s="7" t="s">
        <v>44</v>
      </c>
      <c r="H211" s="8" t="s">
        <v>437</v>
      </c>
    </row>
    <row r="212" spans="1:8" ht="30" x14ac:dyDescent="0.25">
      <c r="A212" s="6">
        <v>209</v>
      </c>
      <c r="B212" s="7" t="s">
        <v>436</v>
      </c>
      <c r="C212" s="7" t="s">
        <v>131</v>
      </c>
      <c r="D212" s="7" t="s">
        <v>135</v>
      </c>
      <c r="E212" s="7" t="s">
        <v>5</v>
      </c>
      <c r="F212" s="7" t="s">
        <v>18</v>
      </c>
      <c r="G212" s="7" t="s">
        <v>19</v>
      </c>
      <c r="H212" s="8" t="s">
        <v>438</v>
      </c>
    </row>
    <row r="213" spans="1:8" ht="30" x14ac:dyDescent="0.25">
      <c r="A213" s="6">
        <v>210</v>
      </c>
      <c r="B213" s="7" t="s">
        <v>436</v>
      </c>
      <c r="C213" s="7" t="s">
        <v>135</v>
      </c>
      <c r="D213" s="7" t="s">
        <v>136</v>
      </c>
      <c r="E213" s="7" t="s">
        <v>5</v>
      </c>
      <c r="F213" s="7" t="s">
        <v>18</v>
      </c>
      <c r="G213" s="7" t="s">
        <v>22</v>
      </c>
      <c r="H213" s="8" t="s">
        <v>439</v>
      </c>
    </row>
    <row r="214" spans="1:8" ht="30" x14ac:dyDescent="0.25">
      <c r="A214" s="6">
        <v>211</v>
      </c>
      <c r="B214" s="7" t="s">
        <v>436</v>
      </c>
      <c r="C214" s="7" t="s">
        <v>440</v>
      </c>
      <c r="D214" s="7" t="s">
        <v>140</v>
      </c>
      <c r="E214" s="7" t="s">
        <v>5</v>
      </c>
      <c r="F214" s="7" t="s">
        <v>18</v>
      </c>
      <c r="G214" s="7" t="s">
        <v>3</v>
      </c>
      <c r="H214" s="8" t="s">
        <v>441</v>
      </c>
    </row>
    <row r="215" spans="1:8" ht="30" x14ac:dyDescent="0.25">
      <c r="A215" s="6">
        <v>212</v>
      </c>
      <c r="B215" s="7" t="s">
        <v>436</v>
      </c>
      <c r="C215" s="7" t="s">
        <v>31</v>
      </c>
      <c r="D215" s="7" t="s">
        <v>442</v>
      </c>
      <c r="E215" s="7" t="s">
        <v>5</v>
      </c>
      <c r="F215" s="7" t="s">
        <v>18</v>
      </c>
      <c r="G215" s="7" t="s">
        <v>28</v>
      </c>
      <c r="H215" s="8" t="s">
        <v>443</v>
      </c>
    </row>
    <row r="216" spans="1:8" x14ac:dyDescent="0.25">
      <c r="A216" s="6">
        <v>213</v>
      </c>
      <c r="B216" s="7" t="s">
        <v>436</v>
      </c>
      <c r="C216" s="7" t="s">
        <v>442</v>
      </c>
      <c r="D216" s="7" t="s">
        <v>143</v>
      </c>
      <c r="E216" s="7" t="s">
        <v>5</v>
      </c>
      <c r="F216" s="7" t="s">
        <v>4</v>
      </c>
      <c r="G216" s="7" t="s">
        <v>4</v>
      </c>
      <c r="H216" s="8" t="s">
        <v>444</v>
      </c>
    </row>
    <row r="217" spans="1:8" ht="30" x14ac:dyDescent="0.25">
      <c r="A217" s="6">
        <v>214</v>
      </c>
      <c r="B217" s="7" t="s">
        <v>436</v>
      </c>
      <c r="C217" s="7" t="s">
        <v>145</v>
      </c>
      <c r="D217" s="7" t="s">
        <v>146</v>
      </c>
      <c r="E217" s="7" t="s">
        <v>5</v>
      </c>
      <c r="F217" s="7" t="s">
        <v>4</v>
      </c>
      <c r="G217" s="7" t="s">
        <v>37</v>
      </c>
      <c r="H217" s="8" t="s">
        <v>445</v>
      </c>
    </row>
    <row r="218" spans="1:8" ht="30" x14ac:dyDescent="0.25">
      <c r="A218" s="6">
        <v>215</v>
      </c>
      <c r="B218" s="7" t="s">
        <v>436</v>
      </c>
      <c r="C218" s="7" t="s">
        <v>146</v>
      </c>
      <c r="D218" s="7" t="s">
        <v>446</v>
      </c>
      <c r="E218" s="7" t="s">
        <v>5</v>
      </c>
      <c r="F218" s="7" t="s">
        <v>4</v>
      </c>
      <c r="G218" s="7" t="s">
        <v>5</v>
      </c>
      <c r="H218" s="8" t="s">
        <v>447</v>
      </c>
    </row>
    <row r="219" spans="1:8" ht="30" x14ac:dyDescent="0.25">
      <c r="A219" s="6">
        <v>216</v>
      </c>
      <c r="B219" s="7" t="s">
        <v>436</v>
      </c>
      <c r="C219" s="7" t="s">
        <v>314</v>
      </c>
      <c r="D219" s="7" t="s">
        <v>151</v>
      </c>
      <c r="E219" s="7" t="s">
        <v>5</v>
      </c>
      <c r="F219" s="7" t="s">
        <v>4</v>
      </c>
      <c r="G219" s="7" t="s">
        <v>44</v>
      </c>
      <c r="H219" s="8" t="s">
        <v>448</v>
      </c>
    </row>
    <row r="220" spans="1:8" ht="30" x14ac:dyDescent="0.25">
      <c r="A220" s="6">
        <v>217</v>
      </c>
      <c r="B220" s="7" t="s">
        <v>436</v>
      </c>
      <c r="C220" s="7" t="s">
        <v>317</v>
      </c>
      <c r="D220" s="7" t="s">
        <v>153</v>
      </c>
      <c r="E220" s="7" t="s">
        <v>5</v>
      </c>
      <c r="F220" s="7" t="s">
        <v>4</v>
      </c>
      <c r="G220" s="7" t="s">
        <v>19</v>
      </c>
      <c r="H220" s="8" t="s">
        <v>449</v>
      </c>
    </row>
    <row r="221" spans="1:8" ht="45" x14ac:dyDescent="0.25">
      <c r="A221" s="6">
        <v>218</v>
      </c>
      <c r="B221" s="7" t="s">
        <v>436</v>
      </c>
      <c r="C221" s="7" t="s">
        <v>153</v>
      </c>
      <c r="D221" s="7" t="s">
        <v>155</v>
      </c>
      <c r="E221" s="7" t="s">
        <v>5</v>
      </c>
      <c r="F221" s="7" t="s">
        <v>4</v>
      </c>
      <c r="G221" s="7" t="s">
        <v>22</v>
      </c>
      <c r="H221" s="8" t="s">
        <v>450</v>
      </c>
    </row>
    <row r="222" spans="1:8" ht="30" x14ac:dyDescent="0.25">
      <c r="A222" s="6">
        <v>219</v>
      </c>
      <c r="B222" s="7" t="s">
        <v>436</v>
      </c>
      <c r="C222" s="7" t="s">
        <v>155</v>
      </c>
      <c r="D222" s="7" t="s">
        <v>56</v>
      </c>
      <c r="E222" s="7" t="s">
        <v>5</v>
      </c>
      <c r="F222" s="7" t="s">
        <v>4</v>
      </c>
      <c r="G222" s="7" t="s">
        <v>3</v>
      </c>
      <c r="H222" s="8" t="s">
        <v>451</v>
      </c>
    </row>
    <row r="223" spans="1:8" ht="30" x14ac:dyDescent="0.25">
      <c r="A223" s="6">
        <v>220</v>
      </c>
      <c r="B223" s="7" t="s">
        <v>436</v>
      </c>
      <c r="C223" s="7" t="s">
        <v>320</v>
      </c>
      <c r="D223" s="7" t="s">
        <v>161</v>
      </c>
      <c r="E223" s="7" t="s">
        <v>5</v>
      </c>
      <c r="F223" s="7" t="s">
        <v>4</v>
      </c>
      <c r="G223" s="7" t="s">
        <v>28</v>
      </c>
      <c r="H223" s="8" t="s">
        <v>452</v>
      </c>
    </row>
    <row r="224" spans="1:8" ht="30" x14ac:dyDescent="0.25">
      <c r="A224" s="6">
        <v>221</v>
      </c>
      <c r="B224" s="7" t="s">
        <v>436</v>
      </c>
      <c r="C224" s="7" t="s">
        <v>159</v>
      </c>
      <c r="D224" s="7" t="s">
        <v>325</v>
      </c>
      <c r="E224" s="7" t="s">
        <v>5</v>
      </c>
      <c r="F224" s="7" t="s">
        <v>4</v>
      </c>
      <c r="G224" s="7" t="s">
        <v>18</v>
      </c>
      <c r="H224" s="8" t="s">
        <v>453</v>
      </c>
    </row>
    <row r="225" spans="1:8" x14ac:dyDescent="0.25">
      <c r="A225" s="6">
        <v>222</v>
      </c>
      <c r="B225" s="7" t="s">
        <v>436</v>
      </c>
      <c r="C225" s="7" t="s">
        <v>325</v>
      </c>
      <c r="D225" s="7" t="s">
        <v>166</v>
      </c>
      <c r="E225" s="7" t="s">
        <v>5</v>
      </c>
      <c r="F225" s="7" t="s">
        <v>37</v>
      </c>
      <c r="G225" s="7" t="s">
        <v>37</v>
      </c>
      <c r="H225" s="8" t="s">
        <v>454</v>
      </c>
    </row>
    <row r="226" spans="1:8" ht="45" x14ac:dyDescent="0.25">
      <c r="A226" s="6">
        <v>223</v>
      </c>
      <c r="B226" s="7" t="s">
        <v>436</v>
      </c>
      <c r="C226" s="7" t="s">
        <v>455</v>
      </c>
      <c r="D226" s="7" t="s">
        <v>169</v>
      </c>
      <c r="E226" s="7" t="s">
        <v>5</v>
      </c>
      <c r="F226" s="7" t="s">
        <v>37</v>
      </c>
      <c r="G226" s="7" t="s">
        <v>5</v>
      </c>
      <c r="H226" s="8" t="s">
        <v>456</v>
      </c>
    </row>
    <row r="227" spans="1:8" ht="45" x14ac:dyDescent="0.25">
      <c r="A227" s="6">
        <v>224</v>
      </c>
      <c r="B227" s="7" t="s">
        <v>436</v>
      </c>
      <c r="C227" s="7" t="s">
        <v>457</v>
      </c>
      <c r="D227" s="7" t="s">
        <v>172</v>
      </c>
      <c r="E227" s="7" t="s">
        <v>5</v>
      </c>
      <c r="F227" s="7" t="s">
        <v>37</v>
      </c>
      <c r="G227" s="7" t="s">
        <v>44</v>
      </c>
      <c r="H227" s="8" t="s">
        <v>458</v>
      </c>
    </row>
    <row r="228" spans="1:8" ht="30" x14ac:dyDescent="0.25">
      <c r="A228" s="6">
        <v>225</v>
      </c>
      <c r="B228" s="7" t="s">
        <v>436</v>
      </c>
      <c r="C228" s="7" t="s">
        <v>172</v>
      </c>
      <c r="D228" s="7" t="s">
        <v>330</v>
      </c>
      <c r="E228" s="7" t="s">
        <v>5</v>
      </c>
      <c r="F228" s="7" t="s">
        <v>37</v>
      </c>
      <c r="G228" s="7" t="s">
        <v>19</v>
      </c>
      <c r="H228" s="8" t="s">
        <v>459</v>
      </c>
    </row>
    <row r="229" spans="1:8" ht="30" x14ac:dyDescent="0.25">
      <c r="A229" s="6">
        <v>226</v>
      </c>
      <c r="B229" s="7" t="s">
        <v>436</v>
      </c>
      <c r="C229" s="7" t="s">
        <v>173</v>
      </c>
      <c r="D229" s="7" t="s">
        <v>176</v>
      </c>
      <c r="E229" s="7" t="s">
        <v>5</v>
      </c>
      <c r="F229" s="7" t="s">
        <v>37</v>
      </c>
      <c r="G229" s="7" t="s">
        <v>22</v>
      </c>
      <c r="H229" s="8" t="s">
        <v>460</v>
      </c>
    </row>
    <row r="230" spans="1:8" ht="30" x14ac:dyDescent="0.25">
      <c r="A230" s="6">
        <v>227</v>
      </c>
      <c r="B230" s="7" t="s">
        <v>436</v>
      </c>
      <c r="C230" s="7" t="s">
        <v>176</v>
      </c>
      <c r="D230" s="7" t="s">
        <v>178</v>
      </c>
      <c r="E230" s="7" t="s">
        <v>5</v>
      </c>
      <c r="F230" s="7" t="s">
        <v>37</v>
      </c>
      <c r="G230" s="7" t="s">
        <v>3</v>
      </c>
      <c r="H230" s="8" t="s">
        <v>461</v>
      </c>
    </row>
    <row r="231" spans="1:8" ht="30" x14ac:dyDescent="0.25">
      <c r="A231" s="6">
        <v>228</v>
      </c>
      <c r="B231" s="7" t="s">
        <v>436</v>
      </c>
      <c r="C231" s="7" t="s">
        <v>462</v>
      </c>
      <c r="D231" s="7" t="s">
        <v>76</v>
      </c>
      <c r="E231" s="7" t="s">
        <v>5</v>
      </c>
      <c r="F231" s="7" t="s">
        <v>37</v>
      </c>
      <c r="G231" s="7" t="s">
        <v>28</v>
      </c>
      <c r="H231" s="8" t="s">
        <v>463</v>
      </c>
    </row>
    <row r="232" spans="1:8" ht="30" x14ac:dyDescent="0.25">
      <c r="A232" s="6">
        <v>229</v>
      </c>
      <c r="B232" s="7" t="s">
        <v>464</v>
      </c>
      <c r="C232" s="7" t="s">
        <v>16</v>
      </c>
      <c r="D232" s="7" t="s">
        <v>182</v>
      </c>
      <c r="E232" s="7" t="s">
        <v>37</v>
      </c>
      <c r="F232" s="7" t="s">
        <v>37</v>
      </c>
      <c r="G232" s="7" t="s">
        <v>28</v>
      </c>
      <c r="H232" s="8" t="s">
        <v>465</v>
      </c>
    </row>
    <row r="233" spans="1:8" ht="30" x14ac:dyDescent="0.25">
      <c r="A233" s="6">
        <v>230</v>
      </c>
      <c r="B233" s="7" t="s">
        <v>464</v>
      </c>
      <c r="C233" s="7" t="s">
        <v>182</v>
      </c>
      <c r="D233" s="7" t="s">
        <v>184</v>
      </c>
      <c r="E233" s="7" t="s">
        <v>37</v>
      </c>
      <c r="F233" s="7" t="s">
        <v>37</v>
      </c>
      <c r="G233" s="7" t="s">
        <v>18</v>
      </c>
      <c r="H233" s="8" t="s">
        <v>466</v>
      </c>
    </row>
    <row r="234" spans="1:8" ht="45" x14ac:dyDescent="0.25">
      <c r="A234" s="6">
        <v>231</v>
      </c>
      <c r="B234" s="7" t="s">
        <v>464</v>
      </c>
      <c r="C234" s="7" t="s">
        <v>184</v>
      </c>
      <c r="D234" s="7" t="s">
        <v>340</v>
      </c>
      <c r="E234" s="7" t="s">
        <v>37</v>
      </c>
      <c r="F234" s="7" t="s">
        <v>37</v>
      </c>
      <c r="G234" s="7" t="s">
        <v>4</v>
      </c>
      <c r="H234" s="8" t="s">
        <v>467</v>
      </c>
    </row>
    <row r="235" spans="1:8" ht="30" x14ac:dyDescent="0.25">
      <c r="A235" s="6">
        <v>232</v>
      </c>
      <c r="B235" s="7" t="s">
        <v>464</v>
      </c>
      <c r="C235" s="7" t="s">
        <v>189</v>
      </c>
      <c r="D235" s="7" t="s">
        <v>190</v>
      </c>
      <c r="E235" s="7" t="s">
        <v>37</v>
      </c>
      <c r="F235" s="7" t="s">
        <v>5</v>
      </c>
      <c r="G235" s="7" t="s">
        <v>5</v>
      </c>
      <c r="H235" s="8" t="s">
        <v>468</v>
      </c>
    </row>
    <row r="236" spans="1:8" x14ac:dyDescent="0.25">
      <c r="A236" s="6">
        <v>233</v>
      </c>
      <c r="B236" s="7" t="s">
        <v>464</v>
      </c>
      <c r="C236" s="7" t="s">
        <v>469</v>
      </c>
      <c r="D236" s="7" t="s">
        <v>186</v>
      </c>
      <c r="E236" s="7" t="s">
        <v>37</v>
      </c>
      <c r="F236" s="7" t="s">
        <v>5</v>
      </c>
      <c r="G236" s="7" t="s">
        <v>44</v>
      </c>
      <c r="H236" s="8" t="s">
        <v>470</v>
      </c>
    </row>
    <row r="237" spans="1:8" ht="30" x14ac:dyDescent="0.25">
      <c r="A237" s="6">
        <v>234</v>
      </c>
      <c r="B237" s="7" t="s">
        <v>464</v>
      </c>
      <c r="C237" s="7" t="s">
        <v>471</v>
      </c>
      <c r="D237" s="7" t="s">
        <v>195</v>
      </c>
      <c r="E237" s="7" t="s">
        <v>37</v>
      </c>
      <c r="F237" s="7" t="s">
        <v>5</v>
      </c>
      <c r="G237" s="7" t="s">
        <v>19</v>
      </c>
      <c r="H237" s="8" t="s">
        <v>472</v>
      </c>
    </row>
    <row r="238" spans="1:8" ht="30" x14ac:dyDescent="0.25">
      <c r="A238" s="6">
        <v>235</v>
      </c>
      <c r="B238" s="7" t="s">
        <v>464</v>
      </c>
      <c r="C238" s="7" t="s">
        <v>195</v>
      </c>
      <c r="D238" s="7" t="s">
        <v>473</v>
      </c>
      <c r="E238" s="7" t="s">
        <v>37</v>
      </c>
      <c r="F238" s="7" t="s">
        <v>5</v>
      </c>
      <c r="G238" s="7" t="s">
        <v>22</v>
      </c>
      <c r="H238" s="8" t="s">
        <v>474</v>
      </c>
    </row>
    <row r="239" spans="1:8" x14ac:dyDescent="0.25">
      <c r="A239" s="6">
        <v>236</v>
      </c>
      <c r="B239" s="7" t="s">
        <v>464</v>
      </c>
      <c r="C239" s="7" t="s">
        <v>198</v>
      </c>
      <c r="D239" s="7" t="s">
        <v>349</v>
      </c>
      <c r="E239" s="7" t="s">
        <v>37</v>
      </c>
      <c r="F239" s="7" t="s">
        <v>5</v>
      </c>
      <c r="G239" s="7" t="s">
        <v>3</v>
      </c>
      <c r="H239" s="8" t="s">
        <v>475</v>
      </c>
    </row>
    <row r="240" spans="1:8" ht="45" x14ac:dyDescent="0.25">
      <c r="A240" s="6">
        <v>237</v>
      </c>
      <c r="B240" s="7" t="s">
        <v>464</v>
      </c>
      <c r="C240" s="7" t="s">
        <v>349</v>
      </c>
      <c r="D240" s="7" t="s">
        <v>350</v>
      </c>
      <c r="E240" s="7" t="s">
        <v>37</v>
      </c>
      <c r="F240" s="7" t="s">
        <v>5</v>
      </c>
      <c r="G240" s="7" t="s">
        <v>28</v>
      </c>
      <c r="H240" s="8" t="s">
        <v>476</v>
      </c>
    </row>
    <row r="241" spans="1:8" ht="30" x14ac:dyDescent="0.25">
      <c r="A241" s="6">
        <v>238</v>
      </c>
      <c r="B241" s="7" t="s">
        <v>464</v>
      </c>
      <c r="C241" s="7" t="s">
        <v>350</v>
      </c>
      <c r="D241" s="7" t="s">
        <v>477</v>
      </c>
      <c r="E241" s="7" t="s">
        <v>37</v>
      </c>
      <c r="F241" s="7" t="s">
        <v>5</v>
      </c>
      <c r="G241" s="7" t="s">
        <v>18</v>
      </c>
      <c r="H241" s="8" t="s">
        <v>478</v>
      </c>
    </row>
    <row r="242" spans="1:8" x14ac:dyDescent="0.25">
      <c r="A242" s="6">
        <v>239</v>
      </c>
      <c r="B242" s="7" t="s">
        <v>464</v>
      </c>
      <c r="C242" s="7" t="s">
        <v>207</v>
      </c>
      <c r="D242" s="7" t="s">
        <v>208</v>
      </c>
      <c r="E242" s="7" t="s">
        <v>37</v>
      </c>
      <c r="F242" s="7" t="s">
        <v>5</v>
      </c>
      <c r="G242" s="7" t="s">
        <v>4</v>
      </c>
      <c r="H242" s="8" t="s">
        <v>479</v>
      </c>
    </row>
    <row r="243" spans="1:8" ht="30" x14ac:dyDescent="0.25">
      <c r="A243" s="6">
        <v>240</v>
      </c>
      <c r="B243" s="7" t="s">
        <v>464</v>
      </c>
      <c r="C243" s="7" t="s">
        <v>354</v>
      </c>
      <c r="D243" s="7" t="s">
        <v>480</v>
      </c>
      <c r="E243" s="7" t="s">
        <v>37</v>
      </c>
      <c r="F243" s="7" t="s">
        <v>5</v>
      </c>
      <c r="G243" s="7" t="s">
        <v>37</v>
      </c>
      <c r="H243" s="8" t="s">
        <v>481</v>
      </c>
    </row>
    <row r="244" spans="1:8" ht="30" x14ac:dyDescent="0.25">
      <c r="A244" s="6">
        <v>241</v>
      </c>
      <c r="B244" s="7" t="s">
        <v>464</v>
      </c>
      <c r="C244" s="7" t="s">
        <v>210</v>
      </c>
      <c r="D244" s="7" t="s">
        <v>358</v>
      </c>
      <c r="E244" s="7" t="s">
        <v>37</v>
      </c>
      <c r="F244" s="7" t="s">
        <v>44</v>
      </c>
      <c r="G244" s="7" t="s">
        <v>44</v>
      </c>
      <c r="H244" s="8" t="s">
        <v>482</v>
      </c>
    </row>
    <row r="245" spans="1:8" ht="30" x14ac:dyDescent="0.25">
      <c r="A245" s="6">
        <v>242</v>
      </c>
      <c r="B245" s="7" t="s">
        <v>464</v>
      </c>
      <c r="C245" s="7" t="s">
        <v>360</v>
      </c>
      <c r="D245" s="7" t="s">
        <v>361</v>
      </c>
      <c r="E245" s="7" t="s">
        <v>37</v>
      </c>
      <c r="F245" s="7" t="s">
        <v>44</v>
      </c>
      <c r="G245" s="7" t="s">
        <v>19</v>
      </c>
      <c r="H245" s="8" t="s">
        <v>483</v>
      </c>
    </row>
    <row r="246" spans="1:8" ht="30" x14ac:dyDescent="0.25">
      <c r="A246" s="6">
        <v>243</v>
      </c>
      <c r="B246" s="7" t="s">
        <v>464</v>
      </c>
      <c r="C246" s="7" t="s">
        <v>361</v>
      </c>
      <c r="D246" s="7" t="s">
        <v>484</v>
      </c>
      <c r="E246" s="7" t="s">
        <v>37</v>
      </c>
      <c r="F246" s="7" t="s">
        <v>44</v>
      </c>
      <c r="G246" s="7" t="s">
        <v>22</v>
      </c>
      <c r="H246" s="8" t="s">
        <v>485</v>
      </c>
    </row>
    <row r="247" spans="1:8" ht="60" x14ac:dyDescent="0.25">
      <c r="A247" s="6">
        <v>244</v>
      </c>
      <c r="B247" s="7" t="s">
        <v>464</v>
      </c>
      <c r="C247" s="7" t="s">
        <v>364</v>
      </c>
      <c r="D247" s="7" t="s">
        <v>486</v>
      </c>
      <c r="E247" s="7" t="s">
        <v>37</v>
      </c>
      <c r="F247" s="7" t="s">
        <v>44</v>
      </c>
      <c r="G247" s="7" t="s">
        <v>3</v>
      </c>
      <c r="H247" s="8" t="s">
        <v>487</v>
      </c>
    </row>
    <row r="248" spans="1:8" ht="45" x14ac:dyDescent="0.25">
      <c r="A248" s="6">
        <v>245</v>
      </c>
      <c r="B248" s="7" t="s">
        <v>464</v>
      </c>
      <c r="C248" s="7" t="s">
        <v>486</v>
      </c>
      <c r="D248" s="7" t="s">
        <v>290</v>
      </c>
      <c r="E248" s="7" t="s">
        <v>37</v>
      </c>
      <c r="F248" s="7" t="s">
        <v>44</v>
      </c>
      <c r="G248" s="7" t="s">
        <v>28</v>
      </c>
      <c r="H248" s="8" t="s">
        <v>488</v>
      </c>
    </row>
    <row r="249" spans="1:8" ht="30" x14ac:dyDescent="0.25">
      <c r="A249" s="6">
        <v>246</v>
      </c>
      <c r="B249" s="7" t="s">
        <v>464</v>
      </c>
      <c r="C249" s="7" t="s">
        <v>290</v>
      </c>
      <c r="D249" s="7" t="s">
        <v>224</v>
      </c>
      <c r="E249" s="7" t="s">
        <v>37</v>
      </c>
      <c r="F249" s="7" t="s">
        <v>44</v>
      </c>
      <c r="G249" s="7" t="s">
        <v>18</v>
      </c>
      <c r="H249" s="8" t="s">
        <v>489</v>
      </c>
    </row>
    <row r="250" spans="1:8" ht="30" x14ac:dyDescent="0.25">
      <c r="A250" s="6">
        <v>247</v>
      </c>
      <c r="B250" s="7" t="s">
        <v>464</v>
      </c>
      <c r="C250" s="7" t="s">
        <v>121</v>
      </c>
      <c r="D250" s="7" t="s">
        <v>490</v>
      </c>
      <c r="E250" s="7" t="s">
        <v>37</v>
      </c>
      <c r="F250" s="7" t="s">
        <v>44</v>
      </c>
      <c r="G250" s="7" t="s">
        <v>4</v>
      </c>
      <c r="H250" s="8" t="s">
        <v>491</v>
      </c>
    </row>
    <row r="251" spans="1:8" ht="45" x14ac:dyDescent="0.25">
      <c r="A251" s="6">
        <v>248</v>
      </c>
      <c r="B251" s="7" t="s">
        <v>464</v>
      </c>
      <c r="C251" s="7" t="s">
        <v>122</v>
      </c>
      <c r="D251" s="7" t="s">
        <v>127</v>
      </c>
      <c r="E251" s="7" t="s">
        <v>37</v>
      </c>
      <c r="F251" s="7" t="s">
        <v>44</v>
      </c>
      <c r="G251" s="7" t="s">
        <v>492</v>
      </c>
      <c r="H251" s="8" t="s">
        <v>493</v>
      </c>
    </row>
    <row r="252" spans="1:8" ht="30" x14ac:dyDescent="0.25">
      <c r="A252" s="6">
        <v>249</v>
      </c>
      <c r="B252" s="7" t="s">
        <v>464</v>
      </c>
      <c r="C252" s="7" t="s">
        <v>494</v>
      </c>
      <c r="D252" s="7" t="s">
        <v>128</v>
      </c>
      <c r="E252" s="7" t="s">
        <v>37</v>
      </c>
      <c r="F252" s="7" t="s">
        <v>44</v>
      </c>
      <c r="G252" s="7" t="s">
        <v>5</v>
      </c>
      <c r="H252" s="8" t="s">
        <v>495</v>
      </c>
    </row>
    <row r="253" spans="1:8" ht="15.75" customHeight="1" x14ac:dyDescent="0.25">
      <c r="A253" s="11"/>
    </row>
    <row r="254" spans="1:8" ht="15.75" customHeight="1" x14ac:dyDescent="0.25">
      <c r="A254" s="11"/>
    </row>
    <row r="255" spans="1:8" ht="15.75" customHeight="1" x14ac:dyDescent="0.25">
      <c r="A255" s="11"/>
    </row>
    <row r="256" spans="1:8" ht="15.75" customHeight="1" x14ac:dyDescent="0.25">
      <c r="A256" s="11"/>
    </row>
    <row r="257" spans="1:1" ht="15.75" customHeight="1" x14ac:dyDescent="0.25">
      <c r="A257" s="11"/>
    </row>
    <row r="258" spans="1:1" ht="15.75" customHeight="1" x14ac:dyDescent="0.25">
      <c r="A258" s="11"/>
    </row>
    <row r="259" spans="1:1" ht="15.75" customHeight="1" x14ac:dyDescent="0.25">
      <c r="A259" s="11"/>
    </row>
    <row r="260" spans="1:1" ht="15.75" customHeight="1" x14ac:dyDescent="0.25">
      <c r="A260" s="11"/>
    </row>
    <row r="261" spans="1:1" ht="15.75" customHeight="1" x14ac:dyDescent="0.25">
      <c r="A261" s="11"/>
    </row>
    <row r="262" spans="1:1" ht="15.75" customHeight="1" x14ac:dyDescent="0.25">
      <c r="A262" s="11"/>
    </row>
    <row r="263" spans="1:1" ht="15.75" customHeight="1" x14ac:dyDescent="0.25">
      <c r="A263" s="11"/>
    </row>
    <row r="264" spans="1:1" ht="15.75" customHeight="1" x14ac:dyDescent="0.25">
      <c r="A264" s="11"/>
    </row>
    <row r="265" spans="1:1" ht="15.75" customHeight="1" x14ac:dyDescent="0.25">
      <c r="A265" s="11"/>
    </row>
    <row r="266" spans="1:1" ht="15.75" customHeight="1" x14ac:dyDescent="0.25">
      <c r="A266" s="11"/>
    </row>
    <row r="267" spans="1:1" ht="15.75" customHeight="1" x14ac:dyDescent="0.25">
      <c r="A267" s="11"/>
    </row>
    <row r="268" spans="1:1" ht="15.75" customHeight="1" x14ac:dyDescent="0.25">
      <c r="A268" s="11"/>
    </row>
    <row r="269" spans="1:1" ht="15.75" customHeight="1" x14ac:dyDescent="0.25">
      <c r="A269" s="11"/>
    </row>
    <row r="270" spans="1:1" ht="15.75" customHeight="1" x14ac:dyDescent="0.25">
      <c r="A270" s="11"/>
    </row>
    <row r="271" spans="1:1" ht="15.75" customHeight="1" x14ac:dyDescent="0.25">
      <c r="A271" s="11"/>
    </row>
    <row r="272" spans="1:1" ht="15.75" customHeight="1" x14ac:dyDescent="0.25">
      <c r="A272" s="11"/>
    </row>
    <row r="273" spans="1:1" ht="15.75" customHeight="1" x14ac:dyDescent="0.25">
      <c r="A273" s="11"/>
    </row>
    <row r="274" spans="1:1" ht="15.75" customHeight="1" x14ac:dyDescent="0.25">
      <c r="A274" s="11"/>
    </row>
    <row r="275" spans="1:1" ht="15.75" customHeight="1" x14ac:dyDescent="0.25">
      <c r="A275" s="11"/>
    </row>
    <row r="276" spans="1:1" ht="15.75" customHeight="1" x14ac:dyDescent="0.25">
      <c r="A276" s="11"/>
    </row>
    <row r="277" spans="1:1" ht="15.75" customHeight="1" x14ac:dyDescent="0.25">
      <c r="A277" s="11"/>
    </row>
    <row r="278" spans="1:1" ht="15.75" customHeight="1" x14ac:dyDescent="0.25">
      <c r="A278" s="11"/>
    </row>
    <row r="279" spans="1:1" ht="15.75" customHeight="1" x14ac:dyDescent="0.25">
      <c r="A279" s="11"/>
    </row>
    <row r="280" spans="1:1" ht="15.75" customHeight="1" x14ac:dyDescent="0.25">
      <c r="A280" s="11"/>
    </row>
    <row r="281" spans="1:1" ht="15.75" customHeight="1" x14ac:dyDescent="0.25">
      <c r="A281" s="11"/>
    </row>
    <row r="282" spans="1:1" ht="15.75" customHeight="1" x14ac:dyDescent="0.25">
      <c r="A282" s="11"/>
    </row>
    <row r="283" spans="1:1" ht="15.75" customHeight="1" x14ac:dyDescent="0.25">
      <c r="A283" s="11"/>
    </row>
    <row r="284" spans="1:1" ht="15.75" customHeight="1" x14ac:dyDescent="0.25">
      <c r="A284" s="11"/>
    </row>
    <row r="285" spans="1:1" ht="15.75" customHeight="1" x14ac:dyDescent="0.25">
      <c r="A285" s="11"/>
    </row>
    <row r="286" spans="1:1" ht="15.75" customHeight="1" x14ac:dyDescent="0.25">
      <c r="A286" s="11"/>
    </row>
    <row r="287" spans="1:1" ht="15.75" customHeight="1" x14ac:dyDescent="0.25">
      <c r="A287" s="11"/>
    </row>
    <row r="288" spans="1:1" ht="15.75" customHeight="1" x14ac:dyDescent="0.25">
      <c r="A288" s="11"/>
    </row>
    <row r="289" spans="1:1" ht="15.75" customHeight="1" x14ac:dyDescent="0.25">
      <c r="A289" s="11"/>
    </row>
    <row r="290" spans="1:1" ht="15.75" customHeight="1" x14ac:dyDescent="0.25">
      <c r="A290" s="11"/>
    </row>
    <row r="291" spans="1:1" ht="15.75" customHeight="1" x14ac:dyDescent="0.25">
      <c r="A291" s="11"/>
    </row>
    <row r="292" spans="1:1" ht="15.75" customHeight="1" x14ac:dyDescent="0.25">
      <c r="A292" s="11"/>
    </row>
    <row r="293" spans="1:1" ht="15.75" customHeight="1" x14ac:dyDescent="0.25">
      <c r="A293" s="11"/>
    </row>
    <row r="294" spans="1:1" ht="15.75" customHeight="1" x14ac:dyDescent="0.25">
      <c r="A294" s="11"/>
    </row>
    <row r="295" spans="1:1" ht="15.75" customHeight="1" x14ac:dyDescent="0.25">
      <c r="A295" s="11"/>
    </row>
    <row r="296" spans="1:1" ht="15.75" customHeight="1" x14ac:dyDescent="0.25">
      <c r="A296" s="11"/>
    </row>
    <row r="297" spans="1:1" ht="15.75" customHeight="1" x14ac:dyDescent="0.25">
      <c r="A297" s="11"/>
    </row>
    <row r="298" spans="1:1" ht="15.75" customHeight="1" x14ac:dyDescent="0.25">
      <c r="A298" s="11"/>
    </row>
    <row r="299" spans="1:1" ht="15.75" customHeight="1" x14ac:dyDescent="0.25">
      <c r="A299" s="11"/>
    </row>
    <row r="300" spans="1:1" ht="15.75" customHeight="1" x14ac:dyDescent="0.25">
      <c r="A300" s="11"/>
    </row>
    <row r="301" spans="1:1" ht="15.75" customHeight="1" x14ac:dyDescent="0.25">
      <c r="A301" s="11"/>
    </row>
    <row r="302" spans="1:1" ht="15.75" customHeight="1" x14ac:dyDescent="0.25">
      <c r="A302" s="11"/>
    </row>
    <row r="303" spans="1:1" ht="15.75" customHeight="1" x14ac:dyDescent="0.25">
      <c r="A303" s="11"/>
    </row>
    <row r="304" spans="1:1" ht="15.75" customHeight="1" x14ac:dyDescent="0.25">
      <c r="A304" s="11"/>
    </row>
    <row r="305" spans="1:1" ht="15.75" customHeight="1" x14ac:dyDescent="0.25">
      <c r="A305" s="11"/>
    </row>
    <row r="306" spans="1:1" ht="15.75" customHeight="1" x14ac:dyDescent="0.25">
      <c r="A306" s="11"/>
    </row>
    <row r="307" spans="1:1" ht="15.75" customHeight="1" x14ac:dyDescent="0.25">
      <c r="A307" s="11"/>
    </row>
    <row r="308" spans="1:1" ht="15.75" customHeight="1" x14ac:dyDescent="0.25">
      <c r="A308" s="11"/>
    </row>
    <row r="309" spans="1:1" ht="15.75" customHeight="1" x14ac:dyDescent="0.25">
      <c r="A309" s="11"/>
    </row>
    <row r="310" spans="1:1" ht="15.75" customHeight="1" x14ac:dyDescent="0.25">
      <c r="A310" s="11"/>
    </row>
    <row r="311" spans="1:1" ht="15.75" customHeight="1" x14ac:dyDescent="0.25">
      <c r="A311" s="11"/>
    </row>
    <row r="312" spans="1:1" ht="15.75" customHeight="1" x14ac:dyDescent="0.25">
      <c r="A312" s="11"/>
    </row>
    <row r="313" spans="1:1" ht="15.75" customHeight="1" x14ac:dyDescent="0.25">
      <c r="A313" s="11"/>
    </row>
    <row r="314" spans="1:1" ht="15.75" customHeight="1" x14ac:dyDescent="0.25">
      <c r="A314" s="11"/>
    </row>
    <row r="315" spans="1:1" ht="15.75" customHeight="1" x14ac:dyDescent="0.25">
      <c r="A315" s="11"/>
    </row>
    <row r="316" spans="1:1" ht="15.75" customHeight="1" x14ac:dyDescent="0.25">
      <c r="A316" s="11"/>
    </row>
    <row r="317" spans="1:1" ht="15.75" customHeight="1" x14ac:dyDescent="0.25">
      <c r="A317" s="11"/>
    </row>
    <row r="318" spans="1:1" ht="15.75" customHeight="1" x14ac:dyDescent="0.25">
      <c r="A318" s="11"/>
    </row>
    <row r="319" spans="1:1" ht="15.75" customHeight="1" x14ac:dyDescent="0.25">
      <c r="A319" s="11"/>
    </row>
    <row r="320" spans="1:1" ht="15.75" customHeight="1" x14ac:dyDescent="0.25">
      <c r="A320" s="11"/>
    </row>
    <row r="321" spans="1:1" ht="15.75" customHeight="1" x14ac:dyDescent="0.25">
      <c r="A321" s="11"/>
    </row>
    <row r="322" spans="1:1" ht="15.75" customHeight="1" x14ac:dyDescent="0.25">
      <c r="A322" s="11"/>
    </row>
    <row r="323" spans="1:1" ht="15.75" customHeight="1" x14ac:dyDescent="0.25">
      <c r="A323" s="11"/>
    </row>
    <row r="324" spans="1:1" ht="15.75" customHeight="1" x14ac:dyDescent="0.25">
      <c r="A324" s="11"/>
    </row>
    <row r="325" spans="1:1" ht="15.75" customHeight="1" x14ac:dyDescent="0.25">
      <c r="A325" s="11"/>
    </row>
    <row r="326" spans="1:1" ht="15.75" customHeight="1" x14ac:dyDescent="0.25">
      <c r="A326" s="11"/>
    </row>
    <row r="327" spans="1:1" ht="15.75" customHeight="1" x14ac:dyDescent="0.25">
      <c r="A327" s="11"/>
    </row>
    <row r="328" spans="1:1" ht="15.75" customHeight="1" x14ac:dyDescent="0.25">
      <c r="A328" s="11"/>
    </row>
    <row r="329" spans="1:1" ht="15.75" customHeight="1" x14ac:dyDescent="0.25">
      <c r="A329" s="11"/>
    </row>
    <row r="330" spans="1:1" ht="15.75" customHeight="1" x14ac:dyDescent="0.25">
      <c r="A330" s="11"/>
    </row>
    <row r="331" spans="1:1" ht="15.75" customHeight="1" x14ac:dyDescent="0.25">
      <c r="A331" s="11"/>
    </row>
    <row r="332" spans="1:1" ht="15.75" customHeight="1" x14ac:dyDescent="0.25">
      <c r="A332" s="11"/>
    </row>
    <row r="333" spans="1:1" ht="15.75" customHeight="1" x14ac:dyDescent="0.25">
      <c r="A333" s="11"/>
    </row>
    <row r="334" spans="1:1" ht="15.75" customHeight="1" x14ac:dyDescent="0.25">
      <c r="A334" s="11"/>
    </row>
    <row r="335" spans="1:1" ht="15.75" customHeight="1" x14ac:dyDescent="0.25">
      <c r="A335" s="11"/>
    </row>
    <row r="336" spans="1:1" ht="15.75" customHeight="1" x14ac:dyDescent="0.25">
      <c r="A336" s="11"/>
    </row>
    <row r="337" spans="1:1" ht="15.75" customHeight="1" x14ac:dyDescent="0.25">
      <c r="A337" s="11"/>
    </row>
    <row r="338" spans="1:1" ht="15.75" customHeight="1" x14ac:dyDescent="0.25">
      <c r="A338" s="11"/>
    </row>
    <row r="339" spans="1:1" ht="15.75" customHeight="1" x14ac:dyDescent="0.25">
      <c r="A339" s="11"/>
    </row>
    <row r="340" spans="1:1" ht="15.75" customHeight="1" x14ac:dyDescent="0.25">
      <c r="A340" s="11"/>
    </row>
    <row r="341" spans="1:1" ht="15.75" customHeight="1" x14ac:dyDescent="0.25">
      <c r="A341" s="11"/>
    </row>
    <row r="342" spans="1:1" ht="15.75" customHeight="1" x14ac:dyDescent="0.25">
      <c r="A342" s="11"/>
    </row>
    <row r="343" spans="1:1" ht="15.75" customHeight="1" x14ac:dyDescent="0.25">
      <c r="A343" s="11"/>
    </row>
    <row r="344" spans="1:1" ht="15.75" customHeight="1" x14ac:dyDescent="0.25">
      <c r="A344" s="11"/>
    </row>
    <row r="345" spans="1:1" ht="15.75" customHeight="1" x14ac:dyDescent="0.25">
      <c r="A345" s="11"/>
    </row>
    <row r="346" spans="1:1" ht="15.75" customHeight="1" x14ac:dyDescent="0.25">
      <c r="A346" s="11"/>
    </row>
    <row r="347" spans="1:1" ht="15.75" customHeight="1" x14ac:dyDescent="0.25">
      <c r="A347" s="11"/>
    </row>
    <row r="348" spans="1:1" ht="15.75" customHeight="1" x14ac:dyDescent="0.25">
      <c r="A348" s="11"/>
    </row>
    <row r="349" spans="1:1" ht="15.75" customHeight="1" x14ac:dyDescent="0.25">
      <c r="A349" s="11"/>
    </row>
    <row r="350" spans="1:1" ht="15.75" customHeight="1" x14ac:dyDescent="0.25">
      <c r="A350" s="11"/>
    </row>
    <row r="351" spans="1:1" ht="15.75" customHeight="1" x14ac:dyDescent="0.25">
      <c r="A351" s="11"/>
    </row>
    <row r="352" spans="1:1" ht="15.75" customHeight="1" x14ac:dyDescent="0.25">
      <c r="A352" s="11"/>
    </row>
    <row r="353" spans="1:1" ht="15.75" customHeight="1" x14ac:dyDescent="0.25">
      <c r="A353" s="11"/>
    </row>
    <row r="354" spans="1:1" ht="15.75" customHeight="1" x14ac:dyDescent="0.25">
      <c r="A354" s="11"/>
    </row>
    <row r="355" spans="1:1" ht="15.75" customHeight="1" x14ac:dyDescent="0.25">
      <c r="A355" s="11"/>
    </row>
    <row r="356" spans="1:1" ht="15.75" customHeight="1" x14ac:dyDescent="0.25">
      <c r="A356" s="11"/>
    </row>
    <row r="357" spans="1:1" ht="15.75" customHeight="1" x14ac:dyDescent="0.25">
      <c r="A357" s="11"/>
    </row>
    <row r="358" spans="1:1" ht="15.75" customHeight="1" x14ac:dyDescent="0.25">
      <c r="A358" s="11"/>
    </row>
    <row r="359" spans="1:1" ht="15.75" customHeight="1" x14ac:dyDescent="0.25">
      <c r="A359" s="11"/>
    </row>
    <row r="360" spans="1:1" ht="15.75" customHeight="1" x14ac:dyDescent="0.25">
      <c r="A360" s="11"/>
    </row>
    <row r="361" spans="1:1" ht="15.75" customHeight="1" x14ac:dyDescent="0.25">
      <c r="A361" s="11"/>
    </row>
    <row r="362" spans="1:1" ht="15.75" customHeight="1" x14ac:dyDescent="0.25">
      <c r="A362" s="11"/>
    </row>
    <row r="363" spans="1:1" ht="15.75" customHeight="1" x14ac:dyDescent="0.25">
      <c r="A363" s="11"/>
    </row>
    <row r="364" spans="1:1" ht="15.75" customHeight="1" x14ac:dyDescent="0.25">
      <c r="A364" s="11"/>
    </row>
    <row r="365" spans="1:1" ht="15.75" customHeight="1" x14ac:dyDescent="0.25">
      <c r="A365" s="11"/>
    </row>
    <row r="366" spans="1:1" ht="15.75" customHeight="1" x14ac:dyDescent="0.25">
      <c r="A366" s="11"/>
    </row>
    <row r="367" spans="1:1" ht="15.75" customHeight="1" x14ac:dyDescent="0.25">
      <c r="A367" s="11"/>
    </row>
    <row r="368" spans="1:1" ht="15.75" customHeight="1" x14ac:dyDescent="0.25">
      <c r="A368" s="11"/>
    </row>
    <row r="369" spans="1:1" ht="15.75" customHeight="1" x14ac:dyDescent="0.25">
      <c r="A369" s="11"/>
    </row>
    <row r="370" spans="1:1" ht="15.75" customHeight="1" x14ac:dyDescent="0.25">
      <c r="A370" s="11"/>
    </row>
    <row r="371" spans="1:1" ht="15.75" customHeight="1" x14ac:dyDescent="0.25">
      <c r="A371" s="11"/>
    </row>
    <row r="372" spans="1:1" ht="15.75" customHeight="1" x14ac:dyDescent="0.25">
      <c r="A372" s="11"/>
    </row>
    <row r="373" spans="1:1" ht="15.75" customHeight="1" x14ac:dyDescent="0.25">
      <c r="A373" s="11"/>
    </row>
    <row r="374" spans="1:1" ht="15.75" customHeight="1" x14ac:dyDescent="0.25">
      <c r="A374" s="11"/>
    </row>
    <row r="375" spans="1:1" ht="15.75" customHeight="1" x14ac:dyDescent="0.25">
      <c r="A375" s="11"/>
    </row>
    <row r="376" spans="1:1" ht="15.75" customHeight="1" x14ac:dyDescent="0.25">
      <c r="A376" s="11"/>
    </row>
    <row r="377" spans="1:1" ht="15.75" customHeight="1" x14ac:dyDescent="0.25">
      <c r="A377" s="11"/>
    </row>
    <row r="378" spans="1:1" ht="15.75" customHeight="1" x14ac:dyDescent="0.25">
      <c r="A378" s="11"/>
    </row>
    <row r="379" spans="1:1" ht="15.75" customHeight="1" x14ac:dyDescent="0.25">
      <c r="A379" s="11"/>
    </row>
    <row r="380" spans="1:1" ht="15.75" customHeight="1" x14ac:dyDescent="0.25">
      <c r="A380" s="11"/>
    </row>
    <row r="381" spans="1:1" ht="15.75" customHeight="1" x14ac:dyDescent="0.25">
      <c r="A381" s="11"/>
    </row>
    <row r="382" spans="1:1" ht="15.75" customHeight="1" x14ac:dyDescent="0.25">
      <c r="A382" s="11"/>
    </row>
    <row r="383" spans="1:1" ht="15.75" customHeight="1" x14ac:dyDescent="0.25">
      <c r="A383" s="11"/>
    </row>
    <row r="384" spans="1:1" ht="15.75" customHeight="1" x14ac:dyDescent="0.25">
      <c r="A384" s="11"/>
    </row>
    <row r="385" spans="1:1" ht="15.75" customHeight="1" x14ac:dyDescent="0.25">
      <c r="A385" s="11"/>
    </row>
    <row r="386" spans="1:1" ht="15.75" customHeight="1" x14ac:dyDescent="0.25">
      <c r="A386" s="11"/>
    </row>
    <row r="387" spans="1:1" ht="15.75" customHeight="1" x14ac:dyDescent="0.25">
      <c r="A387" s="11"/>
    </row>
    <row r="388" spans="1:1" ht="15.75" customHeight="1" x14ac:dyDescent="0.25">
      <c r="A388" s="11"/>
    </row>
    <row r="389" spans="1:1" ht="15.75" customHeight="1" x14ac:dyDescent="0.25">
      <c r="A389" s="11"/>
    </row>
    <row r="390" spans="1:1" ht="15.75" customHeight="1" x14ac:dyDescent="0.25">
      <c r="A390" s="11"/>
    </row>
    <row r="391" spans="1:1" ht="15.75" customHeight="1" x14ac:dyDescent="0.25">
      <c r="A391" s="11"/>
    </row>
    <row r="392" spans="1:1" ht="15.75" customHeight="1" x14ac:dyDescent="0.25">
      <c r="A392" s="11"/>
    </row>
    <row r="393" spans="1:1" ht="15.75" customHeight="1" x14ac:dyDescent="0.25">
      <c r="A393" s="11"/>
    </row>
    <row r="394" spans="1:1" ht="15.75" customHeight="1" x14ac:dyDescent="0.25">
      <c r="A394" s="11"/>
    </row>
    <row r="395" spans="1:1" ht="15.75" customHeight="1" x14ac:dyDescent="0.25">
      <c r="A395" s="11"/>
    </row>
    <row r="396" spans="1:1" ht="15.75" customHeight="1" x14ac:dyDescent="0.25">
      <c r="A396" s="11"/>
    </row>
    <row r="397" spans="1:1" ht="15.75" customHeight="1" x14ac:dyDescent="0.25">
      <c r="A397" s="11"/>
    </row>
    <row r="398" spans="1:1" ht="15.75" customHeight="1" x14ac:dyDescent="0.25">
      <c r="A398" s="11"/>
    </row>
    <row r="399" spans="1:1" ht="15.75" customHeight="1" x14ac:dyDescent="0.25">
      <c r="A399" s="11"/>
    </row>
    <row r="400" spans="1:1" ht="15.75" customHeight="1" x14ac:dyDescent="0.25">
      <c r="A400" s="11"/>
    </row>
    <row r="401" spans="1:1" ht="15.75" customHeight="1" x14ac:dyDescent="0.25">
      <c r="A401" s="11"/>
    </row>
    <row r="402" spans="1:1" ht="15.75" customHeight="1" x14ac:dyDescent="0.25">
      <c r="A402" s="11"/>
    </row>
    <row r="403" spans="1:1" ht="15.75" customHeight="1" x14ac:dyDescent="0.25">
      <c r="A403" s="11"/>
    </row>
    <row r="404" spans="1:1" ht="15.75" customHeight="1" x14ac:dyDescent="0.25">
      <c r="A404" s="11"/>
    </row>
    <row r="405" spans="1:1" ht="15.75" customHeight="1" x14ac:dyDescent="0.25">
      <c r="A405" s="11"/>
    </row>
    <row r="406" spans="1:1" ht="15.75" customHeight="1" x14ac:dyDescent="0.25">
      <c r="A406" s="11"/>
    </row>
    <row r="407" spans="1:1" ht="15.75" customHeight="1" x14ac:dyDescent="0.25">
      <c r="A407" s="11"/>
    </row>
    <row r="408" spans="1:1" ht="15.75" customHeight="1" x14ac:dyDescent="0.25">
      <c r="A408" s="11"/>
    </row>
    <row r="409" spans="1:1" ht="15.75" customHeight="1" x14ac:dyDescent="0.25">
      <c r="A409" s="11"/>
    </row>
    <row r="410" spans="1:1" ht="15.75" customHeight="1" x14ac:dyDescent="0.25">
      <c r="A410" s="11"/>
    </row>
    <row r="411" spans="1:1" ht="15.75" customHeight="1" x14ac:dyDescent="0.25">
      <c r="A411" s="11"/>
    </row>
    <row r="412" spans="1:1" ht="15.75" customHeight="1" x14ac:dyDescent="0.25">
      <c r="A412" s="11"/>
    </row>
    <row r="413" spans="1:1" ht="15.75" customHeight="1" x14ac:dyDescent="0.25">
      <c r="A413" s="11"/>
    </row>
    <row r="414" spans="1:1" ht="15.75" customHeight="1" x14ac:dyDescent="0.25">
      <c r="A414" s="11"/>
    </row>
    <row r="415" spans="1:1" ht="15.75" customHeight="1" x14ac:dyDescent="0.25">
      <c r="A415" s="11"/>
    </row>
    <row r="416" spans="1:1" ht="15.75" customHeight="1" x14ac:dyDescent="0.25">
      <c r="A416" s="11"/>
    </row>
    <row r="417" spans="1:1" ht="15.75" customHeight="1" x14ac:dyDescent="0.25">
      <c r="A417" s="11"/>
    </row>
    <row r="418" spans="1:1" ht="15.75" customHeight="1" x14ac:dyDescent="0.25">
      <c r="A418" s="11"/>
    </row>
    <row r="419" spans="1:1" ht="15.75" customHeight="1" x14ac:dyDescent="0.25">
      <c r="A419" s="11"/>
    </row>
    <row r="420" spans="1:1" ht="15.75" customHeight="1" x14ac:dyDescent="0.25">
      <c r="A420" s="11"/>
    </row>
    <row r="421" spans="1:1" ht="15.75" customHeight="1" x14ac:dyDescent="0.25">
      <c r="A421" s="11"/>
    </row>
    <row r="422" spans="1:1" ht="15.75" customHeight="1" x14ac:dyDescent="0.25">
      <c r="A422" s="11"/>
    </row>
    <row r="423" spans="1:1" ht="15.75" customHeight="1" x14ac:dyDescent="0.25">
      <c r="A423" s="11"/>
    </row>
    <row r="424" spans="1:1" ht="15.75" customHeight="1" x14ac:dyDescent="0.25">
      <c r="A424" s="11"/>
    </row>
    <row r="425" spans="1:1" ht="15.75" customHeight="1" x14ac:dyDescent="0.25">
      <c r="A425" s="11"/>
    </row>
    <row r="426" spans="1:1" ht="15.75" customHeight="1" x14ac:dyDescent="0.25">
      <c r="A426" s="11"/>
    </row>
    <row r="427" spans="1:1" ht="15.75" customHeight="1" x14ac:dyDescent="0.25">
      <c r="A427" s="11"/>
    </row>
    <row r="428" spans="1:1" ht="15.75" customHeight="1" x14ac:dyDescent="0.25">
      <c r="A428" s="11"/>
    </row>
    <row r="429" spans="1:1" ht="15.75" customHeight="1" x14ac:dyDescent="0.25">
      <c r="A429" s="11"/>
    </row>
    <row r="430" spans="1:1" ht="15.75" customHeight="1" x14ac:dyDescent="0.25">
      <c r="A430" s="11"/>
    </row>
    <row r="431" spans="1:1" ht="15.75" customHeight="1" x14ac:dyDescent="0.25">
      <c r="A431" s="11"/>
    </row>
    <row r="432" spans="1:1" ht="15.75" customHeight="1" x14ac:dyDescent="0.25">
      <c r="A432" s="11"/>
    </row>
    <row r="433" spans="1:1" ht="15.75" customHeight="1" x14ac:dyDescent="0.25">
      <c r="A433" s="11"/>
    </row>
    <row r="434" spans="1:1" ht="15.75" customHeight="1" x14ac:dyDescent="0.25">
      <c r="A434" s="11"/>
    </row>
    <row r="435" spans="1:1" ht="15.75" customHeight="1" x14ac:dyDescent="0.25">
      <c r="A435" s="11"/>
    </row>
    <row r="436" spans="1:1" ht="15.75" customHeight="1" x14ac:dyDescent="0.25">
      <c r="A436" s="11"/>
    </row>
    <row r="437" spans="1:1" ht="15.75" customHeight="1" x14ac:dyDescent="0.25">
      <c r="A437" s="11"/>
    </row>
    <row r="438" spans="1:1" ht="15.75" customHeight="1" x14ac:dyDescent="0.25">
      <c r="A438" s="11"/>
    </row>
    <row r="439" spans="1:1" ht="15.75" customHeight="1" x14ac:dyDescent="0.25">
      <c r="A439" s="11"/>
    </row>
    <row r="440" spans="1:1" ht="15.75" customHeight="1" x14ac:dyDescent="0.25">
      <c r="A440" s="11"/>
    </row>
    <row r="441" spans="1:1" ht="15.75" customHeight="1" x14ac:dyDescent="0.25">
      <c r="A441" s="11"/>
    </row>
    <row r="442" spans="1:1" ht="15.75" customHeight="1" x14ac:dyDescent="0.25">
      <c r="A442" s="11"/>
    </row>
    <row r="443" spans="1:1" ht="15.75" customHeight="1" x14ac:dyDescent="0.25">
      <c r="A443" s="11"/>
    </row>
    <row r="444" spans="1:1" ht="15.75" customHeight="1" x14ac:dyDescent="0.25">
      <c r="A444" s="11"/>
    </row>
    <row r="445" spans="1:1" ht="15.75" customHeight="1" x14ac:dyDescent="0.25">
      <c r="A445" s="11"/>
    </row>
    <row r="446" spans="1:1" ht="15.75" customHeight="1" x14ac:dyDescent="0.25">
      <c r="A446" s="11"/>
    </row>
    <row r="447" spans="1:1" ht="15.75" customHeight="1" x14ac:dyDescent="0.25">
      <c r="A447" s="11"/>
    </row>
    <row r="448" spans="1:1" ht="15.75" customHeight="1" x14ac:dyDescent="0.25">
      <c r="A448" s="11"/>
    </row>
    <row r="449" spans="1:1" ht="15.75" customHeight="1" x14ac:dyDescent="0.25">
      <c r="A449" s="11"/>
    </row>
    <row r="450" spans="1:1" ht="15.75" customHeight="1" x14ac:dyDescent="0.25">
      <c r="A450" s="11"/>
    </row>
    <row r="451" spans="1:1" ht="15.75" customHeight="1" x14ac:dyDescent="0.25">
      <c r="A451" s="11"/>
    </row>
    <row r="452" spans="1:1" ht="15.75" customHeight="1" x14ac:dyDescent="0.25">
      <c r="A452" s="11"/>
    </row>
    <row r="453" spans="1:1" ht="15.75" customHeight="1" x14ac:dyDescent="0.25">
      <c r="A453" s="11"/>
    </row>
    <row r="454" spans="1:1" ht="15.75" customHeight="1" x14ac:dyDescent="0.25">
      <c r="A454" s="11"/>
    </row>
    <row r="455" spans="1:1" ht="15.75" customHeight="1" x14ac:dyDescent="0.25">
      <c r="A455" s="11"/>
    </row>
    <row r="456" spans="1:1" ht="15.75" customHeight="1" x14ac:dyDescent="0.25">
      <c r="A456" s="11"/>
    </row>
    <row r="457" spans="1:1" ht="15.75" customHeight="1" x14ac:dyDescent="0.25">
      <c r="A457" s="11"/>
    </row>
    <row r="458" spans="1:1" ht="15.75" customHeight="1" x14ac:dyDescent="0.25">
      <c r="A458" s="11"/>
    </row>
    <row r="459" spans="1:1" ht="15.75" customHeight="1" x14ac:dyDescent="0.25">
      <c r="A459" s="11"/>
    </row>
    <row r="460" spans="1:1" ht="15.75" customHeight="1" x14ac:dyDescent="0.25">
      <c r="A460" s="11"/>
    </row>
    <row r="461" spans="1:1" ht="15.75" customHeight="1" x14ac:dyDescent="0.25">
      <c r="A461" s="11"/>
    </row>
    <row r="462" spans="1:1" ht="15.75" customHeight="1" x14ac:dyDescent="0.25">
      <c r="A462" s="11"/>
    </row>
    <row r="463" spans="1:1" ht="15.75" customHeight="1" x14ac:dyDescent="0.25">
      <c r="A463" s="11"/>
    </row>
    <row r="464" spans="1:1" ht="15.75" customHeight="1" x14ac:dyDescent="0.25">
      <c r="A464" s="11"/>
    </row>
    <row r="465" spans="1:1" ht="15.75" customHeight="1" x14ac:dyDescent="0.25">
      <c r="A465" s="11"/>
    </row>
    <row r="466" spans="1:1" ht="15.75" customHeight="1" x14ac:dyDescent="0.25">
      <c r="A466" s="11"/>
    </row>
    <row r="467" spans="1:1" ht="15.75" customHeight="1" x14ac:dyDescent="0.25">
      <c r="A467" s="11"/>
    </row>
    <row r="468" spans="1:1" ht="15.75" customHeight="1" x14ac:dyDescent="0.25">
      <c r="A468" s="11"/>
    </row>
    <row r="469" spans="1:1" ht="15.75" customHeight="1" x14ac:dyDescent="0.25">
      <c r="A469" s="11"/>
    </row>
    <row r="470" spans="1:1" ht="15.75" customHeight="1" x14ac:dyDescent="0.25">
      <c r="A470" s="11"/>
    </row>
    <row r="471" spans="1:1" ht="15.75" customHeight="1" x14ac:dyDescent="0.25">
      <c r="A471" s="11"/>
    </row>
    <row r="472" spans="1:1" ht="15.75" customHeight="1" x14ac:dyDescent="0.25">
      <c r="A472" s="11"/>
    </row>
    <row r="473" spans="1:1" ht="15.75" customHeight="1" x14ac:dyDescent="0.25">
      <c r="A473" s="11"/>
    </row>
    <row r="474" spans="1:1" ht="15.75" customHeight="1" x14ac:dyDescent="0.25">
      <c r="A474" s="11"/>
    </row>
    <row r="475" spans="1:1" ht="15.75" customHeight="1" x14ac:dyDescent="0.25">
      <c r="A475" s="11"/>
    </row>
    <row r="476" spans="1:1" ht="15.75" customHeight="1" x14ac:dyDescent="0.25">
      <c r="A476" s="11"/>
    </row>
    <row r="477" spans="1:1" ht="15.75" customHeight="1" x14ac:dyDescent="0.25">
      <c r="A477" s="11"/>
    </row>
    <row r="478" spans="1:1" ht="15.75" customHeight="1" x14ac:dyDescent="0.25">
      <c r="A478" s="11"/>
    </row>
    <row r="479" spans="1:1" ht="15.75" customHeight="1" x14ac:dyDescent="0.25">
      <c r="A479" s="11"/>
    </row>
    <row r="480" spans="1:1" ht="15.75" customHeight="1" x14ac:dyDescent="0.25">
      <c r="A480" s="11"/>
    </row>
    <row r="481" spans="1:1" ht="15.75" customHeight="1" x14ac:dyDescent="0.25">
      <c r="A481" s="11"/>
    </row>
    <row r="482" spans="1:1" ht="15.75" customHeight="1" x14ac:dyDescent="0.25">
      <c r="A482" s="11"/>
    </row>
    <row r="483" spans="1:1" ht="15.75" customHeight="1" x14ac:dyDescent="0.25">
      <c r="A483" s="11"/>
    </row>
    <row r="484" spans="1:1" ht="15.75" customHeight="1" x14ac:dyDescent="0.25">
      <c r="A484" s="11"/>
    </row>
    <row r="485" spans="1:1" ht="15.75" customHeight="1" x14ac:dyDescent="0.25">
      <c r="A485" s="11"/>
    </row>
    <row r="486" spans="1:1" ht="15.75" customHeight="1" x14ac:dyDescent="0.25">
      <c r="A486" s="11"/>
    </row>
    <row r="487" spans="1:1" ht="15.75" customHeight="1" x14ac:dyDescent="0.25">
      <c r="A487" s="11"/>
    </row>
    <row r="488" spans="1:1" ht="15.75" customHeight="1" x14ac:dyDescent="0.25">
      <c r="A488" s="11"/>
    </row>
    <row r="489" spans="1:1" ht="15.75" customHeight="1" x14ac:dyDescent="0.25">
      <c r="A489" s="11"/>
    </row>
    <row r="490" spans="1:1" ht="15.75" customHeight="1" x14ac:dyDescent="0.25">
      <c r="A490" s="11"/>
    </row>
    <row r="491" spans="1:1" ht="15.75" customHeight="1" x14ac:dyDescent="0.25">
      <c r="A491" s="11"/>
    </row>
    <row r="492" spans="1:1" ht="15.75" customHeight="1" x14ac:dyDescent="0.25">
      <c r="A492" s="11"/>
    </row>
    <row r="493" spans="1:1" ht="15.75" customHeight="1" x14ac:dyDescent="0.25">
      <c r="A493" s="11"/>
    </row>
    <row r="494" spans="1:1" ht="15.75" customHeight="1" x14ac:dyDescent="0.25">
      <c r="A494" s="11"/>
    </row>
    <row r="495" spans="1:1" ht="15.75" customHeight="1" x14ac:dyDescent="0.25">
      <c r="A495" s="11"/>
    </row>
    <row r="496" spans="1:1" ht="15.75" customHeight="1" x14ac:dyDescent="0.25">
      <c r="A496" s="11"/>
    </row>
    <row r="497" spans="1:1" ht="15.75" customHeight="1" x14ac:dyDescent="0.25">
      <c r="A497" s="11"/>
    </row>
    <row r="498" spans="1:1" ht="15.75" customHeight="1" x14ac:dyDescent="0.25">
      <c r="A498" s="11"/>
    </row>
    <row r="499" spans="1:1" ht="15.75" customHeight="1" x14ac:dyDescent="0.25">
      <c r="A499" s="11"/>
    </row>
    <row r="500" spans="1:1" ht="15.75" customHeight="1" x14ac:dyDescent="0.25">
      <c r="A500" s="11"/>
    </row>
    <row r="501" spans="1:1" ht="15.75" customHeight="1" x14ac:dyDescent="0.25">
      <c r="A501" s="11"/>
    </row>
    <row r="502" spans="1:1" ht="15.75" customHeight="1" x14ac:dyDescent="0.25">
      <c r="A502" s="11"/>
    </row>
    <row r="503" spans="1:1" ht="15.75" customHeight="1" x14ac:dyDescent="0.25">
      <c r="A503" s="11"/>
    </row>
    <row r="504" spans="1:1" ht="15.75" customHeight="1" x14ac:dyDescent="0.25">
      <c r="A504" s="11"/>
    </row>
    <row r="505" spans="1:1" ht="15.75" customHeight="1" x14ac:dyDescent="0.25">
      <c r="A505" s="11"/>
    </row>
    <row r="506" spans="1:1" ht="15.75" customHeight="1" x14ac:dyDescent="0.25">
      <c r="A506" s="11"/>
    </row>
    <row r="507" spans="1:1" ht="15.75" customHeight="1" x14ac:dyDescent="0.25">
      <c r="A507" s="11"/>
    </row>
    <row r="508" spans="1:1" ht="15.75" customHeight="1" x14ac:dyDescent="0.25">
      <c r="A508" s="11"/>
    </row>
    <row r="509" spans="1:1" ht="15.75" customHeight="1" x14ac:dyDescent="0.25">
      <c r="A509" s="11"/>
    </row>
    <row r="510" spans="1:1" ht="15.75" customHeight="1" x14ac:dyDescent="0.25">
      <c r="A510" s="11"/>
    </row>
    <row r="511" spans="1:1" ht="15.75" customHeight="1" x14ac:dyDescent="0.25">
      <c r="A511" s="11"/>
    </row>
    <row r="512" spans="1:1" ht="15.75" customHeight="1" x14ac:dyDescent="0.25">
      <c r="A512" s="11"/>
    </row>
    <row r="513" spans="1:1" ht="15.75" customHeight="1" x14ac:dyDescent="0.25">
      <c r="A513" s="11"/>
    </row>
    <row r="514" spans="1:1" ht="15.75" customHeight="1" x14ac:dyDescent="0.25">
      <c r="A514" s="11"/>
    </row>
    <row r="515" spans="1:1" ht="15.75" customHeight="1" x14ac:dyDescent="0.25">
      <c r="A515" s="11"/>
    </row>
    <row r="516" spans="1:1" ht="15.75" customHeight="1" x14ac:dyDescent="0.25">
      <c r="A516" s="11"/>
    </row>
    <row r="517" spans="1:1" ht="15.75" customHeight="1" x14ac:dyDescent="0.25">
      <c r="A517" s="11"/>
    </row>
    <row r="518" spans="1:1" ht="15.75" customHeight="1" x14ac:dyDescent="0.25">
      <c r="A518" s="11"/>
    </row>
    <row r="519" spans="1:1" ht="15.75" customHeight="1" x14ac:dyDescent="0.25">
      <c r="A519" s="11"/>
    </row>
    <row r="520" spans="1:1" ht="15.75" customHeight="1" x14ac:dyDescent="0.25">
      <c r="A520" s="11"/>
    </row>
    <row r="521" spans="1:1" ht="15.75" customHeight="1" x14ac:dyDescent="0.25">
      <c r="A521" s="11"/>
    </row>
    <row r="522" spans="1:1" ht="15.75" customHeight="1" x14ac:dyDescent="0.25">
      <c r="A522" s="11"/>
    </row>
    <row r="523" spans="1:1" ht="15.75" customHeight="1" x14ac:dyDescent="0.25">
      <c r="A523" s="11"/>
    </row>
    <row r="524" spans="1:1" ht="15.75" customHeight="1" x14ac:dyDescent="0.25">
      <c r="A524" s="11"/>
    </row>
    <row r="525" spans="1:1" ht="15.75" customHeight="1" x14ac:dyDescent="0.25">
      <c r="A525" s="11"/>
    </row>
    <row r="526" spans="1:1" ht="15.75" customHeight="1" x14ac:dyDescent="0.25">
      <c r="A526" s="11"/>
    </row>
    <row r="527" spans="1:1" ht="15.75" customHeight="1" x14ac:dyDescent="0.25">
      <c r="A527" s="11"/>
    </row>
    <row r="528" spans="1:1" ht="15.75" customHeight="1" x14ac:dyDescent="0.25">
      <c r="A528" s="11"/>
    </row>
    <row r="529" spans="1:1" ht="15.75" customHeight="1" x14ac:dyDescent="0.25">
      <c r="A529" s="11"/>
    </row>
    <row r="530" spans="1:1" ht="15.75" customHeight="1" x14ac:dyDescent="0.25">
      <c r="A530" s="11"/>
    </row>
    <row r="531" spans="1:1" ht="15.75" customHeight="1" x14ac:dyDescent="0.25">
      <c r="A531" s="11"/>
    </row>
    <row r="532" spans="1:1" ht="15.75" customHeight="1" x14ac:dyDescent="0.25">
      <c r="A532" s="11"/>
    </row>
    <row r="533" spans="1:1" ht="15.75" customHeight="1" x14ac:dyDescent="0.25">
      <c r="A533" s="11"/>
    </row>
    <row r="534" spans="1:1" ht="15.75" customHeight="1" x14ac:dyDescent="0.25">
      <c r="A534" s="11"/>
    </row>
    <row r="535" spans="1:1" ht="15.75" customHeight="1" x14ac:dyDescent="0.25">
      <c r="A535" s="11"/>
    </row>
    <row r="536" spans="1:1" ht="15.75" customHeight="1" x14ac:dyDescent="0.25">
      <c r="A536" s="11"/>
    </row>
    <row r="537" spans="1:1" ht="15.75" customHeight="1" x14ac:dyDescent="0.25">
      <c r="A537" s="11"/>
    </row>
    <row r="538" spans="1:1" ht="15.75" customHeight="1" x14ac:dyDescent="0.25">
      <c r="A538" s="11"/>
    </row>
    <row r="539" spans="1:1" ht="15.75" customHeight="1" x14ac:dyDescent="0.25">
      <c r="A539" s="11"/>
    </row>
    <row r="540" spans="1:1" ht="15.75" customHeight="1" x14ac:dyDescent="0.25">
      <c r="A540" s="11"/>
    </row>
    <row r="541" spans="1:1" ht="15.75" customHeight="1" x14ac:dyDescent="0.25">
      <c r="A541" s="11"/>
    </row>
    <row r="542" spans="1:1" ht="15.75" customHeight="1" x14ac:dyDescent="0.25">
      <c r="A542" s="11"/>
    </row>
    <row r="543" spans="1:1" ht="15.75" customHeight="1" x14ac:dyDescent="0.25">
      <c r="A543" s="11"/>
    </row>
    <row r="544" spans="1:1" ht="15.75" customHeight="1" x14ac:dyDescent="0.25">
      <c r="A544" s="11"/>
    </row>
    <row r="545" spans="1:1" ht="15.75" customHeight="1" x14ac:dyDescent="0.25">
      <c r="A545" s="11"/>
    </row>
    <row r="546" spans="1:1" ht="15.75" customHeight="1" x14ac:dyDescent="0.25">
      <c r="A546" s="11"/>
    </row>
    <row r="547" spans="1:1" ht="15.75" customHeight="1" x14ac:dyDescent="0.25">
      <c r="A547" s="11"/>
    </row>
    <row r="548" spans="1:1" ht="15.75" customHeight="1" x14ac:dyDescent="0.25">
      <c r="A548" s="11"/>
    </row>
    <row r="549" spans="1:1" ht="15.75" customHeight="1" x14ac:dyDescent="0.25">
      <c r="A549" s="11"/>
    </row>
    <row r="550" spans="1:1" ht="15.75" customHeight="1" x14ac:dyDescent="0.25">
      <c r="A550" s="11"/>
    </row>
    <row r="551" spans="1:1" ht="15.75" customHeight="1" x14ac:dyDescent="0.25">
      <c r="A551" s="11"/>
    </row>
    <row r="552" spans="1:1" ht="15.75" customHeight="1" x14ac:dyDescent="0.25">
      <c r="A552" s="11"/>
    </row>
    <row r="553" spans="1:1" ht="15.75" customHeight="1" x14ac:dyDescent="0.25">
      <c r="A553" s="11"/>
    </row>
    <row r="554" spans="1:1" ht="15.75" customHeight="1" x14ac:dyDescent="0.25">
      <c r="A554" s="11"/>
    </row>
    <row r="555" spans="1:1" ht="15.75" customHeight="1" x14ac:dyDescent="0.25">
      <c r="A555" s="11"/>
    </row>
    <row r="556" spans="1:1" ht="15.75" customHeight="1" x14ac:dyDescent="0.25">
      <c r="A556" s="11"/>
    </row>
    <row r="557" spans="1:1" ht="15.75" customHeight="1" x14ac:dyDescent="0.25">
      <c r="A557" s="11"/>
    </row>
    <row r="558" spans="1:1" ht="15.75" customHeight="1" x14ac:dyDescent="0.25">
      <c r="A558" s="11"/>
    </row>
    <row r="559" spans="1:1" ht="15.75" customHeight="1" x14ac:dyDescent="0.25">
      <c r="A559" s="11"/>
    </row>
    <row r="560" spans="1:1" ht="15.75" customHeight="1" x14ac:dyDescent="0.25">
      <c r="A560" s="11"/>
    </row>
    <row r="561" spans="1:1" ht="15.75" customHeight="1" x14ac:dyDescent="0.25">
      <c r="A561" s="11"/>
    </row>
    <row r="562" spans="1:1" ht="15.75" customHeight="1" x14ac:dyDescent="0.25">
      <c r="A562" s="11"/>
    </row>
    <row r="563" spans="1:1" ht="15.75" customHeight="1" x14ac:dyDescent="0.25">
      <c r="A563" s="11"/>
    </row>
    <row r="564" spans="1:1" ht="15.75" customHeight="1" x14ac:dyDescent="0.25">
      <c r="A564" s="11"/>
    </row>
    <row r="565" spans="1:1" ht="15.75" customHeight="1" x14ac:dyDescent="0.25">
      <c r="A565" s="11"/>
    </row>
    <row r="566" spans="1:1" ht="15.75" customHeight="1" x14ac:dyDescent="0.25">
      <c r="A566" s="11"/>
    </row>
    <row r="567" spans="1:1" ht="15.75" customHeight="1" x14ac:dyDescent="0.25">
      <c r="A567" s="11"/>
    </row>
    <row r="568" spans="1:1" ht="15.75" customHeight="1" x14ac:dyDescent="0.25">
      <c r="A568" s="11"/>
    </row>
    <row r="569" spans="1:1" ht="15.75" customHeight="1" x14ac:dyDescent="0.25">
      <c r="A569" s="11"/>
    </row>
    <row r="570" spans="1:1" ht="15.75" customHeight="1" x14ac:dyDescent="0.25">
      <c r="A570" s="11"/>
    </row>
    <row r="571" spans="1:1" ht="15.75" customHeight="1" x14ac:dyDescent="0.25">
      <c r="A571" s="11"/>
    </row>
    <row r="572" spans="1:1" ht="15.75" customHeight="1" x14ac:dyDescent="0.25">
      <c r="A572" s="11"/>
    </row>
    <row r="573" spans="1:1" ht="15.75" customHeight="1" x14ac:dyDescent="0.25">
      <c r="A573" s="11"/>
    </row>
    <row r="574" spans="1:1" ht="15.75" customHeight="1" x14ac:dyDescent="0.25">
      <c r="A574" s="11"/>
    </row>
    <row r="575" spans="1:1" ht="15.75" customHeight="1" x14ac:dyDescent="0.25">
      <c r="A575" s="11"/>
    </row>
    <row r="576" spans="1:1" ht="15.75" customHeight="1" x14ac:dyDescent="0.25">
      <c r="A576" s="11"/>
    </row>
    <row r="577" spans="1:1" ht="15.75" customHeight="1" x14ac:dyDescent="0.25">
      <c r="A577" s="11"/>
    </row>
    <row r="578" spans="1:1" ht="15.75" customHeight="1" x14ac:dyDescent="0.25">
      <c r="A578" s="11"/>
    </row>
    <row r="579" spans="1:1" ht="15.75" customHeight="1" x14ac:dyDescent="0.25">
      <c r="A579" s="11"/>
    </row>
    <row r="580" spans="1:1" ht="15.75" customHeight="1" x14ac:dyDescent="0.25">
      <c r="A580" s="11"/>
    </row>
    <row r="581" spans="1:1" ht="15.75" customHeight="1" x14ac:dyDescent="0.25">
      <c r="A581" s="11"/>
    </row>
    <row r="582" spans="1:1" ht="15.75" customHeight="1" x14ac:dyDescent="0.25">
      <c r="A582" s="11"/>
    </row>
    <row r="583" spans="1:1" ht="15.75" customHeight="1" x14ac:dyDescent="0.25">
      <c r="A583" s="11"/>
    </row>
    <row r="584" spans="1:1" ht="15.75" customHeight="1" x14ac:dyDescent="0.25">
      <c r="A584" s="11"/>
    </row>
    <row r="585" spans="1:1" ht="15.75" customHeight="1" x14ac:dyDescent="0.25">
      <c r="A585" s="11"/>
    </row>
    <row r="586" spans="1:1" ht="15.75" customHeight="1" x14ac:dyDescent="0.25">
      <c r="A586" s="11"/>
    </row>
    <row r="587" spans="1:1" ht="15.75" customHeight="1" x14ac:dyDescent="0.25">
      <c r="A587" s="11"/>
    </row>
    <row r="588" spans="1:1" ht="15.75" customHeight="1" x14ac:dyDescent="0.25">
      <c r="A588" s="11"/>
    </row>
    <row r="589" spans="1:1" ht="15.75" customHeight="1" x14ac:dyDescent="0.25">
      <c r="A589" s="11"/>
    </row>
    <row r="590" spans="1:1" ht="15.75" customHeight="1" x14ac:dyDescent="0.25">
      <c r="A590" s="11"/>
    </row>
    <row r="591" spans="1:1" ht="15.75" customHeight="1" x14ac:dyDescent="0.25">
      <c r="A591" s="11"/>
    </row>
    <row r="592" spans="1:1" ht="15.75" customHeight="1" x14ac:dyDescent="0.25">
      <c r="A592" s="11"/>
    </row>
    <row r="593" spans="1:1" ht="15.75" customHeight="1" x14ac:dyDescent="0.25">
      <c r="A593" s="11"/>
    </row>
    <row r="594" spans="1:1" ht="15.75" customHeight="1" x14ac:dyDescent="0.25">
      <c r="A594" s="11"/>
    </row>
    <row r="595" spans="1:1" ht="15.75" customHeight="1" x14ac:dyDescent="0.25">
      <c r="A595" s="11"/>
    </row>
    <row r="596" spans="1:1" ht="15.75" customHeight="1" x14ac:dyDescent="0.25">
      <c r="A596" s="11"/>
    </row>
    <row r="597" spans="1:1" ht="15.75" customHeight="1" x14ac:dyDescent="0.25">
      <c r="A597" s="11"/>
    </row>
    <row r="598" spans="1:1" ht="15.75" customHeight="1" x14ac:dyDescent="0.25">
      <c r="A598" s="11"/>
    </row>
    <row r="599" spans="1:1" ht="15.75" customHeight="1" x14ac:dyDescent="0.25">
      <c r="A599" s="11"/>
    </row>
    <row r="600" spans="1:1" ht="15.75" customHeight="1" x14ac:dyDescent="0.25">
      <c r="A600" s="11"/>
    </row>
    <row r="601" spans="1:1" ht="15.75" customHeight="1" x14ac:dyDescent="0.25">
      <c r="A601" s="11"/>
    </row>
    <row r="602" spans="1:1" ht="15.75" customHeight="1" x14ac:dyDescent="0.25">
      <c r="A602" s="11"/>
    </row>
    <row r="603" spans="1:1" ht="15.75" customHeight="1" x14ac:dyDescent="0.25">
      <c r="A603" s="11"/>
    </row>
    <row r="604" spans="1:1" ht="15.75" customHeight="1" x14ac:dyDescent="0.25">
      <c r="A604" s="11"/>
    </row>
    <row r="605" spans="1:1" ht="15.75" customHeight="1" x14ac:dyDescent="0.25">
      <c r="A605" s="11"/>
    </row>
    <row r="606" spans="1:1" ht="15.75" customHeight="1" x14ac:dyDescent="0.25">
      <c r="A606" s="11"/>
    </row>
    <row r="607" spans="1:1" ht="15.75" customHeight="1" x14ac:dyDescent="0.25">
      <c r="A607" s="11"/>
    </row>
    <row r="608" spans="1:1" ht="15.75" customHeight="1" x14ac:dyDescent="0.25">
      <c r="A608" s="11"/>
    </row>
    <row r="609" spans="1:1" ht="15.75" customHeight="1" x14ac:dyDescent="0.25">
      <c r="A609" s="11"/>
    </row>
    <row r="610" spans="1:1" ht="15.75" customHeight="1" x14ac:dyDescent="0.25">
      <c r="A610" s="11"/>
    </row>
    <row r="611" spans="1:1" ht="15.75" customHeight="1" x14ac:dyDescent="0.25">
      <c r="A611" s="11"/>
    </row>
    <row r="612" spans="1:1" ht="15.75" customHeight="1" x14ac:dyDescent="0.25">
      <c r="A612" s="11"/>
    </row>
    <row r="613" spans="1:1" ht="15.75" customHeight="1" x14ac:dyDescent="0.25">
      <c r="A613" s="11"/>
    </row>
    <row r="614" spans="1:1" ht="15.75" customHeight="1" x14ac:dyDescent="0.25">
      <c r="A614" s="11"/>
    </row>
    <row r="615" spans="1:1" ht="15.75" customHeight="1" x14ac:dyDescent="0.25">
      <c r="A615" s="11"/>
    </row>
    <row r="616" spans="1:1" ht="15.75" customHeight="1" x14ac:dyDescent="0.25">
      <c r="A616" s="11"/>
    </row>
    <row r="617" spans="1:1" ht="15.75" customHeight="1" x14ac:dyDescent="0.25">
      <c r="A617" s="11"/>
    </row>
    <row r="618" spans="1:1" ht="15.75" customHeight="1" x14ac:dyDescent="0.25">
      <c r="A618" s="11"/>
    </row>
    <row r="619" spans="1:1" ht="15.75" customHeight="1" x14ac:dyDescent="0.25">
      <c r="A619" s="11"/>
    </row>
    <row r="620" spans="1:1" ht="15.75" customHeight="1" x14ac:dyDescent="0.25">
      <c r="A620" s="11"/>
    </row>
    <row r="621" spans="1:1" ht="15.75" customHeight="1" x14ac:dyDescent="0.25">
      <c r="A621" s="11"/>
    </row>
    <row r="622" spans="1:1" ht="15.75" customHeight="1" x14ac:dyDescent="0.25">
      <c r="A622" s="11"/>
    </row>
    <row r="623" spans="1:1" ht="15.75" customHeight="1" x14ac:dyDescent="0.25">
      <c r="A623" s="11"/>
    </row>
    <row r="624" spans="1:1" ht="15.75" customHeight="1" x14ac:dyDescent="0.25">
      <c r="A624" s="11"/>
    </row>
    <row r="625" spans="1:1" ht="15.75" customHeight="1" x14ac:dyDescent="0.25">
      <c r="A625" s="11"/>
    </row>
    <row r="626" spans="1:1" ht="15.75" customHeight="1" x14ac:dyDescent="0.25">
      <c r="A626" s="11"/>
    </row>
    <row r="627" spans="1:1" ht="15.75" customHeight="1" x14ac:dyDescent="0.25">
      <c r="A627" s="11"/>
    </row>
    <row r="628" spans="1:1" ht="15.75" customHeight="1" x14ac:dyDescent="0.25">
      <c r="A628" s="11"/>
    </row>
    <row r="629" spans="1:1" ht="15.75" customHeight="1" x14ac:dyDescent="0.25">
      <c r="A629" s="11"/>
    </row>
    <row r="630" spans="1:1" ht="15.75" customHeight="1" x14ac:dyDescent="0.25">
      <c r="A630" s="11"/>
    </row>
    <row r="631" spans="1:1" ht="15.75" customHeight="1" x14ac:dyDescent="0.25">
      <c r="A631" s="11"/>
    </row>
    <row r="632" spans="1:1" ht="15.75" customHeight="1" x14ac:dyDescent="0.25">
      <c r="A632" s="11"/>
    </row>
    <row r="633" spans="1:1" ht="15.75" customHeight="1" x14ac:dyDescent="0.25">
      <c r="A633" s="11"/>
    </row>
    <row r="634" spans="1:1" ht="15.75" customHeight="1" x14ac:dyDescent="0.25">
      <c r="A634" s="11"/>
    </row>
    <row r="635" spans="1:1" ht="15.75" customHeight="1" x14ac:dyDescent="0.25">
      <c r="A635" s="11"/>
    </row>
    <row r="636" spans="1:1" ht="15.75" customHeight="1" x14ac:dyDescent="0.25">
      <c r="A636" s="11"/>
    </row>
    <row r="637" spans="1:1" ht="15.75" customHeight="1" x14ac:dyDescent="0.25">
      <c r="A637" s="11"/>
    </row>
    <row r="638" spans="1:1" ht="15.75" customHeight="1" x14ac:dyDescent="0.25">
      <c r="A638" s="11"/>
    </row>
    <row r="639" spans="1:1" ht="15.75" customHeight="1" x14ac:dyDescent="0.25">
      <c r="A639" s="11"/>
    </row>
    <row r="640" spans="1:1" ht="15.75" customHeight="1" x14ac:dyDescent="0.25">
      <c r="A640" s="11"/>
    </row>
    <row r="641" spans="1:1" ht="15.75" customHeight="1" x14ac:dyDescent="0.25">
      <c r="A641" s="11"/>
    </row>
    <row r="642" spans="1:1" ht="15.75" customHeight="1" x14ac:dyDescent="0.25">
      <c r="A642" s="11"/>
    </row>
    <row r="643" spans="1:1" ht="15.75" customHeight="1" x14ac:dyDescent="0.25">
      <c r="A643" s="11"/>
    </row>
    <row r="644" spans="1:1" ht="15.75" customHeight="1" x14ac:dyDescent="0.25">
      <c r="A644" s="11"/>
    </row>
    <row r="645" spans="1:1" ht="15.75" customHeight="1" x14ac:dyDescent="0.25">
      <c r="A645" s="11"/>
    </row>
    <row r="646" spans="1:1" ht="15.75" customHeight="1" x14ac:dyDescent="0.25">
      <c r="A646" s="11"/>
    </row>
    <row r="647" spans="1:1" ht="15.75" customHeight="1" x14ac:dyDescent="0.25">
      <c r="A647" s="11"/>
    </row>
    <row r="648" spans="1:1" ht="15.75" customHeight="1" x14ac:dyDescent="0.25">
      <c r="A648" s="11"/>
    </row>
    <row r="649" spans="1:1" ht="15.75" customHeight="1" x14ac:dyDescent="0.25">
      <c r="A649" s="11"/>
    </row>
    <row r="650" spans="1:1" ht="15.75" customHeight="1" x14ac:dyDescent="0.25">
      <c r="A650" s="11"/>
    </row>
    <row r="651" spans="1:1" ht="15.75" customHeight="1" x14ac:dyDescent="0.25">
      <c r="A651" s="11"/>
    </row>
    <row r="652" spans="1:1" ht="15.75" customHeight="1" x14ac:dyDescent="0.25">
      <c r="A652" s="11"/>
    </row>
    <row r="653" spans="1:1" ht="15.75" customHeight="1" x14ac:dyDescent="0.25">
      <c r="A653" s="11"/>
    </row>
    <row r="654" spans="1:1" ht="15.75" customHeight="1" x14ac:dyDescent="0.25">
      <c r="A654" s="11"/>
    </row>
    <row r="655" spans="1:1" ht="15.75" customHeight="1" x14ac:dyDescent="0.25">
      <c r="A655" s="11"/>
    </row>
    <row r="656" spans="1:1" ht="15.75" customHeight="1" x14ac:dyDescent="0.25">
      <c r="A656" s="11"/>
    </row>
    <row r="657" spans="1:1" ht="15.75" customHeight="1" x14ac:dyDescent="0.25">
      <c r="A657" s="11"/>
    </row>
    <row r="658" spans="1:1" ht="15.75" customHeight="1" x14ac:dyDescent="0.25">
      <c r="A658" s="11"/>
    </row>
    <row r="659" spans="1:1" ht="15.75" customHeight="1" x14ac:dyDescent="0.25">
      <c r="A659" s="11"/>
    </row>
    <row r="660" spans="1:1" ht="15.75" customHeight="1" x14ac:dyDescent="0.25">
      <c r="A660" s="11"/>
    </row>
    <row r="661" spans="1:1" ht="15.75" customHeight="1" x14ac:dyDescent="0.25">
      <c r="A661" s="11"/>
    </row>
    <row r="662" spans="1:1" ht="15.75" customHeight="1" x14ac:dyDescent="0.25">
      <c r="A662" s="11"/>
    </row>
    <row r="663" spans="1:1" ht="15.75" customHeight="1" x14ac:dyDescent="0.25">
      <c r="A663" s="11"/>
    </row>
    <row r="664" spans="1:1" ht="15.75" customHeight="1" x14ac:dyDescent="0.25">
      <c r="A664" s="11"/>
    </row>
    <row r="665" spans="1:1" ht="15.75" customHeight="1" x14ac:dyDescent="0.25">
      <c r="A665" s="11"/>
    </row>
    <row r="666" spans="1:1" ht="15.75" customHeight="1" x14ac:dyDescent="0.25">
      <c r="A666" s="11"/>
    </row>
    <row r="667" spans="1:1" ht="15.75" customHeight="1" x14ac:dyDescent="0.25">
      <c r="A667" s="11"/>
    </row>
    <row r="668" spans="1:1" ht="15.75" customHeight="1" x14ac:dyDescent="0.25">
      <c r="A668" s="11"/>
    </row>
    <row r="669" spans="1:1" ht="15.75" customHeight="1" x14ac:dyDescent="0.25">
      <c r="A669" s="11"/>
    </row>
    <row r="670" spans="1:1" ht="15.75" customHeight="1" x14ac:dyDescent="0.25">
      <c r="A670" s="11"/>
    </row>
    <row r="671" spans="1:1" ht="15.75" customHeight="1" x14ac:dyDescent="0.25">
      <c r="A671" s="11"/>
    </row>
    <row r="672" spans="1:1" ht="15.75" customHeight="1" x14ac:dyDescent="0.25">
      <c r="A672" s="11"/>
    </row>
    <row r="673" spans="1:1" ht="15.75" customHeight="1" x14ac:dyDescent="0.25">
      <c r="A673" s="11"/>
    </row>
    <row r="674" spans="1:1" ht="15.75" customHeight="1" x14ac:dyDescent="0.25">
      <c r="A674" s="11"/>
    </row>
    <row r="675" spans="1:1" ht="15.75" customHeight="1" x14ac:dyDescent="0.25">
      <c r="A675" s="11"/>
    </row>
    <row r="676" spans="1:1" ht="15.75" customHeight="1" x14ac:dyDescent="0.25">
      <c r="A676" s="11"/>
    </row>
    <row r="677" spans="1:1" ht="15.75" customHeight="1" x14ac:dyDescent="0.25">
      <c r="A677" s="11"/>
    </row>
    <row r="678" spans="1:1" ht="15.75" customHeight="1" x14ac:dyDescent="0.25">
      <c r="A678" s="11"/>
    </row>
    <row r="679" spans="1:1" ht="15.75" customHeight="1" x14ac:dyDescent="0.25">
      <c r="A679" s="11"/>
    </row>
    <row r="680" spans="1:1" ht="15.75" customHeight="1" x14ac:dyDescent="0.25">
      <c r="A680" s="11"/>
    </row>
    <row r="681" spans="1:1" ht="15.75" customHeight="1" x14ac:dyDescent="0.25">
      <c r="A681" s="11"/>
    </row>
    <row r="682" spans="1:1" ht="15.75" customHeight="1" x14ac:dyDescent="0.25">
      <c r="A682" s="11"/>
    </row>
    <row r="683" spans="1:1" ht="15.75" customHeight="1" x14ac:dyDescent="0.25">
      <c r="A683" s="11"/>
    </row>
    <row r="684" spans="1:1" ht="15.75" customHeight="1" x14ac:dyDescent="0.25">
      <c r="A684" s="11"/>
    </row>
    <row r="685" spans="1:1" ht="15.75" customHeight="1" x14ac:dyDescent="0.25">
      <c r="A685" s="11"/>
    </row>
    <row r="686" spans="1:1" ht="15.75" customHeight="1" x14ac:dyDescent="0.25">
      <c r="A686" s="11"/>
    </row>
    <row r="687" spans="1:1" ht="15.75" customHeight="1" x14ac:dyDescent="0.25">
      <c r="A687" s="11"/>
    </row>
    <row r="688" spans="1:1" ht="15.75" customHeight="1" x14ac:dyDescent="0.25">
      <c r="A688" s="11"/>
    </row>
    <row r="689" spans="1:1" ht="15.75" customHeight="1" x14ac:dyDescent="0.25">
      <c r="A689" s="11"/>
    </row>
    <row r="690" spans="1:1" ht="15.75" customHeight="1" x14ac:dyDescent="0.25">
      <c r="A690" s="11"/>
    </row>
    <row r="691" spans="1:1" ht="15.75" customHeight="1" x14ac:dyDescent="0.25">
      <c r="A691" s="11"/>
    </row>
    <row r="692" spans="1:1" ht="15.75" customHeight="1" x14ac:dyDescent="0.25">
      <c r="A692" s="11"/>
    </row>
    <row r="693" spans="1:1" ht="15.75" customHeight="1" x14ac:dyDescent="0.25">
      <c r="A693" s="11"/>
    </row>
    <row r="694" spans="1:1" ht="15.75" customHeight="1" x14ac:dyDescent="0.25">
      <c r="A694" s="11"/>
    </row>
    <row r="695" spans="1:1" ht="15.75" customHeight="1" x14ac:dyDescent="0.25">
      <c r="A695" s="11"/>
    </row>
    <row r="696" spans="1:1" ht="15.75" customHeight="1" x14ac:dyDescent="0.25">
      <c r="A696" s="11"/>
    </row>
    <row r="697" spans="1:1" ht="15.75" customHeight="1" x14ac:dyDescent="0.25">
      <c r="A697" s="11"/>
    </row>
    <row r="698" spans="1:1" ht="15.75" customHeight="1" x14ac:dyDescent="0.25">
      <c r="A698" s="11"/>
    </row>
    <row r="699" spans="1:1" ht="15.75" customHeight="1" x14ac:dyDescent="0.25">
      <c r="A699" s="11"/>
    </row>
    <row r="700" spans="1:1" ht="15.75" customHeight="1" x14ac:dyDescent="0.25">
      <c r="A700" s="11"/>
    </row>
    <row r="701" spans="1:1" ht="15.75" customHeight="1" x14ac:dyDescent="0.25">
      <c r="A701" s="11"/>
    </row>
    <row r="702" spans="1:1" ht="15.75" customHeight="1" x14ac:dyDescent="0.25">
      <c r="A702" s="11"/>
    </row>
    <row r="703" spans="1:1" ht="15.75" customHeight="1" x14ac:dyDescent="0.25">
      <c r="A703" s="11"/>
    </row>
    <row r="704" spans="1:1" ht="15.75" customHeight="1" x14ac:dyDescent="0.25">
      <c r="A704" s="11"/>
    </row>
    <row r="705" spans="1:1" ht="15.75" customHeight="1" x14ac:dyDescent="0.25">
      <c r="A705" s="11"/>
    </row>
    <row r="706" spans="1:1" ht="15.75" customHeight="1" x14ac:dyDescent="0.25">
      <c r="A706" s="11"/>
    </row>
    <row r="707" spans="1:1" ht="15.75" customHeight="1" x14ac:dyDescent="0.25">
      <c r="A707" s="11"/>
    </row>
    <row r="708" spans="1:1" ht="15.75" customHeight="1" x14ac:dyDescent="0.25">
      <c r="A708" s="11"/>
    </row>
    <row r="709" spans="1:1" ht="15.75" customHeight="1" x14ac:dyDescent="0.25">
      <c r="A709" s="11"/>
    </row>
    <row r="710" spans="1:1" ht="15.75" customHeight="1" x14ac:dyDescent="0.25">
      <c r="A710" s="11"/>
    </row>
    <row r="711" spans="1:1" ht="15.75" customHeight="1" x14ac:dyDescent="0.25">
      <c r="A711" s="11"/>
    </row>
    <row r="712" spans="1:1" ht="15.75" customHeight="1" x14ac:dyDescent="0.25">
      <c r="A712" s="11"/>
    </row>
    <row r="713" spans="1:1" ht="15.75" customHeight="1" x14ac:dyDescent="0.25">
      <c r="A713" s="11"/>
    </row>
    <row r="714" spans="1:1" ht="15.75" customHeight="1" x14ac:dyDescent="0.25">
      <c r="A714" s="11"/>
    </row>
    <row r="715" spans="1:1" ht="15.75" customHeight="1" x14ac:dyDescent="0.25">
      <c r="A715" s="11"/>
    </row>
    <row r="716" spans="1:1" ht="15.75" customHeight="1" x14ac:dyDescent="0.25">
      <c r="A716" s="11"/>
    </row>
    <row r="717" spans="1:1" ht="15.75" customHeight="1" x14ac:dyDescent="0.25">
      <c r="A717" s="11"/>
    </row>
    <row r="718" spans="1:1" ht="15.75" customHeight="1" x14ac:dyDescent="0.25">
      <c r="A718" s="11"/>
    </row>
    <row r="719" spans="1:1" ht="15.75" customHeight="1" x14ac:dyDescent="0.25">
      <c r="A719" s="11"/>
    </row>
    <row r="720" spans="1:1" ht="15.75" customHeight="1" x14ac:dyDescent="0.25">
      <c r="A720" s="11"/>
    </row>
    <row r="721" spans="1:1" ht="15.75" customHeight="1" x14ac:dyDescent="0.25">
      <c r="A721" s="11"/>
    </row>
    <row r="722" spans="1:1" ht="15.75" customHeight="1" x14ac:dyDescent="0.25">
      <c r="A722" s="11"/>
    </row>
    <row r="723" spans="1:1" ht="15.75" customHeight="1" x14ac:dyDescent="0.25">
      <c r="A723" s="11"/>
    </row>
    <row r="724" spans="1:1" ht="15.75" customHeight="1" x14ac:dyDescent="0.25">
      <c r="A724" s="11"/>
    </row>
    <row r="725" spans="1:1" ht="15.75" customHeight="1" x14ac:dyDescent="0.25">
      <c r="A725" s="11"/>
    </row>
    <row r="726" spans="1:1" ht="15.75" customHeight="1" x14ac:dyDescent="0.25">
      <c r="A726" s="11"/>
    </row>
    <row r="727" spans="1:1" ht="15.75" customHeight="1" x14ac:dyDescent="0.25">
      <c r="A727" s="11"/>
    </row>
    <row r="728" spans="1:1" ht="15.75" customHeight="1" x14ac:dyDescent="0.25">
      <c r="A728" s="11"/>
    </row>
    <row r="729" spans="1:1" ht="15.75" customHeight="1" x14ac:dyDescent="0.25">
      <c r="A729" s="11"/>
    </row>
    <row r="730" spans="1:1" ht="15.75" customHeight="1" x14ac:dyDescent="0.25">
      <c r="A730" s="11"/>
    </row>
    <row r="731" spans="1:1" ht="15.75" customHeight="1" x14ac:dyDescent="0.25">
      <c r="A731" s="11"/>
    </row>
    <row r="732" spans="1:1" ht="15.75" customHeight="1" x14ac:dyDescent="0.25">
      <c r="A732" s="11"/>
    </row>
    <row r="733" spans="1:1" ht="15.75" customHeight="1" x14ac:dyDescent="0.25">
      <c r="A733" s="11"/>
    </row>
    <row r="734" spans="1:1" ht="15.75" customHeight="1" x14ac:dyDescent="0.25">
      <c r="A734" s="11"/>
    </row>
    <row r="735" spans="1:1" ht="15.75" customHeight="1" x14ac:dyDescent="0.25">
      <c r="A735" s="11"/>
    </row>
    <row r="736" spans="1:1" ht="15.75" customHeight="1" x14ac:dyDescent="0.25">
      <c r="A736" s="11"/>
    </row>
    <row r="737" spans="1:1" ht="15.75" customHeight="1" x14ac:dyDescent="0.25">
      <c r="A737" s="11"/>
    </row>
    <row r="738" spans="1:1" ht="15.75" customHeight="1" x14ac:dyDescent="0.25">
      <c r="A738" s="11"/>
    </row>
    <row r="739" spans="1:1" ht="15.75" customHeight="1" x14ac:dyDescent="0.25">
      <c r="A739" s="11"/>
    </row>
    <row r="740" spans="1:1" ht="15.75" customHeight="1" x14ac:dyDescent="0.25">
      <c r="A740" s="11"/>
    </row>
    <row r="741" spans="1:1" ht="15.75" customHeight="1" x14ac:dyDescent="0.25">
      <c r="A741" s="11"/>
    </row>
    <row r="742" spans="1:1" ht="15.75" customHeight="1" x14ac:dyDescent="0.25">
      <c r="A742" s="11"/>
    </row>
    <row r="743" spans="1:1" ht="15.75" customHeight="1" x14ac:dyDescent="0.25">
      <c r="A743" s="11"/>
    </row>
    <row r="744" spans="1:1" ht="15.75" customHeight="1" x14ac:dyDescent="0.25">
      <c r="A744" s="11"/>
    </row>
    <row r="745" spans="1:1" ht="15.75" customHeight="1" x14ac:dyDescent="0.25">
      <c r="A745" s="11"/>
    </row>
    <row r="746" spans="1:1" ht="15.75" customHeight="1" x14ac:dyDescent="0.25">
      <c r="A746" s="11"/>
    </row>
    <row r="747" spans="1:1" ht="15.75" customHeight="1" x14ac:dyDescent="0.25">
      <c r="A747" s="11"/>
    </row>
    <row r="748" spans="1:1" ht="15.75" customHeight="1" x14ac:dyDescent="0.25">
      <c r="A748" s="11"/>
    </row>
    <row r="749" spans="1:1" ht="15.75" customHeight="1" x14ac:dyDescent="0.25">
      <c r="A749" s="11"/>
    </row>
    <row r="750" spans="1:1" ht="15.75" customHeight="1" x14ac:dyDescent="0.25">
      <c r="A750" s="11"/>
    </row>
    <row r="751" spans="1:1" ht="15.75" customHeight="1" x14ac:dyDescent="0.25">
      <c r="A751" s="11"/>
    </row>
    <row r="752" spans="1:1" ht="15.75" customHeight="1" x14ac:dyDescent="0.25">
      <c r="A752" s="11"/>
    </row>
    <row r="753" spans="1:1" ht="15.75" customHeight="1" x14ac:dyDescent="0.25">
      <c r="A753" s="11"/>
    </row>
    <row r="754" spans="1:1" ht="15.75" customHeight="1" x14ac:dyDescent="0.25">
      <c r="A754" s="11"/>
    </row>
    <row r="755" spans="1:1" ht="15.75" customHeight="1" x14ac:dyDescent="0.25">
      <c r="A755" s="11"/>
    </row>
    <row r="756" spans="1:1" ht="15.75" customHeight="1" x14ac:dyDescent="0.25">
      <c r="A756" s="11"/>
    </row>
    <row r="757" spans="1:1" ht="15.75" customHeight="1" x14ac:dyDescent="0.25">
      <c r="A757" s="11"/>
    </row>
    <row r="758" spans="1:1" ht="15.75" customHeight="1" x14ac:dyDescent="0.25">
      <c r="A758" s="11"/>
    </row>
    <row r="759" spans="1:1" ht="15.75" customHeight="1" x14ac:dyDescent="0.25">
      <c r="A759" s="11"/>
    </row>
    <row r="760" spans="1:1" ht="15.75" customHeight="1" x14ac:dyDescent="0.25">
      <c r="A760" s="11"/>
    </row>
    <row r="761" spans="1:1" ht="15.75" customHeight="1" x14ac:dyDescent="0.25">
      <c r="A761" s="11"/>
    </row>
    <row r="762" spans="1:1" ht="15.75" customHeight="1" x14ac:dyDescent="0.25">
      <c r="A762" s="11"/>
    </row>
    <row r="763" spans="1:1" ht="15.75" customHeight="1" x14ac:dyDescent="0.25">
      <c r="A763" s="11"/>
    </row>
    <row r="764" spans="1:1" ht="15.75" customHeight="1" x14ac:dyDescent="0.25">
      <c r="A764" s="11"/>
    </row>
    <row r="765" spans="1:1" ht="15.75" customHeight="1" x14ac:dyDescent="0.25">
      <c r="A765" s="11"/>
    </row>
    <row r="766" spans="1:1" ht="15.75" customHeight="1" x14ac:dyDescent="0.25">
      <c r="A766" s="11"/>
    </row>
    <row r="767" spans="1:1" ht="15.75" customHeight="1" x14ac:dyDescent="0.25">
      <c r="A767" s="11"/>
    </row>
    <row r="768" spans="1:1" ht="15.75" customHeight="1" x14ac:dyDescent="0.25">
      <c r="A768" s="11"/>
    </row>
    <row r="769" spans="1:1" ht="15.75" customHeight="1" x14ac:dyDescent="0.25">
      <c r="A769" s="11"/>
    </row>
    <row r="770" spans="1:1" ht="15.75" customHeight="1" x14ac:dyDescent="0.25">
      <c r="A770" s="11"/>
    </row>
    <row r="771" spans="1:1" ht="15.75" customHeight="1" x14ac:dyDescent="0.25">
      <c r="A771" s="11"/>
    </row>
    <row r="772" spans="1:1" ht="15.75" customHeight="1" x14ac:dyDescent="0.25">
      <c r="A772" s="11"/>
    </row>
    <row r="773" spans="1:1" ht="15.75" customHeight="1" x14ac:dyDescent="0.25">
      <c r="A773" s="11"/>
    </row>
    <row r="774" spans="1:1" ht="15.75" customHeight="1" x14ac:dyDescent="0.25">
      <c r="A774" s="11"/>
    </row>
    <row r="775" spans="1:1" ht="15.75" customHeight="1" x14ac:dyDescent="0.25">
      <c r="A775" s="11"/>
    </row>
    <row r="776" spans="1:1" ht="15.75" customHeight="1" x14ac:dyDescent="0.25">
      <c r="A776" s="11"/>
    </row>
    <row r="777" spans="1:1" ht="15.75" customHeight="1" x14ac:dyDescent="0.25">
      <c r="A777" s="11"/>
    </row>
    <row r="778" spans="1:1" ht="15.75" customHeight="1" x14ac:dyDescent="0.25">
      <c r="A778" s="11"/>
    </row>
    <row r="779" spans="1:1" ht="15.75" customHeight="1" x14ac:dyDescent="0.25">
      <c r="A779" s="11"/>
    </row>
    <row r="780" spans="1:1" ht="15.75" customHeight="1" x14ac:dyDescent="0.25">
      <c r="A780" s="11"/>
    </row>
    <row r="781" spans="1:1" ht="15.75" customHeight="1" x14ac:dyDescent="0.25">
      <c r="A781" s="11"/>
    </row>
    <row r="782" spans="1:1" ht="15.75" customHeight="1" x14ac:dyDescent="0.25">
      <c r="A782" s="11"/>
    </row>
    <row r="783" spans="1:1" ht="15.75" customHeight="1" x14ac:dyDescent="0.25">
      <c r="A783" s="11"/>
    </row>
    <row r="784" spans="1:1" ht="15.75" customHeight="1" x14ac:dyDescent="0.25">
      <c r="A784" s="11"/>
    </row>
    <row r="785" spans="1:1" ht="15.75" customHeight="1" x14ac:dyDescent="0.25">
      <c r="A785" s="11"/>
    </row>
    <row r="786" spans="1:1" ht="15.75" customHeight="1" x14ac:dyDescent="0.25">
      <c r="A786" s="11"/>
    </row>
    <row r="787" spans="1:1" ht="15.75" customHeight="1" x14ac:dyDescent="0.25">
      <c r="A787" s="11"/>
    </row>
    <row r="788" spans="1:1" ht="15.75" customHeight="1" x14ac:dyDescent="0.25">
      <c r="A788" s="11"/>
    </row>
    <row r="789" spans="1:1" ht="15.75" customHeight="1" x14ac:dyDescent="0.25">
      <c r="A789" s="11"/>
    </row>
    <row r="790" spans="1:1" ht="15.75" customHeight="1" x14ac:dyDescent="0.25">
      <c r="A790" s="11"/>
    </row>
    <row r="791" spans="1:1" ht="15.75" customHeight="1" x14ac:dyDescent="0.25">
      <c r="A791" s="11"/>
    </row>
    <row r="792" spans="1:1" ht="15.75" customHeight="1" x14ac:dyDescent="0.25">
      <c r="A792" s="11"/>
    </row>
    <row r="793" spans="1:1" ht="15.75" customHeight="1" x14ac:dyDescent="0.25">
      <c r="A793" s="11"/>
    </row>
    <row r="794" spans="1:1" ht="15.75" customHeight="1" x14ac:dyDescent="0.25">
      <c r="A794" s="11"/>
    </row>
    <row r="795" spans="1:1" ht="15.75" customHeight="1" x14ac:dyDescent="0.25">
      <c r="A795" s="11"/>
    </row>
    <row r="796" spans="1:1" ht="15.75" customHeight="1" x14ac:dyDescent="0.25">
      <c r="A796" s="11"/>
    </row>
    <row r="797" spans="1:1" ht="15.75" customHeight="1" x14ac:dyDescent="0.25">
      <c r="A797" s="11"/>
    </row>
    <row r="798" spans="1:1" ht="15.75" customHeight="1" x14ac:dyDescent="0.25">
      <c r="A798" s="11"/>
    </row>
    <row r="799" spans="1:1" ht="15.75" customHeight="1" x14ac:dyDescent="0.25">
      <c r="A799" s="11"/>
    </row>
    <row r="800" spans="1:1" ht="15.75" customHeight="1" x14ac:dyDescent="0.25">
      <c r="A800" s="11"/>
    </row>
    <row r="801" spans="1:1" ht="15.75" customHeight="1" x14ac:dyDescent="0.25">
      <c r="A801" s="11"/>
    </row>
    <row r="802" spans="1:1" ht="15.75" customHeight="1" x14ac:dyDescent="0.25">
      <c r="A802" s="11"/>
    </row>
    <row r="803" spans="1:1" ht="15.75" customHeight="1" x14ac:dyDescent="0.25">
      <c r="A803" s="11"/>
    </row>
    <row r="804" spans="1:1" ht="15.75" customHeight="1" x14ac:dyDescent="0.25">
      <c r="A804" s="11"/>
    </row>
    <row r="805" spans="1:1" ht="15.75" customHeight="1" x14ac:dyDescent="0.25">
      <c r="A805" s="11"/>
    </row>
    <row r="806" spans="1:1" ht="15.75" customHeight="1" x14ac:dyDescent="0.25">
      <c r="A806" s="11"/>
    </row>
    <row r="807" spans="1:1" ht="15.75" customHeight="1" x14ac:dyDescent="0.25">
      <c r="A807" s="11"/>
    </row>
    <row r="808" spans="1:1" ht="15.75" customHeight="1" x14ac:dyDescent="0.25">
      <c r="A808" s="11"/>
    </row>
    <row r="809" spans="1:1" ht="15.75" customHeight="1" x14ac:dyDescent="0.25">
      <c r="A809" s="11"/>
    </row>
    <row r="810" spans="1:1" ht="15.75" customHeight="1" x14ac:dyDescent="0.25">
      <c r="A810" s="11"/>
    </row>
    <row r="811" spans="1:1" ht="15.75" customHeight="1" x14ac:dyDescent="0.25">
      <c r="A811" s="11"/>
    </row>
    <row r="812" spans="1:1" ht="15.75" customHeight="1" x14ac:dyDescent="0.25">
      <c r="A812" s="11"/>
    </row>
    <row r="813" spans="1:1" ht="15.75" customHeight="1" x14ac:dyDescent="0.25">
      <c r="A813" s="11"/>
    </row>
    <row r="814" spans="1:1" ht="15.75" customHeight="1" x14ac:dyDescent="0.25">
      <c r="A814" s="11"/>
    </row>
    <row r="815" spans="1:1" ht="15.75" customHeight="1" x14ac:dyDescent="0.25">
      <c r="A815" s="11"/>
    </row>
    <row r="816" spans="1:1" ht="15.75" customHeight="1" x14ac:dyDescent="0.25">
      <c r="A816" s="11"/>
    </row>
    <row r="817" spans="1:1" ht="15.75" customHeight="1" x14ac:dyDescent="0.25">
      <c r="A817" s="11"/>
    </row>
    <row r="818" spans="1:1" ht="15.75" customHeight="1" x14ac:dyDescent="0.25">
      <c r="A818" s="11"/>
    </row>
    <row r="819" spans="1:1" ht="15.75" customHeight="1" x14ac:dyDescent="0.25">
      <c r="A819" s="11"/>
    </row>
    <row r="820" spans="1:1" ht="15.75" customHeight="1" x14ac:dyDescent="0.25">
      <c r="A820" s="11"/>
    </row>
    <row r="821" spans="1:1" ht="15.75" customHeight="1" x14ac:dyDescent="0.25">
      <c r="A821" s="11"/>
    </row>
    <row r="822" spans="1:1" ht="15.75" customHeight="1" x14ac:dyDescent="0.25">
      <c r="A822" s="11"/>
    </row>
    <row r="823" spans="1:1" ht="15.75" customHeight="1" x14ac:dyDescent="0.25">
      <c r="A823" s="11"/>
    </row>
    <row r="824" spans="1:1" ht="15.75" customHeight="1" x14ac:dyDescent="0.25">
      <c r="A824" s="11"/>
    </row>
    <row r="825" spans="1:1" ht="15.75" customHeight="1" x14ac:dyDescent="0.25">
      <c r="A825" s="11"/>
    </row>
    <row r="826" spans="1:1" ht="15.75" customHeight="1" x14ac:dyDescent="0.25">
      <c r="A826" s="11"/>
    </row>
    <row r="827" spans="1:1" ht="15.75" customHeight="1" x14ac:dyDescent="0.25">
      <c r="A827" s="11"/>
    </row>
    <row r="828" spans="1:1" ht="15.75" customHeight="1" x14ac:dyDescent="0.25">
      <c r="A828" s="11"/>
    </row>
    <row r="829" spans="1:1" ht="15.75" customHeight="1" x14ac:dyDescent="0.25">
      <c r="A829" s="11"/>
    </row>
    <row r="830" spans="1:1" ht="15.75" customHeight="1" x14ac:dyDescent="0.25">
      <c r="A830" s="11"/>
    </row>
    <row r="831" spans="1:1" ht="15.75" customHeight="1" x14ac:dyDescent="0.25">
      <c r="A831" s="11"/>
    </row>
    <row r="832" spans="1:1" ht="15.75" customHeight="1" x14ac:dyDescent="0.25">
      <c r="A832" s="11"/>
    </row>
    <row r="833" spans="1:1" ht="15.75" customHeight="1" x14ac:dyDescent="0.25">
      <c r="A833" s="11"/>
    </row>
    <row r="834" spans="1:1" ht="15.75" customHeight="1" x14ac:dyDescent="0.25">
      <c r="A834" s="11"/>
    </row>
    <row r="835" spans="1:1" ht="15.75" customHeight="1" x14ac:dyDescent="0.25">
      <c r="A835" s="11"/>
    </row>
    <row r="836" spans="1:1" ht="15.75" customHeight="1" x14ac:dyDescent="0.25">
      <c r="A836" s="11"/>
    </row>
    <row r="837" spans="1:1" ht="15.75" customHeight="1" x14ac:dyDescent="0.25">
      <c r="A837" s="11"/>
    </row>
    <row r="838" spans="1:1" ht="15.75" customHeight="1" x14ac:dyDescent="0.25">
      <c r="A838" s="11"/>
    </row>
    <row r="839" spans="1:1" ht="15.75" customHeight="1" x14ac:dyDescent="0.25">
      <c r="A839" s="11"/>
    </row>
    <row r="840" spans="1:1" ht="15.75" customHeight="1" x14ac:dyDescent="0.25">
      <c r="A840" s="11"/>
    </row>
    <row r="841" spans="1:1" ht="15.75" customHeight="1" x14ac:dyDescent="0.25">
      <c r="A841" s="11"/>
    </row>
    <row r="842" spans="1:1" ht="15.75" customHeight="1" x14ac:dyDescent="0.25">
      <c r="A842" s="11"/>
    </row>
    <row r="843" spans="1:1" ht="15.75" customHeight="1" x14ac:dyDescent="0.25">
      <c r="A843" s="11"/>
    </row>
    <row r="844" spans="1:1" ht="15.75" customHeight="1" x14ac:dyDescent="0.25">
      <c r="A844" s="11"/>
    </row>
    <row r="845" spans="1:1" ht="15.75" customHeight="1" x14ac:dyDescent="0.25">
      <c r="A845" s="11"/>
    </row>
    <row r="846" spans="1:1" ht="15.75" customHeight="1" x14ac:dyDescent="0.25">
      <c r="A846" s="11"/>
    </row>
    <row r="847" spans="1:1" ht="15.75" customHeight="1" x14ac:dyDescent="0.25">
      <c r="A847" s="11"/>
    </row>
    <row r="848" spans="1:1" ht="15.75" customHeight="1" x14ac:dyDescent="0.25">
      <c r="A848" s="11"/>
    </row>
    <row r="849" spans="1:1" ht="15.75" customHeight="1" x14ac:dyDescent="0.25">
      <c r="A849" s="11"/>
    </row>
    <row r="850" spans="1:1" ht="15.75" customHeight="1" x14ac:dyDescent="0.25">
      <c r="A850" s="11"/>
    </row>
    <row r="851" spans="1:1" ht="15.75" customHeight="1" x14ac:dyDescent="0.25">
      <c r="A851" s="11"/>
    </row>
    <row r="852" spans="1:1" ht="15.75" customHeight="1" x14ac:dyDescent="0.25">
      <c r="A852" s="11"/>
    </row>
    <row r="853" spans="1:1" ht="15.75" customHeight="1" x14ac:dyDescent="0.25">
      <c r="A853" s="11"/>
    </row>
    <row r="854" spans="1:1" ht="15.75" customHeight="1" x14ac:dyDescent="0.25">
      <c r="A854" s="11"/>
    </row>
    <row r="855" spans="1:1" ht="15.75" customHeight="1" x14ac:dyDescent="0.25">
      <c r="A855" s="11"/>
    </row>
    <row r="856" spans="1:1" ht="15.75" customHeight="1" x14ac:dyDescent="0.25">
      <c r="A856" s="11"/>
    </row>
    <row r="857" spans="1:1" ht="15.75" customHeight="1" x14ac:dyDescent="0.25">
      <c r="A857" s="11"/>
    </row>
    <row r="858" spans="1:1" ht="15.75" customHeight="1" x14ac:dyDescent="0.25">
      <c r="A858" s="11"/>
    </row>
    <row r="859" spans="1:1" ht="15.75" customHeight="1" x14ac:dyDescent="0.25">
      <c r="A859" s="11"/>
    </row>
    <row r="860" spans="1:1" ht="15.75" customHeight="1" x14ac:dyDescent="0.25">
      <c r="A860" s="11"/>
    </row>
    <row r="861" spans="1:1" ht="15.75" customHeight="1" x14ac:dyDescent="0.25">
      <c r="A861" s="11"/>
    </row>
    <row r="862" spans="1:1" ht="15.75" customHeight="1" x14ac:dyDescent="0.25">
      <c r="A862" s="11"/>
    </row>
    <row r="863" spans="1:1" ht="15.75" customHeight="1" x14ac:dyDescent="0.25">
      <c r="A863" s="11"/>
    </row>
    <row r="864" spans="1:1" ht="15.75" customHeight="1" x14ac:dyDescent="0.25">
      <c r="A864" s="11"/>
    </row>
    <row r="865" spans="1:1" ht="15.75" customHeight="1" x14ac:dyDescent="0.25">
      <c r="A865" s="11"/>
    </row>
    <row r="866" spans="1:1" ht="15.75" customHeight="1" x14ac:dyDescent="0.25">
      <c r="A866" s="11"/>
    </row>
    <row r="867" spans="1:1" ht="15.75" customHeight="1" x14ac:dyDescent="0.25">
      <c r="A867" s="11"/>
    </row>
    <row r="868" spans="1:1" ht="15.75" customHeight="1" x14ac:dyDescent="0.25">
      <c r="A868" s="11"/>
    </row>
    <row r="869" spans="1:1" ht="15.75" customHeight="1" x14ac:dyDescent="0.25">
      <c r="A869" s="11"/>
    </row>
    <row r="870" spans="1:1" ht="15.75" customHeight="1" x14ac:dyDescent="0.25">
      <c r="A870" s="11"/>
    </row>
    <row r="871" spans="1:1" ht="15.75" customHeight="1" x14ac:dyDescent="0.25">
      <c r="A871" s="11"/>
    </row>
    <row r="872" spans="1:1" ht="15.75" customHeight="1" x14ac:dyDescent="0.25">
      <c r="A872" s="11"/>
    </row>
    <row r="873" spans="1:1" ht="15.75" customHeight="1" x14ac:dyDescent="0.25">
      <c r="A873" s="11"/>
    </row>
    <row r="874" spans="1:1" ht="15.75" customHeight="1" x14ac:dyDescent="0.25">
      <c r="A874" s="11"/>
    </row>
    <row r="875" spans="1:1" ht="15.75" customHeight="1" x14ac:dyDescent="0.25">
      <c r="A875" s="11"/>
    </row>
    <row r="876" spans="1:1" ht="15.75" customHeight="1" x14ac:dyDescent="0.25">
      <c r="A876" s="11"/>
    </row>
    <row r="877" spans="1:1" ht="15.75" customHeight="1" x14ac:dyDescent="0.25">
      <c r="A877" s="11"/>
    </row>
    <row r="878" spans="1:1" ht="15.75" customHeight="1" x14ac:dyDescent="0.25">
      <c r="A878" s="11"/>
    </row>
    <row r="879" spans="1:1" ht="15.75" customHeight="1" x14ac:dyDescent="0.25">
      <c r="A879" s="11"/>
    </row>
    <row r="880" spans="1:1" ht="15.75" customHeight="1" x14ac:dyDescent="0.25">
      <c r="A880" s="11"/>
    </row>
    <row r="881" spans="1:1" ht="15.75" customHeight="1" x14ac:dyDescent="0.25">
      <c r="A881" s="11"/>
    </row>
    <row r="882" spans="1:1" ht="15.75" customHeight="1" x14ac:dyDescent="0.25">
      <c r="A882" s="11"/>
    </row>
    <row r="883" spans="1:1" ht="15.75" customHeight="1" x14ac:dyDescent="0.25">
      <c r="A883" s="11"/>
    </row>
    <row r="884" spans="1:1" ht="15.75" customHeight="1" x14ac:dyDescent="0.25">
      <c r="A884" s="11"/>
    </row>
    <row r="885" spans="1:1" ht="15.75" customHeight="1" x14ac:dyDescent="0.25">
      <c r="A885" s="11"/>
    </row>
    <row r="886" spans="1:1" ht="15.75" customHeight="1" x14ac:dyDescent="0.25">
      <c r="A886" s="11"/>
    </row>
    <row r="887" spans="1:1" ht="15.75" customHeight="1" x14ac:dyDescent="0.25">
      <c r="A887" s="11"/>
    </row>
    <row r="888" spans="1:1" ht="15.75" customHeight="1" x14ac:dyDescent="0.25">
      <c r="A888" s="11"/>
    </row>
    <row r="889" spans="1:1" ht="15.75" customHeight="1" x14ac:dyDescent="0.25">
      <c r="A889" s="11"/>
    </row>
    <row r="890" spans="1:1" ht="15.75" customHeight="1" x14ac:dyDescent="0.25">
      <c r="A890" s="11"/>
    </row>
    <row r="891" spans="1:1" ht="15.75" customHeight="1" x14ac:dyDescent="0.25">
      <c r="A891" s="11"/>
    </row>
    <row r="892" spans="1:1" ht="15.75" customHeight="1" x14ac:dyDescent="0.25">
      <c r="A892" s="11"/>
    </row>
    <row r="893" spans="1:1" ht="15.75" customHeight="1" x14ac:dyDescent="0.25">
      <c r="A893" s="11"/>
    </row>
    <row r="894" spans="1:1" ht="15.75" customHeight="1" x14ac:dyDescent="0.25">
      <c r="A894" s="11"/>
    </row>
    <row r="895" spans="1:1" ht="15.75" customHeight="1" x14ac:dyDescent="0.25">
      <c r="A895" s="11"/>
    </row>
    <row r="896" spans="1:1" ht="15.75" customHeight="1" x14ac:dyDescent="0.25">
      <c r="A896" s="11"/>
    </row>
    <row r="897" spans="1:1" ht="15.75" customHeight="1" x14ac:dyDescent="0.25">
      <c r="A897" s="11"/>
    </row>
    <row r="898" spans="1:1" ht="15.75" customHeight="1" x14ac:dyDescent="0.25">
      <c r="A898" s="11"/>
    </row>
    <row r="899" spans="1:1" ht="15.75" customHeight="1" x14ac:dyDescent="0.25">
      <c r="A899" s="11"/>
    </row>
    <row r="900" spans="1:1" ht="15.75" customHeight="1" x14ac:dyDescent="0.25">
      <c r="A900" s="11"/>
    </row>
    <row r="901" spans="1:1" ht="15.75" customHeight="1" x14ac:dyDescent="0.25">
      <c r="A901" s="11"/>
    </row>
    <row r="902" spans="1:1" ht="15.75" customHeight="1" x14ac:dyDescent="0.25">
      <c r="A902" s="11"/>
    </row>
    <row r="903" spans="1:1" ht="15.75" customHeight="1" x14ac:dyDescent="0.25">
      <c r="A903" s="11"/>
    </row>
    <row r="904" spans="1:1" ht="15.75" customHeight="1" x14ac:dyDescent="0.25">
      <c r="A904" s="11"/>
    </row>
    <row r="905" spans="1:1" ht="15.75" customHeight="1" x14ac:dyDescent="0.25">
      <c r="A905" s="11"/>
    </row>
    <row r="906" spans="1:1" ht="15.75" customHeight="1" x14ac:dyDescent="0.25">
      <c r="A906" s="11"/>
    </row>
    <row r="907" spans="1:1" ht="15.75" customHeight="1" x14ac:dyDescent="0.25">
      <c r="A907" s="11"/>
    </row>
    <row r="908" spans="1:1" ht="15.75" customHeight="1" x14ac:dyDescent="0.25">
      <c r="A908" s="11"/>
    </row>
    <row r="909" spans="1:1" ht="15.75" customHeight="1" x14ac:dyDescent="0.25">
      <c r="A909" s="11"/>
    </row>
    <row r="910" spans="1:1" ht="15.75" customHeight="1" x14ac:dyDescent="0.25">
      <c r="A910" s="11"/>
    </row>
    <row r="911" spans="1:1" ht="15.75" customHeight="1" x14ac:dyDescent="0.25">
      <c r="A911" s="11"/>
    </row>
    <row r="912" spans="1:1" ht="15.75" customHeight="1" x14ac:dyDescent="0.25">
      <c r="A912" s="11"/>
    </row>
    <row r="913" spans="1:1" ht="15.75" customHeight="1" x14ac:dyDescent="0.25">
      <c r="A913" s="11"/>
    </row>
    <row r="914" spans="1:1" ht="15.75" customHeight="1" x14ac:dyDescent="0.25">
      <c r="A914" s="11"/>
    </row>
    <row r="915" spans="1:1" ht="15.75" customHeight="1" x14ac:dyDescent="0.25">
      <c r="A915" s="11"/>
    </row>
    <row r="916" spans="1:1" ht="15.75" customHeight="1" x14ac:dyDescent="0.25">
      <c r="A916" s="11"/>
    </row>
    <row r="917" spans="1:1" ht="15.75" customHeight="1" x14ac:dyDescent="0.25">
      <c r="A917" s="11"/>
    </row>
    <row r="918" spans="1:1" ht="15.75" customHeight="1" x14ac:dyDescent="0.25">
      <c r="A918" s="11"/>
    </row>
    <row r="919" spans="1:1" ht="15.75" customHeight="1" x14ac:dyDescent="0.25">
      <c r="A919" s="11"/>
    </row>
    <row r="920" spans="1:1" ht="15.75" customHeight="1" x14ac:dyDescent="0.25">
      <c r="A920" s="11"/>
    </row>
    <row r="921" spans="1:1" ht="15.75" customHeight="1" x14ac:dyDescent="0.25">
      <c r="A921" s="11"/>
    </row>
    <row r="922" spans="1:1" ht="15.75" customHeight="1" x14ac:dyDescent="0.25">
      <c r="A922" s="11"/>
    </row>
    <row r="923" spans="1:1" ht="15.75" customHeight="1" x14ac:dyDescent="0.25">
      <c r="A923" s="11"/>
    </row>
    <row r="924" spans="1:1" ht="15.75" customHeight="1" x14ac:dyDescent="0.25">
      <c r="A924" s="11"/>
    </row>
    <row r="925" spans="1:1" ht="15.75" customHeight="1" x14ac:dyDescent="0.25">
      <c r="A925" s="11"/>
    </row>
    <row r="926" spans="1:1" ht="15.75" customHeight="1" x14ac:dyDescent="0.25">
      <c r="A926" s="11"/>
    </row>
    <row r="927" spans="1:1" ht="15.75" customHeight="1" x14ac:dyDescent="0.25">
      <c r="A927" s="11"/>
    </row>
    <row r="928" spans="1:1" ht="15.75" customHeight="1" x14ac:dyDescent="0.25">
      <c r="A928" s="11"/>
    </row>
    <row r="929" spans="1:1" ht="15.75" customHeight="1" x14ac:dyDescent="0.25">
      <c r="A929" s="11"/>
    </row>
    <row r="930" spans="1:1" ht="15.75" customHeight="1" x14ac:dyDescent="0.25">
      <c r="A930" s="11"/>
    </row>
    <row r="931" spans="1:1" ht="15.75" customHeight="1" x14ac:dyDescent="0.25">
      <c r="A931" s="11"/>
    </row>
    <row r="932" spans="1:1" ht="15.75" customHeight="1" x14ac:dyDescent="0.25">
      <c r="A932" s="11"/>
    </row>
    <row r="933" spans="1:1" ht="15.75" customHeight="1" x14ac:dyDescent="0.25">
      <c r="A933" s="11"/>
    </row>
    <row r="934" spans="1:1" ht="15.75" customHeight="1" x14ac:dyDescent="0.25">
      <c r="A934" s="11"/>
    </row>
    <row r="935" spans="1:1" ht="15.75" customHeight="1" x14ac:dyDescent="0.25">
      <c r="A935" s="11"/>
    </row>
    <row r="936" spans="1:1" ht="15.75" customHeight="1" x14ac:dyDescent="0.25">
      <c r="A936" s="11"/>
    </row>
    <row r="937" spans="1:1" ht="15.75" customHeight="1" x14ac:dyDescent="0.25">
      <c r="A937" s="11"/>
    </row>
    <row r="938" spans="1:1" ht="15.75" customHeight="1" x14ac:dyDescent="0.25">
      <c r="A938" s="11"/>
    </row>
    <row r="939" spans="1:1" ht="15.75" customHeight="1" x14ac:dyDescent="0.25">
      <c r="A939" s="11"/>
    </row>
    <row r="940" spans="1:1" ht="15.75" customHeight="1" x14ac:dyDescent="0.25">
      <c r="A940" s="11"/>
    </row>
    <row r="941" spans="1:1" ht="15.75" customHeight="1" x14ac:dyDescent="0.25">
      <c r="A941" s="11"/>
    </row>
    <row r="942" spans="1:1" ht="15.75" customHeight="1" x14ac:dyDescent="0.25">
      <c r="A942" s="11"/>
    </row>
    <row r="943" spans="1:1" ht="15.75" customHeight="1" x14ac:dyDescent="0.25">
      <c r="A943" s="11"/>
    </row>
    <row r="944" spans="1:1" ht="15.75" customHeight="1" x14ac:dyDescent="0.25">
      <c r="A944" s="11"/>
    </row>
    <row r="945" spans="1:1" ht="15.75" customHeight="1" x14ac:dyDescent="0.25">
      <c r="A945" s="11"/>
    </row>
    <row r="946" spans="1:1" ht="15.75" customHeight="1" x14ac:dyDescent="0.25">
      <c r="A946" s="11"/>
    </row>
    <row r="947" spans="1:1" ht="15.75" customHeight="1" x14ac:dyDescent="0.25">
      <c r="A947" s="11"/>
    </row>
    <row r="948" spans="1:1" ht="15.75" customHeight="1" x14ac:dyDescent="0.25">
      <c r="A948" s="11"/>
    </row>
    <row r="949" spans="1:1" ht="15.75" customHeight="1" x14ac:dyDescent="0.25">
      <c r="A949" s="11"/>
    </row>
    <row r="950" spans="1:1" ht="15.75" customHeight="1" x14ac:dyDescent="0.25">
      <c r="A950" s="11"/>
    </row>
    <row r="951" spans="1:1" ht="15.75" customHeight="1" x14ac:dyDescent="0.25">
      <c r="A951" s="11"/>
    </row>
    <row r="952" spans="1:1" ht="15.75" customHeight="1" x14ac:dyDescent="0.25">
      <c r="A952" s="11"/>
    </row>
    <row r="953" spans="1:1" ht="15.75" customHeight="1" x14ac:dyDescent="0.25">
      <c r="A953" s="11"/>
    </row>
    <row r="954" spans="1:1" ht="15.75" customHeight="1" x14ac:dyDescent="0.25">
      <c r="A954" s="11"/>
    </row>
    <row r="955" spans="1:1" ht="15.75" customHeight="1" x14ac:dyDescent="0.25">
      <c r="A955" s="11"/>
    </row>
    <row r="956" spans="1:1" ht="15.75" customHeight="1" x14ac:dyDescent="0.25">
      <c r="A956" s="11"/>
    </row>
    <row r="957" spans="1:1" ht="15.75" customHeight="1" x14ac:dyDescent="0.25">
      <c r="A957" s="11"/>
    </row>
    <row r="958" spans="1:1" ht="15.75" customHeight="1" x14ac:dyDescent="0.25">
      <c r="A958" s="11"/>
    </row>
    <row r="959" spans="1:1" ht="15.75" customHeight="1" x14ac:dyDescent="0.25">
      <c r="A959" s="11"/>
    </row>
    <row r="960" spans="1:1" ht="15.75" customHeight="1" x14ac:dyDescent="0.25">
      <c r="A960" s="11"/>
    </row>
    <row r="961" spans="1:1" ht="15.75" customHeight="1" x14ac:dyDescent="0.25">
      <c r="A961" s="11"/>
    </row>
    <row r="962" spans="1:1" ht="15.75" customHeight="1" x14ac:dyDescent="0.25">
      <c r="A962" s="11"/>
    </row>
    <row r="963" spans="1:1" ht="15.75" customHeight="1" x14ac:dyDescent="0.25">
      <c r="A963" s="11"/>
    </row>
    <row r="964" spans="1:1" ht="15.75" customHeight="1" x14ac:dyDescent="0.25">
      <c r="A964" s="11"/>
    </row>
    <row r="965" spans="1:1" ht="15.75" customHeight="1" x14ac:dyDescent="0.25">
      <c r="A965" s="11"/>
    </row>
    <row r="966" spans="1:1" ht="15.75" customHeight="1" x14ac:dyDescent="0.25">
      <c r="A966" s="11"/>
    </row>
    <row r="967" spans="1:1" ht="15.75" customHeight="1" x14ac:dyDescent="0.25">
      <c r="A967" s="11"/>
    </row>
    <row r="968" spans="1:1" ht="15.75" customHeight="1" x14ac:dyDescent="0.25">
      <c r="A968" s="11"/>
    </row>
    <row r="969" spans="1:1" ht="15.75" customHeight="1" x14ac:dyDescent="0.25">
      <c r="A969" s="11"/>
    </row>
    <row r="970" spans="1:1" ht="15.75" customHeight="1" x14ac:dyDescent="0.25">
      <c r="A970" s="11"/>
    </row>
    <row r="971" spans="1:1" ht="15.75" customHeight="1" x14ac:dyDescent="0.25">
      <c r="A971" s="11"/>
    </row>
    <row r="972" spans="1:1" ht="15.75" customHeight="1" x14ac:dyDescent="0.25">
      <c r="A972" s="11"/>
    </row>
    <row r="973" spans="1:1" ht="15.75" customHeight="1" x14ac:dyDescent="0.25">
      <c r="A973" s="11"/>
    </row>
    <row r="974" spans="1:1" ht="15.75" customHeight="1" x14ac:dyDescent="0.25">
      <c r="A974" s="11"/>
    </row>
    <row r="975" spans="1:1" ht="15.75" customHeight="1" x14ac:dyDescent="0.25">
      <c r="A975" s="11"/>
    </row>
    <row r="976" spans="1:1" ht="15.75" customHeight="1" x14ac:dyDescent="0.25">
      <c r="A976" s="11"/>
    </row>
    <row r="977" spans="1:1" ht="15.75" customHeight="1" x14ac:dyDescent="0.25">
      <c r="A977" s="11"/>
    </row>
    <row r="978" spans="1:1" ht="15.75" customHeight="1" x14ac:dyDescent="0.25">
      <c r="A978" s="11"/>
    </row>
    <row r="979" spans="1:1" ht="15.75" customHeight="1" x14ac:dyDescent="0.25">
      <c r="A979" s="11"/>
    </row>
    <row r="980" spans="1:1" ht="15.75" customHeight="1" x14ac:dyDescent="0.25">
      <c r="A980" s="11"/>
    </row>
    <row r="981" spans="1:1" ht="15.75" customHeight="1" x14ac:dyDescent="0.25">
      <c r="A981" s="11"/>
    </row>
    <row r="982" spans="1:1" ht="15.75" customHeight="1" x14ac:dyDescent="0.25">
      <c r="A982" s="11"/>
    </row>
    <row r="983" spans="1:1" ht="15.75" customHeight="1" x14ac:dyDescent="0.25">
      <c r="A983" s="11"/>
    </row>
    <row r="984" spans="1:1" ht="15.75" customHeight="1" x14ac:dyDescent="0.25">
      <c r="A984" s="11"/>
    </row>
    <row r="985" spans="1:1" ht="15.75" customHeight="1" x14ac:dyDescent="0.25">
      <c r="A985" s="11"/>
    </row>
    <row r="986" spans="1:1" ht="15.75" customHeight="1" x14ac:dyDescent="0.25">
      <c r="A986" s="11"/>
    </row>
    <row r="987" spans="1:1" ht="15.75" customHeight="1" x14ac:dyDescent="0.25">
      <c r="A987" s="11"/>
    </row>
    <row r="988" spans="1:1" ht="15.75" customHeight="1" x14ac:dyDescent="0.25">
      <c r="A988" s="11"/>
    </row>
    <row r="989" spans="1:1" ht="15.75" customHeight="1" x14ac:dyDescent="0.25">
      <c r="A989" s="11"/>
    </row>
    <row r="990" spans="1:1" ht="15.75" customHeight="1" x14ac:dyDescent="0.25">
      <c r="A990" s="11"/>
    </row>
    <row r="991" spans="1:1" ht="15.75" customHeight="1" x14ac:dyDescent="0.25">
      <c r="A991" s="11"/>
    </row>
    <row r="992" spans="1:1" ht="15.75" customHeight="1" x14ac:dyDescent="0.25">
      <c r="A992" s="11"/>
    </row>
    <row r="993" spans="1:1" ht="15.75" customHeight="1" x14ac:dyDescent="0.25">
      <c r="A993" s="11"/>
    </row>
    <row r="994" spans="1:1" ht="15.75" customHeight="1" x14ac:dyDescent="0.25">
      <c r="A994" s="11"/>
    </row>
  </sheetData>
  <mergeCells count="1">
    <mergeCell ref="C1:E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FBA7-F6FE-4569-B990-45BDA5767C23}">
  <dimension ref="A1:H252"/>
  <sheetViews>
    <sheetView topLeftCell="A23" workbookViewId="0">
      <selection activeCell="H33" sqref="H33"/>
    </sheetView>
  </sheetViews>
  <sheetFormatPr defaultRowHeight="15" x14ac:dyDescent="0.25"/>
  <cols>
    <col min="1" max="1" width="7.28515625" bestFit="1" customWidth="1"/>
    <col min="2" max="2" width="10.28515625" bestFit="1" customWidth="1"/>
    <col min="3" max="3" width="17.5703125" bestFit="1" customWidth="1"/>
    <col min="4" max="4" width="15" bestFit="1" customWidth="1"/>
    <col min="5" max="5" width="8.28515625" bestFit="1" customWidth="1"/>
    <col min="6" max="6" width="7.85546875" bestFit="1" customWidth="1"/>
    <col min="7" max="7" width="7.7109375" bestFit="1" customWidth="1"/>
    <col min="8" max="8" width="51.7109375" customWidth="1"/>
  </cols>
  <sheetData>
    <row r="1" spans="1:8" x14ac:dyDescent="0.25">
      <c r="A1" s="6"/>
      <c r="B1" s="7"/>
      <c r="C1" s="199" t="s">
        <v>6</v>
      </c>
      <c r="D1" s="200"/>
      <c r="E1" s="201"/>
      <c r="F1" s="7"/>
      <c r="G1" s="7"/>
      <c r="H1" s="8"/>
    </row>
    <row r="2" spans="1:8" x14ac:dyDescent="0.25">
      <c r="A2" s="6" t="s">
        <v>7</v>
      </c>
      <c r="B2" s="7" t="s">
        <v>8</v>
      </c>
      <c r="C2" s="7" t="s">
        <v>9</v>
      </c>
      <c r="D2" s="7" t="s">
        <v>10</v>
      </c>
      <c r="E2" s="7" t="s">
        <v>11</v>
      </c>
      <c r="F2" s="7" t="s">
        <v>12</v>
      </c>
      <c r="G2" s="7" t="s">
        <v>13</v>
      </c>
      <c r="H2" s="10" t="s">
        <v>496</v>
      </c>
    </row>
    <row r="3" spans="1:8" x14ac:dyDescent="0.25">
      <c r="A3" s="6">
        <v>1</v>
      </c>
      <c r="B3" s="7" t="s">
        <v>15</v>
      </c>
      <c r="C3" s="7" t="s">
        <v>16</v>
      </c>
      <c r="D3" s="7" t="s">
        <v>17</v>
      </c>
      <c r="E3" s="7" t="s">
        <v>18</v>
      </c>
      <c r="F3" s="7" t="s">
        <v>19</v>
      </c>
      <c r="G3" s="7" t="s">
        <v>19</v>
      </c>
      <c r="H3" s="8" t="s">
        <v>497</v>
      </c>
    </row>
    <row r="4" spans="1:8" x14ac:dyDescent="0.25">
      <c r="A4" s="6">
        <v>2</v>
      </c>
      <c r="B4" s="7" t="s">
        <v>15</v>
      </c>
      <c r="C4" s="7" t="s">
        <v>17</v>
      </c>
      <c r="D4" s="7" t="s">
        <v>21</v>
      </c>
      <c r="E4" s="7" t="s">
        <v>18</v>
      </c>
      <c r="F4" s="7" t="s">
        <v>19</v>
      </c>
      <c r="G4" s="7" t="s">
        <v>22</v>
      </c>
      <c r="H4" s="8" t="s">
        <v>498</v>
      </c>
    </row>
    <row r="5" spans="1:8" x14ac:dyDescent="0.25">
      <c r="A5" s="6">
        <v>3</v>
      </c>
      <c r="B5" s="7" t="s">
        <v>15</v>
      </c>
      <c r="C5" s="7" t="s">
        <v>24</v>
      </c>
      <c r="D5" s="7" t="s">
        <v>25</v>
      </c>
      <c r="E5" s="7" t="s">
        <v>18</v>
      </c>
      <c r="F5" s="7" t="s">
        <v>19</v>
      </c>
      <c r="G5" s="7" t="s">
        <v>3</v>
      </c>
      <c r="H5" s="8" t="s">
        <v>499</v>
      </c>
    </row>
    <row r="6" spans="1:8" ht="30" x14ac:dyDescent="0.25">
      <c r="A6" s="6">
        <v>4</v>
      </c>
      <c r="B6" s="7" t="s">
        <v>15</v>
      </c>
      <c r="C6" s="7" t="s">
        <v>25</v>
      </c>
      <c r="D6" s="7" t="s">
        <v>27</v>
      </c>
      <c r="E6" s="7" t="s">
        <v>18</v>
      </c>
      <c r="F6" s="7" t="s">
        <v>19</v>
      </c>
      <c r="G6" s="7" t="s">
        <v>28</v>
      </c>
      <c r="H6" s="8" t="s">
        <v>500</v>
      </c>
    </row>
    <row r="7" spans="1:8" x14ac:dyDescent="0.25">
      <c r="A7" s="6">
        <v>5</v>
      </c>
      <c r="B7" s="7" t="s">
        <v>15</v>
      </c>
      <c r="C7" s="7" t="s">
        <v>30</v>
      </c>
      <c r="D7" s="7" t="s">
        <v>31</v>
      </c>
      <c r="E7" s="7" t="s">
        <v>18</v>
      </c>
      <c r="F7" s="7" t="s">
        <v>19</v>
      </c>
      <c r="G7" s="7" t="s">
        <v>18</v>
      </c>
      <c r="H7" s="8" t="s">
        <v>501</v>
      </c>
    </row>
    <row r="8" spans="1:8" x14ac:dyDescent="0.25">
      <c r="A8" s="6">
        <v>6</v>
      </c>
      <c r="B8" s="7" t="s">
        <v>15</v>
      </c>
      <c r="C8" s="7" t="s">
        <v>31</v>
      </c>
      <c r="D8" s="7" t="s">
        <v>33</v>
      </c>
      <c r="E8" s="7" t="s">
        <v>18</v>
      </c>
      <c r="F8" s="7" t="s">
        <v>19</v>
      </c>
      <c r="G8" s="7" t="s">
        <v>4</v>
      </c>
      <c r="H8" s="8" t="s">
        <v>502</v>
      </c>
    </row>
    <row r="9" spans="1:8" ht="30" x14ac:dyDescent="0.25">
      <c r="A9" s="6">
        <v>7</v>
      </c>
      <c r="B9" s="7" t="s">
        <v>15</v>
      </c>
      <c r="C9" s="7" t="s">
        <v>35</v>
      </c>
      <c r="D9" s="7" t="s">
        <v>36</v>
      </c>
      <c r="E9" s="7" t="s">
        <v>18</v>
      </c>
      <c r="F9" s="7" t="s">
        <v>19</v>
      </c>
      <c r="G9" s="7" t="s">
        <v>37</v>
      </c>
      <c r="H9" s="8" t="s">
        <v>503</v>
      </c>
    </row>
    <row r="10" spans="1:8" x14ac:dyDescent="0.25">
      <c r="A10" s="6">
        <v>8</v>
      </c>
      <c r="B10" s="7" t="s">
        <v>15</v>
      </c>
      <c r="C10" s="7" t="s">
        <v>39</v>
      </c>
      <c r="D10" s="7" t="s">
        <v>40</v>
      </c>
      <c r="E10" s="7" t="s">
        <v>18</v>
      </c>
      <c r="F10" s="7" t="s">
        <v>19</v>
      </c>
      <c r="G10" s="7" t="s">
        <v>5</v>
      </c>
      <c r="H10" s="8" t="s">
        <v>504</v>
      </c>
    </row>
    <row r="11" spans="1:8" x14ac:dyDescent="0.25">
      <c r="A11" s="6">
        <v>9</v>
      </c>
      <c r="B11" s="7" t="s">
        <v>15</v>
      </c>
      <c r="C11" s="7" t="s">
        <v>42</v>
      </c>
      <c r="D11" s="7" t="s">
        <v>43</v>
      </c>
      <c r="E11" s="7" t="s">
        <v>18</v>
      </c>
      <c r="F11" s="7" t="s">
        <v>19</v>
      </c>
      <c r="G11" s="7" t="s">
        <v>44</v>
      </c>
      <c r="H11" s="8" t="s">
        <v>505</v>
      </c>
    </row>
    <row r="12" spans="1:8" x14ac:dyDescent="0.25">
      <c r="A12" s="6">
        <v>10</v>
      </c>
      <c r="B12" s="7" t="s">
        <v>15</v>
      </c>
      <c r="C12" s="7" t="s">
        <v>46</v>
      </c>
      <c r="D12" s="7" t="s">
        <v>47</v>
      </c>
      <c r="E12" s="7" t="s">
        <v>18</v>
      </c>
      <c r="F12" s="7" t="s">
        <v>22</v>
      </c>
      <c r="G12" s="7" t="s">
        <v>22</v>
      </c>
      <c r="H12" s="8" t="s">
        <v>506</v>
      </c>
    </row>
    <row r="13" spans="1:8" ht="30" x14ac:dyDescent="0.25">
      <c r="A13" s="6">
        <v>11</v>
      </c>
      <c r="B13" s="7" t="s">
        <v>15</v>
      </c>
      <c r="C13" s="7" t="s">
        <v>49</v>
      </c>
      <c r="D13" s="7" t="s">
        <v>50</v>
      </c>
      <c r="E13" s="7" t="s">
        <v>18</v>
      </c>
      <c r="F13" s="7" t="s">
        <v>22</v>
      </c>
      <c r="G13" s="7" t="s">
        <v>3</v>
      </c>
      <c r="H13" s="8" t="s">
        <v>507</v>
      </c>
    </row>
    <row r="14" spans="1:8" ht="30" x14ac:dyDescent="0.25">
      <c r="A14" s="6">
        <v>12</v>
      </c>
      <c r="B14" s="7" t="s">
        <v>15</v>
      </c>
      <c r="C14" s="7" t="s">
        <v>52</v>
      </c>
      <c r="D14" s="7" t="s">
        <v>53</v>
      </c>
      <c r="E14" s="7" t="s">
        <v>18</v>
      </c>
      <c r="F14" s="7" t="s">
        <v>22</v>
      </c>
      <c r="G14" s="7" t="s">
        <v>28</v>
      </c>
      <c r="H14" s="8" t="s">
        <v>508</v>
      </c>
    </row>
    <row r="15" spans="1:8" x14ac:dyDescent="0.25">
      <c r="A15" s="6">
        <v>13</v>
      </c>
      <c r="B15" s="7" t="s">
        <v>15</v>
      </c>
      <c r="C15" s="7" t="s">
        <v>55</v>
      </c>
      <c r="D15" s="7" t="s">
        <v>56</v>
      </c>
      <c r="E15" s="7" t="s">
        <v>18</v>
      </c>
      <c r="F15" s="7" t="s">
        <v>22</v>
      </c>
      <c r="G15" s="7" t="s">
        <v>18</v>
      </c>
      <c r="H15" s="8" t="s">
        <v>509</v>
      </c>
    </row>
    <row r="16" spans="1:8" x14ac:dyDescent="0.25">
      <c r="A16" s="6">
        <v>14</v>
      </c>
      <c r="B16" s="7" t="s">
        <v>15</v>
      </c>
      <c r="C16" s="7" t="s">
        <v>56</v>
      </c>
      <c r="D16" s="7" t="s">
        <v>58</v>
      </c>
      <c r="E16" s="7" t="s">
        <v>18</v>
      </c>
      <c r="F16" s="7" t="s">
        <v>22</v>
      </c>
      <c r="G16" s="7" t="s">
        <v>4</v>
      </c>
      <c r="H16" s="8" t="s">
        <v>510</v>
      </c>
    </row>
    <row r="17" spans="1:8" ht="30" x14ac:dyDescent="0.25">
      <c r="A17" s="6">
        <v>15</v>
      </c>
      <c r="B17" s="7" t="s">
        <v>15</v>
      </c>
      <c r="C17" s="7" t="s">
        <v>60</v>
      </c>
      <c r="D17" s="7" t="s">
        <v>61</v>
      </c>
      <c r="E17" s="7" t="s">
        <v>18</v>
      </c>
      <c r="F17" s="7" t="s">
        <v>22</v>
      </c>
      <c r="G17" s="7" t="s">
        <v>37</v>
      </c>
      <c r="H17" s="8" t="s">
        <v>511</v>
      </c>
    </row>
    <row r="18" spans="1:8" x14ac:dyDescent="0.25">
      <c r="A18" s="6">
        <v>16</v>
      </c>
      <c r="B18" s="7" t="s">
        <v>15</v>
      </c>
      <c r="C18" s="7" t="s">
        <v>61</v>
      </c>
      <c r="D18" s="7" t="s">
        <v>63</v>
      </c>
      <c r="E18" s="7" t="s">
        <v>18</v>
      </c>
      <c r="F18" s="7" t="s">
        <v>22</v>
      </c>
      <c r="G18" s="7" t="s">
        <v>5</v>
      </c>
      <c r="H18" s="8" t="s">
        <v>512</v>
      </c>
    </row>
    <row r="19" spans="1:8" x14ac:dyDescent="0.25">
      <c r="A19" s="6">
        <v>17</v>
      </c>
      <c r="B19" s="7" t="s">
        <v>15</v>
      </c>
      <c r="C19" s="7" t="s">
        <v>63</v>
      </c>
      <c r="D19" s="7" t="s">
        <v>65</v>
      </c>
      <c r="E19" s="7" t="s">
        <v>18</v>
      </c>
      <c r="F19" s="7" t="s">
        <v>22</v>
      </c>
      <c r="G19" s="7" t="s">
        <v>44</v>
      </c>
      <c r="H19" s="8" t="s">
        <v>513</v>
      </c>
    </row>
    <row r="20" spans="1:8" x14ac:dyDescent="0.25">
      <c r="A20" s="6">
        <v>18</v>
      </c>
      <c r="B20" s="7" t="s">
        <v>15</v>
      </c>
      <c r="C20" s="7" t="s">
        <v>65</v>
      </c>
      <c r="D20" s="7" t="s">
        <v>67</v>
      </c>
      <c r="E20" s="7" t="s">
        <v>18</v>
      </c>
      <c r="F20" s="7" t="s">
        <v>22</v>
      </c>
      <c r="G20" s="7" t="s">
        <v>19</v>
      </c>
      <c r="H20" s="8" t="s">
        <v>514</v>
      </c>
    </row>
    <row r="21" spans="1:8" x14ac:dyDescent="0.25">
      <c r="A21" s="6">
        <v>19</v>
      </c>
      <c r="B21" s="7" t="s">
        <v>15</v>
      </c>
      <c r="C21" s="7" t="s">
        <v>69</v>
      </c>
      <c r="D21" s="7" t="s">
        <v>70</v>
      </c>
      <c r="E21" s="7" t="s">
        <v>18</v>
      </c>
      <c r="F21" s="7" t="s">
        <v>3</v>
      </c>
      <c r="G21" s="7" t="s">
        <v>3</v>
      </c>
      <c r="H21" s="8" t="s">
        <v>515</v>
      </c>
    </row>
    <row r="22" spans="1:8" x14ac:dyDescent="0.25">
      <c r="A22" s="6">
        <v>20</v>
      </c>
      <c r="B22" s="7" t="s">
        <v>15</v>
      </c>
      <c r="C22" s="7" t="s">
        <v>70</v>
      </c>
      <c r="D22" s="7" t="s">
        <v>72</v>
      </c>
      <c r="E22" s="7" t="s">
        <v>18</v>
      </c>
      <c r="F22" s="7" t="s">
        <v>3</v>
      </c>
      <c r="G22" s="7" t="s">
        <v>28</v>
      </c>
      <c r="H22" s="8" t="s">
        <v>516</v>
      </c>
    </row>
    <row r="23" spans="1:8" x14ac:dyDescent="0.25">
      <c r="A23" s="6">
        <v>21</v>
      </c>
      <c r="B23" s="7" t="s">
        <v>15</v>
      </c>
      <c r="C23" s="7" t="s">
        <v>72</v>
      </c>
      <c r="D23" s="7" t="s">
        <v>74</v>
      </c>
      <c r="E23" s="7" t="s">
        <v>18</v>
      </c>
      <c r="F23" s="7" t="s">
        <v>3</v>
      </c>
      <c r="G23" s="7" t="s">
        <v>18</v>
      </c>
      <c r="H23" s="8" t="s">
        <v>517</v>
      </c>
    </row>
    <row r="24" spans="1:8" x14ac:dyDescent="0.25">
      <c r="A24" s="6">
        <v>22</v>
      </c>
      <c r="B24" s="7" t="s">
        <v>15</v>
      </c>
      <c r="C24" s="7" t="s">
        <v>74</v>
      </c>
      <c r="D24" s="7" t="s">
        <v>76</v>
      </c>
      <c r="E24" s="7" t="s">
        <v>18</v>
      </c>
      <c r="F24" s="7" t="s">
        <v>3</v>
      </c>
      <c r="G24" s="7" t="s">
        <v>4</v>
      </c>
      <c r="H24" s="8" t="s">
        <v>518</v>
      </c>
    </row>
    <row r="25" spans="1:8" x14ac:dyDescent="0.25">
      <c r="A25" s="6">
        <v>23</v>
      </c>
      <c r="B25" s="7" t="s">
        <v>78</v>
      </c>
      <c r="C25" s="7" t="s">
        <v>16</v>
      </c>
      <c r="D25" s="7" t="s">
        <v>79</v>
      </c>
      <c r="E25" s="7" t="s">
        <v>22</v>
      </c>
      <c r="F25" s="7" t="s">
        <v>3</v>
      </c>
      <c r="G25" s="7" t="s">
        <v>4</v>
      </c>
      <c r="H25" s="8" t="s">
        <v>519</v>
      </c>
    </row>
    <row r="26" spans="1:8" x14ac:dyDescent="0.25">
      <c r="A26" s="6">
        <v>24</v>
      </c>
      <c r="B26" s="7" t="s">
        <v>78</v>
      </c>
      <c r="C26" s="7" t="s">
        <v>79</v>
      </c>
      <c r="D26" s="7" t="s">
        <v>81</v>
      </c>
      <c r="E26" s="7" t="s">
        <v>22</v>
      </c>
      <c r="F26" s="7" t="s">
        <v>3</v>
      </c>
      <c r="G26" s="7" t="s">
        <v>37</v>
      </c>
      <c r="H26" s="8" t="s">
        <v>520</v>
      </c>
    </row>
    <row r="27" spans="1:8" x14ac:dyDescent="0.25">
      <c r="A27" s="6">
        <v>25</v>
      </c>
      <c r="B27" s="7" t="s">
        <v>78</v>
      </c>
      <c r="C27" s="7" t="s">
        <v>21</v>
      </c>
      <c r="D27" s="7" t="s">
        <v>83</v>
      </c>
      <c r="E27" s="7" t="s">
        <v>22</v>
      </c>
      <c r="F27" s="7" t="s">
        <v>3</v>
      </c>
      <c r="G27" s="7" t="s">
        <v>5</v>
      </c>
      <c r="H27" s="8" t="s">
        <v>521</v>
      </c>
    </row>
    <row r="28" spans="1:8" x14ac:dyDescent="0.25">
      <c r="A28" s="6">
        <v>26</v>
      </c>
      <c r="B28" s="7" t="s">
        <v>78</v>
      </c>
      <c r="C28" s="7" t="s">
        <v>85</v>
      </c>
      <c r="D28" s="7" t="s">
        <v>86</v>
      </c>
      <c r="E28" s="7" t="s">
        <v>22</v>
      </c>
      <c r="F28" s="7" t="s">
        <v>3</v>
      </c>
      <c r="G28" s="7" t="s">
        <v>44</v>
      </c>
      <c r="H28" s="8" t="s">
        <v>522</v>
      </c>
    </row>
    <row r="29" spans="1:8" x14ac:dyDescent="0.25">
      <c r="A29" s="6">
        <v>27</v>
      </c>
      <c r="B29" s="7" t="s">
        <v>78</v>
      </c>
      <c r="C29" s="7" t="s">
        <v>86</v>
      </c>
      <c r="D29" s="7" t="s">
        <v>88</v>
      </c>
      <c r="E29" s="7" t="s">
        <v>22</v>
      </c>
      <c r="F29" s="7" t="s">
        <v>3</v>
      </c>
      <c r="G29" s="7" t="s">
        <v>19</v>
      </c>
      <c r="H29" s="8" t="s">
        <v>523</v>
      </c>
    </row>
    <row r="30" spans="1:8" x14ac:dyDescent="0.25">
      <c r="A30" s="6">
        <v>28</v>
      </c>
      <c r="B30" s="7" t="s">
        <v>78</v>
      </c>
      <c r="C30" s="7" t="s">
        <v>90</v>
      </c>
      <c r="D30" s="7" t="s">
        <v>91</v>
      </c>
      <c r="E30" s="7" t="s">
        <v>22</v>
      </c>
      <c r="F30" s="7" t="s">
        <v>3</v>
      </c>
      <c r="G30" s="7" t="s">
        <v>22</v>
      </c>
      <c r="H30" s="8" t="s">
        <v>524</v>
      </c>
    </row>
    <row r="31" spans="1:8" x14ac:dyDescent="0.25">
      <c r="A31" s="6">
        <v>29</v>
      </c>
      <c r="B31" s="7" t="s">
        <v>78</v>
      </c>
      <c r="C31" s="7" t="s">
        <v>91</v>
      </c>
      <c r="D31" s="7" t="s">
        <v>93</v>
      </c>
      <c r="E31" s="7" t="s">
        <v>22</v>
      </c>
      <c r="F31" s="7" t="s">
        <v>28</v>
      </c>
      <c r="G31" s="7" t="s">
        <v>28</v>
      </c>
      <c r="H31" s="8" t="s">
        <v>525</v>
      </c>
    </row>
    <row r="32" spans="1:8" x14ac:dyDescent="0.25">
      <c r="A32" s="6">
        <v>30</v>
      </c>
      <c r="B32" s="7" t="s">
        <v>78</v>
      </c>
      <c r="C32" s="7" t="s">
        <v>95</v>
      </c>
      <c r="D32" s="7" t="s">
        <v>96</v>
      </c>
      <c r="E32" s="7" t="s">
        <v>22</v>
      </c>
      <c r="F32" s="7" t="s">
        <v>28</v>
      </c>
      <c r="G32" s="7" t="s">
        <v>18</v>
      </c>
      <c r="H32" s="8" t="s">
        <v>526</v>
      </c>
    </row>
    <row r="33" spans="1:8" ht="30" x14ac:dyDescent="0.25">
      <c r="A33" s="6">
        <v>31</v>
      </c>
      <c r="B33" s="7" t="s">
        <v>78</v>
      </c>
      <c r="C33" s="7" t="s">
        <v>98</v>
      </c>
      <c r="D33" s="7" t="s">
        <v>99</v>
      </c>
      <c r="E33" s="7" t="s">
        <v>22</v>
      </c>
      <c r="F33" s="7" t="s">
        <v>28</v>
      </c>
      <c r="G33" s="7" t="s">
        <v>4</v>
      </c>
      <c r="H33" s="8" t="s">
        <v>527</v>
      </c>
    </row>
    <row r="34" spans="1:8" ht="30" x14ac:dyDescent="0.25">
      <c r="A34" s="6">
        <v>32</v>
      </c>
      <c r="B34" s="7" t="s">
        <v>78</v>
      </c>
      <c r="C34" s="7" t="s">
        <v>101</v>
      </c>
      <c r="D34" s="7" t="s">
        <v>102</v>
      </c>
      <c r="E34" s="7" t="s">
        <v>22</v>
      </c>
      <c r="F34" s="7" t="s">
        <v>28</v>
      </c>
      <c r="G34" s="7" t="s">
        <v>37</v>
      </c>
      <c r="H34" s="8" t="s">
        <v>528</v>
      </c>
    </row>
    <row r="35" spans="1:8" x14ac:dyDescent="0.25">
      <c r="A35" s="6">
        <v>33</v>
      </c>
      <c r="B35" s="7" t="s">
        <v>78</v>
      </c>
      <c r="C35" s="7" t="s">
        <v>104</v>
      </c>
      <c r="D35" s="7" t="s">
        <v>105</v>
      </c>
      <c r="E35" s="7" t="s">
        <v>22</v>
      </c>
      <c r="F35" s="7" t="s">
        <v>28</v>
      </c>
      <c r="G35" s="7" t="s">
        <v>5</v>
      </c>
      <c r="H35" s="8" t="s">
        <v>529</v>
      </c>
    </row>
    <row r="36" spans="1:8" x14ac:dyDescent="0.25">
      <c r="A36" s="6">
        <v>34</v>
      </c>
      <c r="B36" s="7" t="s">
        <v>78</v>
      </c>
      <c r="C36" s="7" t="s">
        <v>107</v>
      </c>
      <c r="D36" s="7" t="s">
        <v>108</v>
      </c>
      <c r="E36" s="7" t="s">
        <v>22</v>
      </c>
      <c r="F36" s="7" t="s">
        <v>28</v>
      </c>
      <c r="G36" s="7" t="s">
        <v>44</v>
      </c>
      <c r="H36" s="8" t="s">
        <v>530</v>
      </c>
    </row>
    <row r="37" spans="1:8" x14ac:dyDescent="0.25">
      <c r="A37" s="6">
        <v>35</v>
      </c>
      <c r="B37" s="7" t="s">
        <v>78</v>
      </c>
      <c r="C37" s="7" t="s">
        <v>110</v>
      </c>
      <c r="D37" s="7" t="s">
        <v>111</v>
      </c>
      <c r="E37" s="7" t="s">
        <v>22</v>
      </c>
      <c r="F37" s="7" t="s">
        <v>28</v>
      </c>
      <c r="G37" s="7" t="s">
        <v>19</v>
      </c>
      <c r="H37" s="8" t="s">
        <v>531</v>
      </c>
    </row>
    <row r="38" spans="1:8" x14ac:dyDescent="0.25">
      <c r="A38" s="6">
        <v>36</v>
      </c>
      <c r="B38" s="7" t="s">
        <v>78</v>
      </c>
      <c r="C38" s="7" t="s">
        <v>113</v>
      </c>
      <c r="D38" s="7" t="s">
        <v>114</v>
      </c>
      <c r="E38" s="7" t="s">
        <v>22</v>
      </c>
      <c r="F38" s="7" t="s">
        <v>28</v>
      </c>
      <c r="G38" s="7" t="s">
        <v>22</v>
      </c>
      <c r="H38" s="8" t="s">
        <v>532</v>
      </c>
    </row>
    <row r="39" spans="1:8" x14ac:dyDescent="0.25">
      <c r="A39" s="6">
        <v>37</v>
      </c>
      <c r="B39" s="7" t="s">
        <v>78</v>
      </c>
      <c r="C39" s="7" t="s">
        <v>116</v>
      </c>
      <c r="D39" s="7" t="s">
        <v>117</v>
      </c>
      <c r="E39" s="7" t="s">
        <v>22</v>
      </c>
      <c r="F39" s="7" t="s">
        <v>28</v>
      </c>
      <c r="G39" s="7" t="s">
        <v>3</v>
      </c>
      <c r="H39" s="8" t="s">
        <v>533</v>
      </c>
    </row>
    <row r="40" spans="1:8" x14ac:dyDescent="0.25">
      <c r="A40" s="6">
        <v>38</v>
      </c>
      <c r="B40" s="7" t="s">
        <v>78</v>
      </c>
      <c r="C40" s="7" t="s">
        <v>117</v>
      </c>
      <c r="D40" s="7" t="s">
        <v>119</v>
      </c>
      <c r="E40" s="7" t="s">
        <v>22</v>
      </c>
      <c r="F40" s="7" t="s">
        <v>18</v>
      </c>
      <c r="G40" s="7" t="s">
        <v>18</v>
      </c>
      <c r="H40" s="8" t="s">
        <v>534</v>
      </c>
    </row>
    <row r="41" spans="1:8" x14ac:dyDescent="0.25">
      <c r="A41" s="6">
        <v>39</v>
      </c>
      <c r="B41" s="7" t="s">
        <v>78</v>
      </c>
      <c r="C41" s="7" t="s">
        <v>121</v>
      </c>
      <c r="D41" s="7" t="s">
        <v>122</v>
      </c>
      <c r="E41" s="7" t="s">
        <v>22</v>
      </c>
      <c r="F41" s="7" t="s">
        <v>18</v>
      </c>
      <c r="G41" s="7" t="s">
        <v>4</v>
      </c>
      <c r="H41" s="8" t="s">
        <v>535</v>
      </c>
    </row>
    <row r="42" spans="1:8" x14ac:dyDescent="0.25">
      <c r="A42" s="6">
        <v>40</v>
      </c>
      <c r="B42" s="7" t="s">
        <v>78</v>
      </c>
      <c r="C42" s="7" t="s">
        <v>124</v>
      </c>
      <c r="D42" s="7" t="s">
        <v>125</v>
      </c>
      <c r="E42" s="7" t="s">
        <v>22</v>
      </c>
      <c r="F42" s="7" t="s">
        <v>18</v>
      </c>
      <c r="G42" s="7" t="s">
        <v>37</v>
      </c>
      <c r="H42" s="8" t="s">
        <v>536</v>
      </c>
    </row>
    <row r="43" spans="1:8" x14ac:dyDescent="0.25">
      <c r="A43" s="6">
        <v>41</v>
      </c>
      <c r="B43" s="7" t="s">
        <v>78</v>
      </c>
      <c r="C43" s="7" t="s">
        <v>127</v>
      </c>
      <c r="D43" s="7" t="s">
        <v>128</v>
      </c>
      <c r="E43" s="7" t="s">
        <v>22</v>
      </c>
      <c r="F43" s="7" t="s">
        <v>18</v>
      </c>
      <c r="G43" s="7" t="s">
        <v>5</v>
      </c>
      <c r="H43" s="8" t="s">
        <v>537</v>
      </c>
    </row>
    <row r="44" spans="1:8" x14ac:dyDescent="0.25">
      <c r="A44" s="6">
        <v>42</v>
      </c>
      <c r="B44" s="7" t="s">
        <v>130</v>
      </c>
      <c r="C44" s="7" t="s">
        <v>16</v>
      </c>
      <c r="D44" s="7" t="s">
        <v>131</v>
      </c>
      <c r="E44" s="7" t="s">
        <v>44</v>
      </c>
      <c r="F44" s="7" t="s">
        <v>18</v>
      </c>
      <c r="G44" s="7" t="s">
        <v>44</v>
      </c>
      <c r="H44" s="8" t="s">
        <v>538</v>
      </c>
    </row>
    <row r="45" spans="1:8" x14ac:dyDescent="0.25">
      <c r="A45" s="6">
        <v>43</v>
      </c>
      <c r="B45" s="7" t="s">
        <v>130</v>
      </c>
      <c r="C45" s="7" t="s">
        <v>131</v>
      </c>
      <c r="D45" s="7" t="s">
        <v>133</v>
      </c>
      <c r="E45" s="7" t="s">
        <v>44</v>
      </c>
      <c r="F45" s="7" t="s">
        <v>18</v>
      </c>
      <c r="G45" s="7" t="s">
        <v>19</v>
      </c>
      <c r="H45" s="8" t="s">
        <v>539</v>
      </c>
    </row>
    <row r="46" spans="1:8" x14ac:dyDescent="0.25">
      <c r="A46" s="6">
        <v>44</v>
      </c>
      <c r="B46" s="7" t="s">
        <v>130</v>
      </c>
      <c r="C46" s="7" t="s">
        <v>135</v>
      </c>
      <c r="D46" s="7" t="s">
        <v>136</v>
      </c>
      <c r="E46" s="7" t="s">
        <v>44</v>
      </c>
      <c r="F46" s="7" t="s">
        <v>18</v>
      </c>
      <c r="G46" s="7" t="s">
        <v>22</v>
      </c>
      <c r="H46" s="8" t="s">
        <v>540</v>
      </c>
    </row>
    <row r="47" spans="1:8" x14ac:dyDescent="0.25">
      <c r="A47" s="6">
        <v>45</v>
      </c>
      <c r="B47" s="7" t="s">
        <v>130</v>
      </c>
      <c r="C47" s="7" t="s">
        <v>138</v>
      </c>
      <c r="D47" s="7" t="s">
        <v>31</v>
      </c>
      <c r="E47" s="7" t="s">
        <v>44</v>
      </c>
      <c r="F47" s="7" t="s">
        <v>18</v>
      </c>
      <c r="G47" s="7" t="s">
        <v>3</v>
      </c>
      <c r="H47" s="8" t="s">
        <v>541</v>
      </c>
    </row>
    <row r="48" spans="1:8" x14ac:dyDescent="0.25">
      <c r="A48" s="6">
        <v>46</v>
      </c>
      <c r="B48" s="7" t="s">
        <v>130</v>
      </c>
      <c r="C48" s="7" t="s">
        <v>140</v>
      </c>
      <c r="D48" s="7" t="s">
        <v>141</v>
      </c>
      <c r="E48" s="7" t="s">
        <v>44</v>
      </c>
      <c r="F48" s="7" t="s">
        <v>18</v>
      </c>
      <c r="G48" s="7" t="s">
        <v>28</v>
      </c>
      <c r="H48" s="8" t="s">
        <v>542</v>
      </c>
    </row>
    <row r="49" spans="1:8" x14ac:dyDescent="0.25">
      <c r="A49" s="6">
        <v>47</v>
      </c>
      <c r="B49" s="7" t="s">
        <v>130</v>
      </c>
      <c r="C49" s="7" t="s">
        <v>141</v>
      </c>
      <c r="D49" s="7" t="s">
        <v>143</v>
      </c>
      <c r="E49" s="7" t="s">
        <v>44</v>
      </c>
      <c r="F49" s="7" t="s">
        <v>4</v>
      </c>
      <c r="G49" s="7" t="s">
        <v>4</v>
      </c>
      <c r="H49" s="8" t="s">
        <v>543</v>
      </c>
    </row>
    <row r="50" spans="1:8" x14ac:dyDescent="0.25">
      <c r="A50" s="6">
        <v>48</v>
      </c>
      <c r="B50" s="7" t="s">
        <v>130</v>
      </c>
      <c r="C50" s="7" t="s">
        <v>145</v>
      </c>
      <c r="D50" s="7" t="s">
        <v>146</v>
      </c>
      <c r="E50" s="7" t="s">
        <v>44</v>
      </c>
      <c r="F50" s="7" t="s">
        <v>4</v>
      </c>
      <c r="G50" s="7" t="s">
        <v>37</v>
      </c>
      <c r="H50" s="8" t="s">
        <v>544</v>
      </c>
    </row>
    <row r="51" spans="1:8" x14ac:dyDescent="0.25">
      <c r="A51" s="6">
        <v>49</v>
      </c>
      <c r="B51" s="7" t="s">
        <v>130</v>
      </c>
      <c r="C51" s="7" t="s">
        <v>146</v>
      </c>
      <c r="D51" s="7" t="s">
        <v>148</v>
      </c>
      <c r="E51" s="7" t="s">
        <v>44</v>
      </c>
      <c r="F51" s="7" t="s">
        <v>4</v>
      </c>
      <c r="G51" s="7" t="s">
        <v>5</v>
      </c>
      <c r="H51" s="8" t="s">
        <v>545</v>
      </c>
    </row>
    <row r="52" spans="1:8" x14ac:dyDescent="0.25">
      <c r="A52" s="6">
        <v>50</v>
      </c>
      <c r="B52" s="7" t="s">
        <v>130</v>
      </c>
      <c r="C52" s="7" t="s">
        <v>150</v>
      </c>
      <c r="D52" s="7" t="s">
        <v>151</v>
      </c>
      <c r="E52" s="7" t="s">
        <v>44</v>
      </c>
      <c r="F52" s="7" t="s">
        <v>4</v>
      </c>
      <c r="G52" s="7" t="s">
        <v>44</v>
      </c>
      <c r="H52" s="8" t="s">
        <v>546</v>
      </c>
    </row>
    <row r="53" spans="1:8" x14ac:dyDescent="0.25">
      <c r="A53" s="6">
        <v>51</v>
      </c>
      <c r="B53" s="7" t="s">
        <v>130</v>
      </c>
      <c r="C53" s="7" t="s">
        <v>151</v>
      </c>
      <c r="D53" s="7" t="s">
        <v>153</v>
      </c>
      <c r="E53" s="7" t="s">
        <v>44</v>
      </c>
      <c r="F53" s="7" t="s">
        <v>4</v>
      </c>
      <c r="G53" s="7" t="s">
        <v>19</v>
      </c>
      <c r="H53" s="8" t="s">
        <v>547</v>
      </c>
    </row>
    <row r="54" spans="1:8" x14ac:dyDescent="0.25">
      <c r="A54" s="6">
        <v>52</v>
      </c>
      <c r="B54" s="7" t="s">
        <v>130</v>
      </c>
      <c r="C54" s="7" t="s">
        <v>153</v>
      </c>
      <c r="D54" s="7" t="s">
        <v>155</v>
      </c>
      <c r="E54" s="7" t="s">
        <v>44</v>
      </c>
      <c r="F54" s="7" t="s">
        <v>4</v>
      </c>
      <c r="G54" s="7" t="s">
        <v>22</v>
      </c>
      <c r="H54" s="8" t="s">
        <v>548</v>
      </c>
    </row>
    <row r="55" spans="1:8" x14ac:dyDescent="0.25">
      <c r="A55" s="6">
        <v>53</v>
      </c>
      <c r="B55" s="7" t="s">
        <v>130</v>
      </c>
      <c r="C55" s="7" t="s">
        <v>155</v>
      </c>
      <c r="D55" s="7" t="s">
        <v>56</v>
      </c>
      <c r="E55" s="7" t="s">
        <v>44</v>
      </c>
      <c r="F55" s="7" t="s">
        <v>4</v>
      </c>
      <c r="G55" s="7" t="s">
        <v>3</v>
      </c>
      <c r="H55" s="8" t="s">
        <v>549</v>
      </c>
    </row>
    <row r="56" spans="1:8" x14ac:dyDescent="0.25">
      <c r="A56" s="6">
        <v>54</v>
      </c>
      <c r="B56" s="7" t="s">
        <v>130</v>
      </c>
      <c r="C56" s="7" t="s">
        <v>158</v>
      </c>
      <c r="D56" s="7" t="s">
        <v>159</v>
      </c>
      <c r="E56" s="7" t="s">
        <v>44</v>
      </c>
      <c r="F56" s="7" t="s">
        <v>4</v>
      </c>
      <c r="G56" s="7" t="s">
        <v>28</v>
      </c>
      <c r="H56" s="8" t="s">
        <v>550</v>
      </c>
    </row>
    <row r="57" spans="1:8" x14ac:dyDescent="0.25">
      <c r="A57" s="6">
        <v>55</v>
      </c>
      <c r="B57" s="7" t="s">
        <v>130</v>
      </c>
      <c r="C57" s="7" t="s">
        <v>161</v>
      </c>
      <c r="D57" s="7" t="s">
        <v>162</v>
      </c>
      <c r="E57" s="7" t="s">
        <v>44</v>
      </c>
      <c r="F57" s="7" t="s">
        <v>4</v>
      </c>
      <c r="G57" s="7" t="s">
        <v>18</v>
      </c>
      <c r="H57" s="8" t="s">
        <v>551</v>
      </c>
    </row>
    <row r="58" spans="1:8" x14ac:dyDescent="0.25">
      <c r="A58" s="6">
        <v>56</v>
      </c>
      <c r="B58" s="7" t="s">
        <v>130</v>
      </c>
      <c r="C58" s="7" t="s">
        <v>162</v>
      </c>
      <c r="D58" s="7" t="s">
        <v>164</v>
      </c>
      <c r="E58" s="7" t="s">
        <v>44</v>
      </c>
      <c r="F58" s="7" t="s">
        <v>37</v>
      </c>
      <c r="G58" s="7" t="s">
        <v>37</v>
      </c>
      <c r="H58" s="8" t="s">
        <v>552</v>
      </c>
    </row>
    <row r="59" spans="1:8" x14ac:dyDescent="0.25">
      <c r="A59" s="6">
        <v>57</v>
      </c>
      <c r="B59" s="7" t="s">
        <v>130</v>
      </c>
      <c r="C59" s="7" t="s">
        <v>166</v>
      </c>
      <c r="D59" s="7" t="s">
        <v>167</v>
      </c>
      <c r="E59" s="7" t="s">
        <v>44</v>
      </c>
      <c r="F59" s="7" t="s">
        <v>37</v>
      </c>
      <c r="G59" s="7" t="s">
        <v>5</v>
      </c>
      <c r="H59" s="8" t="s">
        <v>553</v>
      </c>
    </row>
    <row r="60" spans="1:8" x14ac:dyDescent="0.25">
      <c r="A60" s="6">
        <v>58</v>
      </c>
      <c r="B60" s="7" t="s">
        <v>130</v>
      </c>
      <c r="C60" s="7" t="s">
        <v>169</v>
      </c>
      <c r="D60" s="7" t="s">
        <v>170</v>
      </c>
      <c r="E60" s="7" t="s">
        <v>44</v>
      </c>
      <c r="F60" s="7" t="s">
        <v>37</v>
      </c>
      <c r="G60" s="7" t="s">
        <v>44</v>
      </c>
      <c r="H60" s="8" t="s">
        <v>554</v>
      </c>
    </row>
    <row r="61" spans="1:8" x14ac:dyDescent="0.25">
      <c r="A61" s="6">
        <v>59</v>
      </c>
      <c r="B61" s="7" t="s">
        <v>130</v>
      </c>
      <c r="C61" s="7" t="s">
        <v>172</v>
      </c>
      <c r="D61" s="7" t="s">
        <v>173</v>
      </c>
      <c r="E61" s="7" t="s">
        <v>44</v>
      </c>
      <c r="F61" s="7" t="s">
        <v>37</v>
      </c>
      <c r="G61" s="7" t="s">
        <v>19</v>
      </c>
      <c r="H61" s="8" t="s">
        <v>555</v>
      </c>
    </row>
    <row r="62" spans="1:8" ht="30" x14ac:dyDescent="0.25">
      <c r="A62" s="6">
        <v>60</v>
      </c>
      <c r="B62" s="7" t="s">
        <v>130</v>
      </c>
      <c r="C62" s="7" t="s">
        <v>175</v>
      </c>
      <c r="D62" s="7" t="s">
        <v>176</v>
      </c>
      <c r="E62" s="7" t="s">
        <v>44</v>
      </c>
      <c r="F62" s="7" t="s">
        <v>37</v>
      </c>
      <c r="G62" s="7" t="s">
        <v>22</v>
      </c>
      <c r="H62" s="8" t="s">
        <v>556</v>
      </c>
    </row>
    <row r="63" spans="1:8" x14ac:dyDescent="0.25">
      <c r="A63" s="6">
        <v>61</v>
      </c>
      <c r="B63" s="7" t="s">
        <v>130</v>
      </c>
      <c r="C63" s="7" t="s">
        <v>176</v>
      </c>
      <c r="D63" s="7" t="s">
        <v>178</v>
      </c>
      <c r="E63" s="7" t="s">
        <v>44</v>
      </c>
      <c r="F63" s="7" t="s">
        <v>37</v>
      </c>
      <c r="G63" s="7" t="s">
        <v>3</v>
      </c>
      <c r="H63" s="8" t="s">
        <v>557</v>
      </c>
    </row>
    <row r="64" spans="1:8" x14ac:dyDescent="0.25">
      <c r="A64" s="6">
        <v>62</v>
      </c>
      <c r="B64" s="7" t="s">
        <v>130</v>
      </c>
      <c r="C64" s="7" t="s">
        <v>178</v>
      </c>
      <c r="D64" s="7" t="s">
        <v>76</v>
      </c>
      <c r="E64" s="7" t="s">
        <v>44</v>
      </c>
      <c r="F64" s="7" t="s">
        <v>37</v>
      </c>
      <c r="G64" s="7" t="s">
        <v>28</v>
      </c>
      <c r="H64" s="8" t="s">
        <v>558</v>
      </c>
    </row>
    <row r="65" spans="1:8" x14ac:dyDescent="0.25">
      <c r="A65" s="6">
        <v>63</v>
      </c>
      <c r="B65" s="7" t="s">
        <v>181</v>
      </c>
      <c r="C65" s="7" t="s">
        <v>16</v>
      </c>
      <c r="D65" s="7" t="s">
        <v>182</v>
      </c>
      <c r="E65" s="7" t="s">
        <v>28</v>
      </c>
      <c r="F65" s="7" t="s">
        <v>37</v>
      </c>
      <c r="G65" s="7" t="s">
        <v>28</v>
      </c>
      <c r="H65" s="8" t="s">
        <v>559</v>
      </c>
    </row>
    <row r="66" spans="1:8" ht="30" x14ac:dyDescent="0.25">
      <c r="A66" s="6">
        <v>64</v>
      </c>
      <c r="B66" s="7" t="s">
        <v>181</v>
      </c>
      <c r="C66" s="7" t="s">
        <v>182</v>
      </c>
      <c r="D66" s="7" t="s">
        <v>184</v>
      </c>
      <c r="E66" s="7" t="s">
        <v>28</v>
      </c>
      <c r="F66" s="7" t="s">
        <v>37</v>
      </c>
      <c r="G66" s="7" t="s">
        <v>18</v>
      </c>
      <c r="H66" s="8" t="s">
        <v>560</v>
      </c>
    </row>
    <row r="67" spans="1:8" x14ac:dyDescent="0.25">
      <c r="A67" s="6">
        <v>65</v>
      </c>
      <c r="B67" s="7" t="s">
        <v>181</v>
      </c>
      <c r="C67" s="7" t="s">
        <v>186</v>
      </c>
      <c r="D67" s="7" t="s">
        <v>187</v>
      </c>
      <c r="E67" s="7" t="s">
        <v>28</v>
      </c>
      <c r="F67" s="7" t="s">
        <v>37</v>
      </c>
      <c r="G67" s="7" t="s">
        <v>4</v>
      </c>
      <c r="H67" s="8" t="s">
        <v>561</v>
      </c>
    </row>
    <row r="68" spans="1:8" ht="30" x14ac:dyDescent="0.25">
      <c r="A68" s="6">
        <v>66</v>
      </c>
      <c r="B68" s="7" t="s">
        <v>181</v>
      </c>
      <c r="C68" s="7" t="s">
        <v>189</v>
      </c>
      <c r="D68" s="7" t="s">
        <v>190</v>
      </c>
      <c r="E68" s="7" t="s">
        <v>28</v>
      </c>
      <c r="F68" s="7" t="s">
        <v>5</v>
      </c>
      <c r="G68" s="7" t="s">
        <v>5</v>
      </c>
      <c r="H68" s="8" t="s">
        <v>191</v>
      </c>
    </row>
    <row r="69" spans="1:8" x14ac:dyDescent="0.25">
      <c r="A69" s="6">
        <v>67</v>
      </c>
      <c r="B69" s="7" t="s">
        <v>181</v>
      </c>
      <c r="C69" s="7" t="s">
        <v>190</v>
      </c>
      <c r="D69" s="7" t="s">
        <v>186</v>
      </c>
      <c r="E69" s="7" t="s">
        <v>28</v>
      </c>
      <c r="F69" s="7" t="s">
        <v>5</v>
      </c>
      <c r="G69" s="7" t="s">
        <v>44</v>
      </c>
      <c r="H69" s="8" t="s">
        <v>562</v>
      </c>
    </row>
    <row r="70" spans="1:8" x14ac:dyDescent="0.25">
      <c r="A70" s="6">
        <v>68</v>
      </c>
      <c r="B70" s="7" t="s">
        <v>181</v>
      </c>
      <c r="C70" s="7" t="s">
        <v>186</v>
      </c>
      <c r="D70" s="7" t="s">
        <v>193</v>
      </c>
      <c r="E70" s="7" t="s">
        <v>28</v>
      </c>
      <c r="F70" s="7" t="s">
        <v>5</v>
      </c>
      <c r="G70" s="7" t="s">
        <v>19</v>
      </c>
      <c r="H70" s="8" t="s">
        <v>563</v>
      </c>
    </row>
    <row r="71" spans="1:8" x14ac:dyDescent="0.25">
      <c r="A71" s="6">
        <v>69</v>
      </c>
      <c r="B71" s="7" t="s">
        <v>181</v>
      </c>
      <c r="C71" s="7" t="s">
        <v>195</v>
      </c>
      <c r="D71" s="7" t="s">
        <v>196</v>
      </c>
      <c r="E71" s="7" t="s">
        <v>28</v>
      </c>
      <c r="F71" s="7" t="s">
        <v>5</v>
      </c>
      <c r="G71" s="7" t="s">
        <v>22</v>
      </c>
      <c r="H71" s="8" t="s">
        <v>564</v>
      </c>
    </row>
    <row r="72" spans="1:8" x14ac:dyDescent="0.25">
      <c r="A72" s="6">
        <v>70</v>
      </c>
      <c r="B72" s="7" t="s">
        <v>181</v>
      </c>
      <c r="C72" s="7" t="s">
        <v>198</v>
      </c>
      <c r="D72" s="7" t="s">
        <v>199</v>
      </c>
      <c r="E72" s="7" t="s">
        <v>28</v>
      </c>
      <c r="F72" s="7" t="s">
        <v>5</v>
      </c>
      <c r="G72" s="7" t="s">
        <v>3</v>
      </c>
      <c r="H72" s="8" t="s">
        <v>565</v>
      </c>
    </row>
    <row r="73" spans="1:8" x14ac:dyDescent="0.25">
      <c r="A73" s="6">
        <v>71</v>
      </c>
      <c r="B73" s="7" t="s">
        <v>181</v>
      </c>
      <c r="C73" s="7" t="s">
        <v>201</v>
      </c>
      <c r="D73" s="7" t="s">
        <v>202</v>
      </c>
      <c r="E73" s="7" t="s">
        <v>28</v>
      </c>
      <c r="F73" s="7" t="s">
        <v>5</v>
      </c>
      <c r="G73" s="7" t="s">
        <v>28</v>
      </c>
      <c r="H73" s="8" t="s">
        <v>566</v>
      </c>
    </row>
    <row r="74" spans="1:8" x14ac:dyDescent="0.25">
      <c r="A74" s="6">
        <v>72</v>
      </c>
      <c r="B74" s="7" t="s">
        <v>181</v>
      </c>
      <c r="C74" s="7" t="s">
        <v>204</v>
      </c>
      <c r="D74" s="7" t="s">
        <v>205</v>
      </c>
      <c r="E74" s="7" t="s">
        <v>28</v>
      </c>
      <c r="F74" s="7" t="s">
        <v>5</v>
      </c>
      <c r="G74" s="7" t="s">
        <v>18</v>
      </c>
      <c r="H74" s="8" t="s">
        <v>567</v>
      </c>
    </row>
    <row r="75" spans="1:8" x14ac:dyDescent="0.25">
      <c r="A75" s="6">
        <v>73</v>
      </c>
      <c r="B75" s="7" t="s">
        <v>181</v>
      </c>
      <c r="C75" s="7" t="s">
        <v>207</v>
      </c>
      <c r="D75" s="7" t="s">
        <v>208</v>
      </c>
      <c r="E75" s="7" t="s">
        <v>28</v>
      </c>
      <c r="F75" s="7" t="s">
        <v>5</v>
      </c>
      <c r="G75" s="7" t="s">
        <v>4</v>
      </c>
      <c r="H75" s="8" t="s">
        <v>568</v>
      </c>
    </row>
    <row r="76" spans="1:8" x14ac:dyDescent="0.25">
      <c r="A76" s="6">
        <v>74</v>
      </c>
      <c r="B76" s="7" t="s">
        <v>181</v>
      </c>
      <c r="C76" s="7" t="s">
        <v>208</v>
      </c>
      <c r="D76" s="7" t="s">
        <v>210</v>
      </c>
      <c r="E76" s="7" t="s">
        <v>28</v>
      </c>
      <c r="F76" s="7" t="s">
        <v>5</v>
      </c>
      <c r="G76" s="7" t="s">
        <v>37</v>
      </c>
      <c r="H76" s="8" t="s">
        <v>569</v>
      </c>
    </row>
    <row r="77" spans="1:8" ht="30" x14ac:dyDescent="0.25">
      <c r="A77" s="6">
        <v>75</v>
      </c>
      <c r="B77" s="7" t="s">
        <v>181</v>
      </c>
      <c r="C77" s="7" t="s">
        <v>212</v>
      </c>
      <c r="D77" s="7" t="s">
        <v>213</v>
      </c>
      <c r="E77" s="7" t="s">
        <v>28</v>
      </c>
      <c r="F77" s="7" t="s">
        <v>44</v>
      </c>
      <c r="G77" s="7" t="s">
        <v>44</v>
      </c>
      <c r="H77" s="8" t="s">
        <v>570</v>
      </c>
    </row>
    <row r="78" spans="1:8" x14ac:dyDescent="0.25">
      <c r="A78" s="6">
        <v>76</v>
      </c>
      <c r="B78" s="7" t="s">
        <v>181</v>
      </c>
      <c r="C78" s="7" t="s">
        <v>215</v>
      </c>
      <c r="D78" s="7" t="s">
        <v>216</v>
      </c>
      <c r="E78" s="7" t="s">
        <v>28</v>
      </c>
      <c r="F78" s="7" t="s">
        <v>44</v>
      </c>
      <c r="G78" s="7" t="s">
        <v>19</v>
      </c>
      <c r="H78" s="8" t="s">
        <v>571</v>
      </c>
    </row>
    <row r="79" spans="1:8" ht="30" x14ac:dyDescent="0.25">
      <c r="A79" s="6">
        <v>77</v>
      </c>
      <c r="B79" s="7" t="s">
        <v>181</v>
      </c>
      <c r="C79" s="7" t="s">
        <v>216</v>
      </c>
      <c r="D79" s="7" t="s">
        <v>218</v>
      </c>
      <c r="E79" s="7" t="s">
        <v>28</v>
      </c>
      <c r="F79" s="7" t="s">
        <v>44</v>
      </c>
      <c r="G79" s="7" t="s">
        <v>22</v>
      </c>
      <c r="H79" s="8" t="s">
        <v>572</v>
      </c>
    </row>
    <row r="80" spans="1:8" x14ac:dyDescent="0.25">
      <c r="A80" s="6">
        <v>78</v>
      </c>
      <c r="B80" s="7" t="s">
        <v>181</v>
      </c>
      <c r="C80" s="7" t="s">
        <v>218</v>
      </c>
      <c r="D80" s="7" t="s">
        <v>220</v>
      </c>
      <c r="E80" s="7" t="s">
        <v>28</v>
      </c>
      <c r="F80" s="7" t="s">
        <v>44</v>
      </c>
      <c r="G80" s="7" t="s">
        <v>3</v>
      </c>
      <c r="H80" s="8" t="s">
        <v>573</v>
      </c>
    </row>
    <row r="81" spans="1:8" x14ac:dyDescent="0.25">
      <c r="A81" s="6">
        <v>79</v>
      </c>
      <c r="B81" s="7" t="s">
        <v>181</v>
      </c>
      <c r="C81" s="7" t="s">
        <v>220</v>
      </c>
      <c r="D81" s="7" t="s">
        <v>222</v>
      </c>
      <c r="E81" s="7" t="s">
        <v>28</v>
      </c>
      <c r="F81" s="7" t="s">
        <v>44</v>
      </c>
      <c r="G81" s="7" t="s">
        <v>28</v>
      </c>
      <c r="H81" s="8" t="s">
        <v>574</v>
      </c>
    </row>
    <row r="82" spans="1:8" x14ac:dyDescent="0.25">
      <c r="A82" s="6">
        <v>80</v>
      </c>
      <c r="B82" s="7" t="s">
        <v>181</v>
      </c>
      <c r="C82" s="7" t="s">
        <v>222</v>
      </c>
      <c r="D82" s="7" t="s">
        <v>224</v>
      </c>
      <c r="E82" s="7" t="s">
        <v>28</v>
      </c>
      <c r="F82" s="7" t="s">
        <v>44</v>
      </c>
      <c r="G82" s="7" t="s">
        <v>18</v>
      </c>
      <c r="H82" s="8" t="s">
        <v>575</v>
      </c>
    </row>
    <row r="83" spans="1:8" x14ac:dyDescent="0.25">
      <c r="A83" s="6">
        <v>81</v>
      </c>
      <c r="B83" s="7" t="s">
        <v>181</v>
      </c>
      <c r="C83" s="7" t="s">
        <v>224</v>
      </c>
      <c r="D83" s="7" t="s">
        <v>124</v>
      </c>
      <c r="E83" s="7" t="s">
        <v>28</v>
      </c>
      <c r="F83" s="7" t="s">
        <v>44</v>
      </c>
      <c r="G83" s="7" t="s">
        <v>4</v>
      </c>
      <c r="H83" s="8" t="s">
        <v>576</v>
      </c>
    </row>
    <row r="84" spans="1:8" x14ac:dyDescent="0.25">
      <c r="A84" s="6">
        <v>82</v>
      </c>
      <c r="B84" s="7" t="s">
        <v>181</v>
      </c>
      <c r="C84" s="7" t="s">
        <v>122</v>
      </c>
      <c r="D84" s="7" t="s">
        <v>127</v>
      </c>
      <c r="E84" s="7" t="s">
        <v>28</v>
      </c>
      <c r="F84" s="7" t="s">
        <v>44</v>
      </c>
      <c r="G84" s="7" t="s">
        <v>37</v>
      </c>
      <c r="H84" s="8" t="s">
        <v>577</v>
      </c>
    </row>
    <row r="85" spans="1:8" x14ac:dyDescent="0.25">
      <c r="A85" s="6">
        <v>83</v>
      </c>
      <c r="B85" s="7" t="s">
        <v>181</v>
      </c>
      <c r="C85" s="7" t="s">
        <v>127</v>
      </c>
      <c r="D85" s="7" t="s">
        <v>128</v>
      </c>
      <c r="E85" s="7" t="s">
        <v>28</v>
      </c>
      <c r="F85" s="7" t="s">
        <v>44</v>
      </c>
      <c r="G85" s="7" t="s">
        <v>5</v>
      </c>
      <c r="H85" s="8" t="s">
        <v>578</v>
      </c>
    </row>
    <row r="86" spans="1:8" x14ac:dyDescent="0.25">
      <c r="A86" s="6">
        <v>84</v>
      </c>
      <c r="B86" s="7" t="s">
        <v>229</v>
      </c>
      <c r="C86" s="7" t="s">
        <v>16</v>
      </c>
      <c r="D86" s="7" t="s">
        <v>17</v>
      </c>
      <c r="E86" s="7" t="s">
        <v>3</v>
      </c>
      <c r="F86" s="7" t="s">
        <v>19</v>
      </c>
      <c r="G86" s="7" t="s">
        <v>19</v>
      </c>
      <c r="H86" s="8" t="s">
        <v>579</v>
      </c>
    </row>
    <row r="87" spans="1:8" x14ac:dyDescent="0.25">
      <c r="A87" s="6">
        <v>85</v>
      </c>
      <c r="B87" s="7" t="s">
        <v>229</v>
      </c>
      <c r="C87" s="7" t="s">
        <v>17</v>
      </c>
      <c r="D87" s="7" t="s">
        <v>21</v>
      </c>
      <c r="E87" s="7" t="s">
        <v>3</v>
      </c>
      <c r="F87" s="7" t="s">
        <v>19</v>
      </c>
      <c r="G87" s="7" t="s">
        <v>22</v>
      </c>
      <c r="H87" s="8" t="s">
        <v>580</v>
      </c>
    </row>
    <row r="88" spans="1:8" x14ac:dyDescent="0.25">
      <c r="A88" s="6">
        <v>86</v>
      </c>
      <c r="B88" s="7" t="s">
        <v>229</v>
      </c>
      <c r="C88" s="7" t="s">
        <v>21</v>
      </c>
      <c r="D88" s="7" t="s">
        <v>25</v>
      </c>
      <c r="E88" s="7" t="s">
        <v>3</v>
      </c>
      <c r="F88" s="7" t="s">
        <v>19</v>
      </c>
      <c r="G88" s="7" t="s">
        <v>3</v>
      </c>
      <c r="H88" s="8" t="s">
        <v>581</v>
      </c>
    </row>
    <row r="89" spans="1:8" x14ac:dyDescent="0.25">
      <c r="A89" s="6">
        <v>87</v>
      </c>
      <c r="B89" s="7" t="s">
        <v>229</v>
      </c>
      <c r="C89" s="7" t="s">
        <v>233</v>
      </c>
      <c r="D89" s="7" t="s">
        <v>234</v>
      </c>
      <c r="E89" s="7" t="s">
        <v>3</v>
      </c>
      <c r="F89" s="7" t="s">
        <v>19</v>
      </c>
      <c r="G89" s="7" t="s">
        <v>28</v>
      </c>
      <c r="H89" s="8" t="s">
        <v>582</v>
      </c>
    </row>
    <row r="90" spans="1:8" x14ac:dyDescent="0.25">
      <c r="A90" s="6">
        <v>88</v>
      </c>
      <c r="B90" s="7" t="s">
        <v>229</v>
      </c>
      <c r="C90" s="7" t="s">
        <v>236</v>
      </c>
      <c r="D90" s="7" t="s">
        <v>140</v>
      </c>
      <c r="E90" s="7" t="s">
        <v>3</v>
      </c>
      <c r="F90" s="7" t="s">
        <v>19</v>
      </c>
      <c r="G90" s="7" t="s">
        <v>18</v>
      </c>
      <c r="H90" s="8" t="s">
        <v>583</v>
      </c>
    </row>
    <row r="91" spans="1:8" x14ac:dyDescent="0.25">
      <c r="A91" s="6">
        <v>89</v>
      </c>
      <c r="B91" s="7" t="s">
        <v>229</v>
      </c>
      <c r="C91" s="7" t="s">
        <v>31</v>
      </c>
      <c r="D91" s="7" t="s">
        <v>33</v>
      </c>
      <c r="E91" s="7" t="s">
        <v>3</v>
      </c>
      <c r="F91" s="7" t="s">
        <v>19</v>
      </c>
      <c r="G91" s="7" t="s">
        <v>4</v>
      </c>
      <c r="H91" s="8" t="s">
        <v>584</v>
      </c>
    </row>
    <row r="92" spans="1:8" x14ac:dyDescent="0.25">
      <c r="A92" s="6">
        <v>90</v>
      </c>
      <c r="B92" s="7" t="s">
        <v>229</v>
      </c>
      <c r="C92" s="7" t="s">
        <v>35</v>
      </c>
      <c r="D92" s="7" t="s">
        <v>36</v>
      </c>
      <c r="E92" s="7" t="s">
        <v>3</v>
      </c>
      <c r="F92" s="7" t="s">
        <v>19</v>
      </c>
      <c r="G92" s="7" t="s">
        <v>37</v>
      </c>
      <c r="H92" s="8" t="s">
        <v>585</v>
      </c>
    </row>
    <row r="93" spans="1:8" x14ac:dyDescent="0.25">
      <c r="A93" s="6">
        <v>91</v>
      </c>
      <c r="B93" s="7" t="s">
        <v>229</v>
      </c>
      <c r="C93" s="7" t="s">
        <v>36</v>
      </c>
      <c r="D93" s="7" t="s">
        <v>40</v>
      </c>
      <c r="E93" s="7" t="s">
        <v>3</v>
      </c>
      <c r="F93" s="7" t="s">
        <v>19</v>
      </c>
      <c r="G93" s="7" t="s">
        <v>5</v>
      </c>
      <c r="H93" s="8" t="s">
        <v>586</v>
      </c>
    </row>
    <row r="94" spans="1:8" x14ac:dyDescent="0.25">
      <c r="A94" s="6">
        <v>92</v>
      </c>
      <c r="B94" s="7" t="s">
        <v>229</v>
      </c>
      <c r="C94" s="7" t="s">
        <v>241</v>
      </c>
      <c r="D94" s="7" t="s">
        <v>46</v>
      </c>
      <c r="E94" s="7" t="s">
        <v>3</v>
      </c>
      <c r="F94" s="7" t="s">
        <v>19</v>
      </c>
      <c r="G94" s="7" t="s">
        <v>44</v>
      </c>
      <c r="H94" s="8" t="s">
        <v>587</v>
      </c>
    </row>
    <row r="95" spans="1:8" x14ac:dyDescent="0.25">
      <c r="A95" s="6">
        <v>93</v>
      </c>
      <c r="B95" s="7" t="s">
        <v>229</v>
      </c>
      <c r="C95" s="7" t="s">
        <v>43</v>
      </c>
      <c r="D95" s="7" t="s">
        <v>47</v>
      </c>
      <c r="E95" s="7" t="s">
        <v>3</v>
      </c>
      <c r="F95" s="7" t="s">
        <v>22</v>
      </c>
      <c r="G95" s="7" t="s">
        <v>22</v>
      </c>
      <c r="H95" s="8" t="s">
        <v>588</v>
      </c>
    </row>
    <row r="96" spans="1:8" x14ac:dyDescent="0.25">
      <c r="A96" s="6">
        <v>94</v>
      </c>
      <c r="B96" s="7" t="s">
        <v>229</v>
      </c>
      <c r="C96" s="7" t="s">
        <v>47</v>
      </c>
      <c r="D96" s="7" t="s">
        <v>52</v>
      </c>
      <c r="E96" s="7" t="s">
        <v>3</v>
      </c>
      <c r="F96" s="7" t="s">
        <v>22</v>
      </c>
      <c r="G96" s="7" t="s">
        <v>3</v>
      </c>
      <c r="H96" s="8" t="s">
        <v>589</v>
      </c>
    </row>
    <row r="97" spans="1:8" x14ac:dyDescent="0.25">
      <c r="A97" s="6">
        <v>95</v>
      </c>
      <c r="B97" s="7" t="s">
        <v>229</v>
      </c>
      <c r="C97" s="7" t="s">
        <v>50</v>
      </c>
      <c r="D97" s="7" t="s">
        <v>245</v>
      </c>
      <c r="E97" s="7" t="s">
        <v>3</v>
      </c>
      <c r="F97" s="7" t="s">
        <v>22</v>
      </c>
      <c r="G97" s="7" t="s">
        <v>28</v>
      </c>
      <c r="H97" s="8" t="s">
        <v>590</v>
      </c>
    </row>
    <row r="98" spans="1:8" ht="30" x14ac:dyDescent="0.25">
      <c r="A98" s="6">
        <v>96</v>
      </c>
      <c r="B98" s="7" t="s">
        <v>229</v>
      </c>
      <c r="C98" s="7" t="s">
        <v>247</v>
      </c>
      <c r="D98" s="7" t="s">
        <v>56</v>
      </c>
      <c r="E98" s="7" t="s">
        <v>3</v>
      </c>
      <c r="F98" s="7" t="s">
        <v>22</v>
      </c>
      <c r="G98" s="7" t="s">
        <v>18</v>
      </c>
      <c r="H98" s="8" t="s">
        <v>591</v>
      </c>
    </row>
    <row r="99" spans="1:8" x14ac:dyDescent="0.25">
      <c r="A99" s="6">
        <v>97</v>
      </c>
      <c r="B99" s="7" t="s">
        <v>229</v>
      </c>
      <c r="C99" s="7" t="s">
        <v>56</v>
      </c>
      <c r="D99" s="7" t="s">
        <v>58</v>
      </c>
      <c r="E99" s="7" t="s">
        <v>3</v>
      </c>
      <c r="F99" s="7" t="s">
        <v>22</v>
      </c>
      <c r="G99" s="7" t="s">
        <v>4</v>
      </c>
      <c r="H99" s="8" t="s">
        <v>592</v>
      </c>
    </row>
    <row r="100" spans="1:8" x14ac:dyDescent="0.25">
      <c r="A100" s="6">
        <v>98</v>
      </c>
      <c r="B100" s="7" t="s">
        <v>229</v>
      </c>
      <c r="C100" s="7" t="s">
        <v>58</v>
      </c>
      <c r="D100" s="7" t="s">
        <v>61</v>
      </c>
      <c r="E100" s="7" t="s">
        <v>3</v>
      </c>
      <c r="F100" s="7" t="s">
        <v>22</v>
      </c>
      <c r="G100" s="7" t="s">
        <v>37</v>
      </c>
      <c r="H100" s="8" t="s">
        <v>593</v>
      </c>
    </row>
    <row r="101" spans="1:8" x14ac:dyDescent="0.25">
      <c r="A101" s="6">
        <v>99</v>
      </c>
      <c r="B101" s="7" t="s">
        <v>229</v>
      </c>
      <c r="C101" s="7" t="s">
        <v>251</v>
      </c>
      <c r="D101" s="7" t="s">
        <v>63</v>
      </c>
      <c r="E101" s="7" t="s">
        <v>3</v>
      </c>
      <c r="F101" s="7" t="s">
        <v>22</v>
      </c>
      <c r="G101" s="7" t="s">
        <v>5</v>
      </c>
      <c r="H101" s="8" t="s">
        <v>594</v>
      </c>
    </row>
    <row r="102" spans="1:8" x14ac:dyDescent="0.25">
      <c r="A102" s="6">
        <v>100</v>
      </c>
      <c r="B102" s="7" t="s">
        <v>229</v>
      </c>
      <c r="C102" s="7" t="s">
        <v>253</v>
      </c>
      <c r="D102" s="7" t="s">
        <v>254</v>
      </c>
      <c r="E102" s="7" t="s">
        <v>3</v>
      </c>
      <c r="F102" s="7" t="s">
        <v>22</v>
      </c>
      <c r="G102" s="7" t="s">
        <v>44</v>
      </c>
      <c r="H102" s="8" t="s">
        <v>595</v>
      </c>
    </row>
    <row r="103" spans="1:8" x14ac:dyDescent="0.25">
      <c r="A103" s="6">
        <v>101</v>
      </c>
      <c r="B103" s="7" t="s">
        <v>229</v>
      </c>
      <c r="C103" s="7" t="s">
        <v>65</v>
      </c>
      <c r="D103" s="7" t="s">
        <v>67</v>
      </c>
      <c r="E103" s="7" t="s">
        <v>3</v>
      </c>
      <c r="F103" s="7" t="s">
        <v>22</v>
      </c>
      <c r="G103" s="7" t="s">
        <v>19</v>
      </c>
      <c r="H103" s="8" t="s">
        <v>596</v>
      </c>
    </row>
    <row r="104" spans="1:8" ht="30" x14ac:dyDescent="0.25">
      <c r="A104" s="6">
        <v>102</v>
      </c>
      <c r="B104" s="7" t="s">
        <v>229</v>
      </c>
      <c r="C104" s="7" t="s">
        <v>67</v>
      </c>
      <c r="D104" s="7" t="s">
        <v>70</v>
      </c>
      <c r="E104" s="7" t="s">
        <v>3</v>
      </c>
      <c r="F104" s="7" t="s">
        <v>3</v>
      </c>
      <c r="G104" s="7" t="s">
        <v>3</v>
      </c>
      <c r="H104" s="8" t="s">
        <v>597</v>
      </c>
    </row>
    <row r="105" spans="1:8" x14ac:dyDescent="0.25">
      <c r="A105" s="6">
        <v>103</v>
      </c>
      <c r="B105" s="7" t="s">
        <v>229</v>
      </c>
      <c r="C105" s="7" t="s">
        <v>258</v>
      </c>
      <c r="D105" s="7" t="s">
        <v>259</v>
      </c>
      <c r="E105" s="7" t="s">
        <v>3</v>
      </c>
      <c r="F105" s="7" t="s">
        <v>3</v>
      </c>
      <c r="G105" s="7" t="s">
        <v>28</v>
      </c>
      <c r="H105" s="8" t="s">
        <v>598</v>
      </c>
    </row>
    <row r="106" spans="1:8" ht="45" x14ac:dyDescent="0.25">
      <c r="A106" s="6">
        <v>104</v>
      </c>
      <c r="B106" s="7" t="s">
        <v>229</v>
      </c>
      <c r="C106" s="7" t="s">
        <v>72</v>
      </c>
      <c r="D106" s="7" t="s">
        <v>261</v>
      </c>
      <c r="E106" s="7" t="s">
        <v>3</v>
      </c>
      <c r="F106" s="7" t="s">
        <v>3</v>
      </c>
      <c r="G106" s="7" t="s">
        <v>18</v>
      </c>
      <c r="H106" s="8" t="s">
        <v>599</v>
      </c>
    </row>
    <row r="107" spans="1:8" x14ac:dyDescent="0.25">
      <c r="A107" s="6">
        <v>105</v>
      </c>
      <c r="B107" s="7" t="s">
        <v>229</v>
      </c>
      <c r="C107" s="7" t="s">
        <v>263</v>
      </c>
      <c r="D107" s="7" t="s">
        <v>76</v>
      </c>
      <c r="E107" s="7" t="s">
        <v>3</v>
      </c>
      <c r="F107" s="7" t="s">
        <v>3</v>
      </c>
      <c r="G107" s="7" t="s">
        <v>4</v>
      </c>
      <c r="H107" s="8" t="s">
        <v>600</v>
      </c>
    </row>
    <row r="108" spans="1:8" x14ac:dyDescent="0.25">
      <c r="A108" s="6">
        <v>106</v>
      </c>
      <c r="B108" s="7" t="s">
        <v>265</v>
      </c>
      <c r="C108" s="7" t="s">
        <v>266</v>
      </c>
      <c r="D108" s="7" t="s">
        <v>267</v>
      </c>
      <c r="E108" s="7" t="s">
        <v>44</v>
      </c>
      <c r="F108" s="7" t="s">
        <v>3</v>
      </c>
      <c r="G108" s="7" t="s">
        <v>4</v>
      </c>
      <c r="H108" s="8" t="s">
        <v>601</v>
      </c>
    </row>
    <row r="109" spans="1:8" x14ac:dyDescent="0.25">
      <c r="A109" s="6" t="s">
        <v>269</v>
      </c>
      <c r="B109" s="7" t="s">
        <v>265</v>
      </c>
      <c r="C109" s="7" t="s">
        <v>270</v>
      </c>
      <c r="D109" s="7" t="s">
        <v>24</v>
      </c>
      <c r="E109" s="7" t="s">
        <v>44</v>
      </c>
      <c r="F109" s="7" t="s">
        <v>3</v>
      </c>
      <c r="G109" s="7" t="s">
        <v>37</v>
      </c>
      <c r="H109" s="8" t="s">
        <v>602</v>
      </c>
    </row>
    <row r="110" spans="1:8" x14ac:dyDescent="0.25">
      <c r="A110" s="6">
        <v>108</v>
      </c>
      <c r="B110" s="7" t="s">
        <v>265</v>
      </c>
      <c r="C110" s="7" t="s">
        <v>21</v>
      </c>
      <c r="D110" s="7" t="s">
        <v>85</v>
      </c>
      <c r="E110" s="7" t="s">
        <v>44</v>
      </c>
      <c r="F110" s="7" t="s">
        <v>3</v>
      </c>
      <c r="G110" s="7" t="s">
        <v>5</v>
      </c>
      <c r="H110" s="8" t="s">
        <v>603</v>
      </c>
    </row>
    <row r="111" spans="1:8" x14ac:dyDescent="0.25">
      <c r="A111" s="6">
        <v>109</v>
      </c>
      <c r="B111" s="7" t="s">
        <v>265</v>
      </c>
      <c r="C111" s="7" t="s">
        <v>85</v>
      </c>
      <c r="D111" s="7" t="s">
        <v>86</v>
      </c>
      <c r="E111" s="7" t="s">
        <v>44</v>
      </c>
      <c r="F111" s="7" t="s">
        <v>3</v>
      </c>
      <c r="G111" s="7" t="s">
        <v>44</v>
      </c>
      <c r="H111" s="8" t="s">
        <v>604</v>
      </c>
    </row>
    <row r="112" spans="1:8" x14ac:dyDescent="0.25">
      <c r="A112" s="6">
        <v>110</v>
      </c>
      <c r="B112" s="7" t="s">
        <v>265</v>
      </c>
      <c r="C112" s="7" t="s">
        <v>86</v>
      </c>
      <c r="D112" s="7" t="s">
        <v>274</v>
      </c>
      <c r="E112" s="7" t="s">
        <v>44</v>
      </c>
      <c r="F112" s="7" t="s">
        <v>3</v>
      </c>
      <c r="G112" s="7" t="s">
        <v>19</v>
      </c>
      <c r="H112" s="8" t="s">
        <v>605</v>
      </c>
    </row>
    <row r="113" spans="1:8" x14ac:dyDescent="0.25">
      <c r="A113" s="6">
        <v>111</v>
      </c>
      <c r="B113" s="7" t="s">
        <v>265</v>
      </c>
      <c r="C113" s="7" t="s">
        <v>276</v>
      </c>
      <c r="D113" s="7" t="s">
        <v>277</v>
      </c>
      <c r="E113" s="7" t="s">
        <v>44</v>
      </c>
      <c r="F113" s="7" t="s">
        <v>3</v>
      </c>
      <c r="G113" s="7" t="s">
        <v>22</v>
      </c>
      <c r="H113" s="8" t="s">
        <v>606</v>
      </c>
    </row>
    <row r="114" spans="1:8" x14ac:dyDescent="0.25">
      <c r="A114" s="6">
        <v>112</v>
      </c>
      <c r="B114" s="7" t="s">
        <v>265</v>
      </c>
      <c r="C114" s="7" t="s">
        <v>277</v>
      </c>
      <c r="D114" s="7" t="s">
        <v>95</v>
      </c>
      <c r="E114" s="7" t="s">
        <v>44</v>
      </c>
      <c r="F114" s="7" t="s">
        <v>28</v>
      </c>
      <c r="G114" s="7" t="s">
        <v>28</v>
      </c>
      <c r="H114" s="8" t="s">
        <v>607</v>
      </c>
    </row>
    <row r="115" spans="1:8" x14ac:dyDescent="0.25">
      <c r="A115" s="6">
        <v>113</v>
      </c>
      <c r="B115" s="7" t="s">
        <v>265</v>
      </c>
      <c r="C115" s="7" t="s">
        <v>280</v>
      </c>
      <c r="D115" s="7" t="s">
        <v>98</v>
      </c>
      <c r="E115" s="7" t="s">
        <v>44</v>
      </c>
      <c r="F115" s="7" t="s">
        <v>28</v>
      </c>
      <c r="G115" s="7" t="s">
        <v>18</v>
      </c>
      <c r="H115" s="8" t="s">
        <v>608</v>
      </c>
    </row>
    <row r="116" spans="1:8" x14ac:dyDescent="0.25">
      <c r="A116" s="6">
        <v>114</v>
      </c>
      <c r="B116" s="7" t="s">
        <v>265</v>
      </c>
      <c r="C116" s="7" t="s">
        <v>98</v>
      </c>
      <c r="D116" s="7" t="s">
        <v>101</v>
      </c>
      <c r="E116" s="7" t="s">
        <v>44</v>
      </c>
      <c r="F116" s="7" t="s">
        <v>28</v>
      </c>
      <c r="G116" s="7" t="s">
        <v>4</v>
      </c>
      <c r="H116" s="8" t="s">
        <v>609</v>
      </c>
    </row>
    <row r="117" spans="1:8" x14ac:dyDescent="0.25">
      <c r="A117" s="6">
        <v>115</v>
      </c>
      <c r="B117" s="7" t="s">
        <v>265</v>
      </c>
      <c r="C117" s="7" t="s">
        <v>101</v>
      </c>
      <c r="D117" s="7" t="s">
        <v>104</v>
      </c>
      <c r="E117" s="7" t="s">
        <v>44</v>
      </c>
      <c r="F117" s="7" t="s">
        <v>28</v>
      </c>
      <c r="G117" s="7" t="s">
        <v>37</v>
      </c>
      <c r="H117" s="8" t="s">
        <v>610</v>
      </c>
    </row>
    <row r="118" spans="1:8" x14ac:dyDescent="0.25">
      <c r="A118" s="6">
        <v>116</v>
      </c>
      <c r="B118" s="7" t="s">
        <v>265</v>
      </c>
      <c r="C118" s="7" t="s">
        <v>102</v>
      </c>
      <c r="D118" s="7" t="s">
        <v>284</v>
      </c>
      <c r="E118" s="7" t="s">
        <v>44</v>
      </c>
      <c r="F118" s="7" t="s">
        <v>28</v>
      </c>
      <c r="G118" s="7" t="s">
        <v>5</v>
      </c>
      <c r="H118" s="8" t="s">
        <v>611</v>
      </c>
    </row>
    <row r="119" spans="1:8" x14ac:dyDescent="0.25">
      <c r="A119" s="6">
        <v>117</v>
      </c>
      <c r="B119" s="7" t="s">
        <v>265</v>
      </c>
      <c r="C119" s="7" t="s">
        <v>107</v>
      </c>
      <c r="D119" s="7" t="s">
        <v>108</v>
      </c>
      <c r="E119" s="7" t="s">
        <v>44</v>
      </c>
      <c r="F119" s="7" t="s">
        <v>28</v>
      </c>
      <c r="G119" s="7" t="s">
        <v>44</v>
      </c>
      <c r="H119" s="8" t="s">
        <v>612</v>
      </c>
    </row>
    <row r="120" spans="1:8" x14ac:dyDescent="0.25">
      <c r="A120" s="6">
        <v>118</v>
      </c>
      <c r="B120" s="7" t="s">
        <v>265</v>
      </c>
      <c r="C120" s="7" t="s">
        <v>108</v>
      </c>
      <c r="D120" s="7" t="s">
        <v>287</v>
      </c>
      <c r="E120" s="7" t="s">
        <v>44</v>
      </c>
      <c r="F120" s="7" t="s">
        <v>28</v>
      </c>
      <c r="G120" s="7" t="s">
        <v>19</v>
      </c>
      <c r="H120" s="8" t="s">
        <v>613</v>
      </c>
    </row>
    <row r="121" spans="1:8" x14ac:dyDescent="0.25">
      <c r="A121" s="6">
        <v>119</v>
      </c>
      <c r="B121" s="7" t="s">
        <v>265</v>
      </c>
      <c r="C121" s="7" t="s">
        <v>113</v>
      </c>
      <c r="D121" s="7" t="s">
        <v>114</v>
      </c>
      <c r="E121" s="7" t="s">
        <v>44</v>
      </c>
      <c r="F121" s="7" t="s">
        <v>28</v>
      </c>
      <c r="G121" s="7" t="s">
        <v>22</v>
      </c>
      <c r="H121" s="8" t="s">
        <v>614</v>
      </c>
    </row>
    <row r="122" spans="1:8" x14ac:dyDescent="0.25">
      <c r="A122" s="6">
        <v>120</v>
      </c>
      <c r="B122" s="7" t="s">
        <v>265</v>
      </c>
      <c r="C122" s="7" t="s">
        <v>116</v>
      </c>
      <c r="D122" s="7" t="s">
        <v>290</v>
      </c>
      <c r="E122" s="7" t="s">
        <v>44</v>
      </c>
      <c r="F122" s="7" t="s">
        <v>28</v>
      </c>
      <c r="G122" s="7" t="s">
        <v>3</v>
      </c>
      <c r="H122" s="8" t="s">
        <v>615</v>
      </c>
    </row>
    <row r="123" spans="1:8" x14ac:dyDescent="0.25">
      <c r="A123" s="6">
        <v>121</v>
      </c>
      <c r="B123" s="7" t="s">
        <v>265</v>
      </c>
      <c r="C123" s="7" t="s">
        <v>292</v>
      </c>
      <c r="D123" s="7" t="s">
        <v>224</v>
      </c>
      <c r="E123" s="7" t="s">
        <v>44</v>
      </c>
      <c r="F123" s="7" t="s">
        <v>18</v>
      </c>
      <c r="G123" s="7" t="s">
        <v>18</v>
      </c>
      <c r="H123" s="8" t="s">
        <v>616</v>
      </c>
    </row>
    <row r="124" spans="1:8" x14ac:dyDescent="0.25">
      <c r="A124" s="6">
        <v>122</v>
      </c>
      <c r="B124" s="7" t="s">
        <v>265</v>
      </c>
      <c r="C124" s="7" t="s">
        <v>294</v>
      </c>
      <c r="D124" s="7" t="s">
        <v>295</v>
      </c>
      <c r="E124" s="7" t="s">
        <v>44</v>
      </c>
      <c r="F124" s="7" t="s">
        <v>18</v>
      </c>
      <c r="G124" s="7" t="s">
        <v>4</v>
      </c>
      <c r="H124" s="8" t="s">
        <v>617</v>
      </c>
    </row>
    <row r="125" spans="1:8" x14ac:dyDescent="0.25">
      <c r="A125" s="6">
        <v>123</v>
      </c>
      <c r="B125" s="7" t="s">
        <v>265</v>
      </c>
      <c r="C125" s="7" t="s">
        <v>122</v>
      </c>
      <c r="D125" s="7" t="s">
        <v>297</v>
      </c>
      <c r="E125" s="7" t="s">
        <v>44</v>
      </c>
      <c r="F125" s="7" t="s">
        <v>18</v>
      </c>
      <c r="G125" s="7" t="s">
        <v>37</v>
      </c>
      <c r="H125" s="8" t="s">
        <v>618</v>
      </c>
    </row>
    <row r="126" spans="1:8" x14ac:dyDescent="0.25">
      <c r="A126" s="6">
        <v>124</v>
      </c>
      <c r="B126" s="7" t="s">
        <v>265</v>
      </c>
      <c r="C126" s="7" t="s">
        <v>127</v>
      </c>
      <c r="D126" s="7" t="s">
        <v>128</v>
      </c>
      <c r="E126" s="7" t="s">
        <v>44</v>
      </c>
      <c r="F126" s="7" t="s">
        <v>18</v>
      </c>
      <c r="G126" s="7" t="s">
        <v>5</v>
      </c>
      <c r="H126" s="8" t="s">
        <v>619</v>
      </c>
    </row>
    <row r="127" spans="1:8" ht="30" x14ac:dyDescent="0.25">
      <c r="A127" s="6">
        <v>125</v>
      </c>
      <c r="B127" s="7" t="s">
        <v>300</v>
      </c>
      <c r="C127" s="7" t="s">
        <v>266</v>
      </c>
      <c r="D127" s="7" t="s">
        <v>301</v>
      </c>
      <c r="E127" s="7" t="s">
        <v>22</v>
      </c>
      <c r="F127" s="7" t="s">
        <v>18</v>
      </c>
      <c r="G127" s="7" t="s">
        <v>44</v>
      </c>
      <c r="H127" s="8" t="s">
        <v>620</v>
      </c>
    </row>
    <row r="128" spans="1:8" x14ac:dyDescent="0.25">
      <c r="A128" s="6">
        <v>126</v>
      </c>
      <c r="B128" s="7" t="s">
        <v>300</v>
      </c>
      <c r="C128" s="7" t="s">
        <v>131</v>
      </c>
      <c r="D128" s="7" t="s">
        <v>135</v>
      </c>
      <c r="E128" s="7" t="s">
        <v>22</v>
      </c>
      <c r="F128" s="7" t="s">
        <v>18</v>
      </c>
      <c r="G128" s="7" t="s">
        <v>19</v>
      </c>
      <c r="H128" s="8" t="s">
        <v>621</v>
      </c>
    </row>
    <row r="129" spans="1:8" x14ac:dyDescent="0.25">
      <c r="A129" s="6">
        <v>127</v>
      </c>
      <c r="B129" s="7" t="s">
        <v>300</v>
      </c>
      <c r="C129" s="7" t="s">
        <v>135</v>
      </c>
      <c r="D129" s="7" t="s">
        <v>136</v>
      </c>
      <c r="E129" s="7" t="s">
        <v>22</v>
      </c>
      <c r="F129" s="7" t="s">
        <v>18</v>
      </c>
      <c r="G129" s="7" t="s">
        <v>22</v>
      </c>
      <c r="H129" s="8" t="s">
        <v>622</v>
      </c>
    </row>
    <row r="130" spans="1:8" x14ac:dyDescent="0.25">
      <c r="A130" s="6">
        <v>128</v>
      </c>
      <c r="B130" s="7" t="s">
        <v>300</v>
      </c>
      <c r="C130" s="7" t="s">
        <v>305</v>
      </c>
      <c r="D130" s="7" t="s">
        <v>140</v>
      </c>
      <c r="E130" s="7" t="s">
        <v>22</v>
      </c>
      <c r="F130" s="7" t="s">
        <v>18</v>
      </c>
      <c r="G130" s="7" t="s">
        <v>3</v>
      </c>
      <c r="H130" s="8" t="s">
        <v>623</v>
      </c>
    </row>
    <row r="131" spans="1:8" x14ac:dyDescent="0.25">
      <c r="A131" s="6">
        <v>129</v>
      </c>
      <c r="B131" s="7" t="s">
        <v>300</v>
      </c>
      <c r="C131" s="7" t="s">
        <v>31</v>
      </c>
      <c r="D131" s="7" t="s">
        <v>307</v>
      </c>
      <c r="E131" s="7" t="s">
        <v>22</v>
      </c>
      <c r="F131" s="7" t="s">
        <v>18</v>
      </c>
      <c r="G131" s="7" t="s">
        <v>28</v>
      </c>
      <c r="H131" s="8" t="s">
        <v>624</v>
      </c>
    </row>
    <row r="132" spans="1:8" x14ac:dyDescent="0.25">
      <c r="A132" s="6">
        <v>130</v>
      </c>
      <c r="B132" s="7" t="s">
        <v>300</v>
      </c>
      <c r="C132" s="7" t="s">
        <v>307</v>
      </c>
      <c r="D132" s="7" t="s">
        <v>309</v>
      </c>
      <c r="E132" s="7" t="s">
        <v>22</v>
      </c>
      <c r="F132" s="7" t="s">
        <v>4</v>
      </c>
      <c r="G132" s="7" t="s">
        <v>4</v>
      </c>
      <c r="H132" s="8" t="s">
        <v>625</v>
      </c>
    </row>
    <row r="133" spans="1:8" x14ac:dyDescent="0.25">
      <c r="A133" s="6">
        <v>131</v>
      </c>
      <c r="B133" s="7" t="s">
        <v>300</v>
      </c>
      <c r="C133" s="7" t="s">
        <v>311</v>
      </c>
      <c r="D133" s="7" t="s">
        <v>312</v>
      </c>
      <c r="E133" s="7" t="s">
        <v>22</v>
      </c>
      <c r="F133" s="7" t="s">
        <v>4</v>
      </c>
      <c r="G133" s="7" t="s">
        <v>37</v>
      </c>
      <c r="H133" s="8" t="s">
        <v>626</v>
      </c>
    </row>
    <row r="134" spans="1:8" x14ac:dyDescent="0.25">
      <c r="A134" s="6">
        <v>132</v>
      </c>
      <c r="B134" s="7" t="s">
        <v>300</v>
      </c>
      <c r="C134" s="7" t="s">
        <v>146</v>
      </c>
      <c r="D134" s="7" t="s">
        <v>314</v>
      </c>
      <c r="E134" s="7" t="s">
        <v>22</v>
      </c>
      <c r="F134" s="7" t="s">
        <v>4</v>
      </c>
      <c r="G134" s="7" t="s">
        <v>5</v>
      </c>
      <c r="H134" s="8" t="s">
        <v>627</v>
      </c>
    </row>
    <row r="135" spans="1:8" x14ac:dyDescent="0.25">
      <c r="A135" s="6">
        <v>133</v>
      </c>
      <c r="B135" s="7" t="s">
        <v>300</v>
      </c>
      <c r="C135" s="7" t="s">
        <v>314</v>
      </c>
      <c r="D135" s="7" t="s">
        <v>151</v>
      </c>
      <c r="E135" s="7" t="s">
        <v>22</v>
      </c>
      <c r="F135" s="7" t="s">
        <v>4</v>
      </c>
      <c r="G135" s="7" t="s">
        <v>44</v>
      </c>
      <c r="H135" s="8" t="s">
        <v>628</v>
      </c>
    </row>
    <row r="136" spans="1:8" x14ac:dyDescent="0.25">
      <c r="A136" s="6">
        <v>134</v>
      </c>
      <c r="B136" s="7" t="s">
        <v>300</v>
      </c>
      <c r="C136" s="7" t="s">
        <v>317</v>
      </c>
      <c r="D136" s="7" t="s">
        <v>153</v>
      </c>
      <c r="E136" s="7" t="s">
        <v>22</v>
      </c>
      <c r="F136" s="7" t="s">
        <v>4</v>
      </c>
      <c r="G136" s="7" t="s">
        <v>19</v>
      </c>
      <c r="H136" s="8" t="s">
        <v>629</v>
      </c>
    </row>
    <row r="137" spans="1:8" x14ac:dyDescent="0.25">
      <c r="A137" s="6">
        <v>135</v>
      </c>
      <c r="B137" s="7" t="s">
        <v>300</v>
      </c>
      <c r="C137" s="7" t="s">
        <v>153</v>
      </c>
      <c r="D137" s="7" t="s">
        <v>155</v>
      </c>
      <c r="E137" s="7" t="s">
        <v>22</v>
      </c>
      <c r="F137" s="7" t="s">
        <v>4</v>
      </c>
      <c r="G137" s="7" t="s">
        <v>22</v>
      </c>
      <c r="H137" s="8" t="s">
        <v>630</v>
      </c>
    </row>
    <row r="138" spans="1:8" x14ac:dyDescent="0.25">
      <c r="A138" s="6">
        <v>136</v>
      </c>
      <c r="B138" s="7" t="s">
        <v>300</v>
      </c>
      <c r="C138" s="7" t="s">
        <v>155</v>
      </c>
      <c r="D138" s="7" t="s">
        <v>320</v>
      </c>
      <c r="E138" s="7" t="s">
        <v>22</v>
      </c>
      <c r="F138" s="7" t="s">
        <v>4</v>
      </c>
      <c r="G138" s="7" t="s">
        <v>3</v>
      </c>
      <c r="H138" s="8" t="s">
        <v>631</v>
      </c>
    </row>
    <row r="139" spans="1:8" x14ac:dyDescent="0.25">
      <c r="A139" s="6">
        <v>137</v>
      </c>
      <c r="B139" s="7" t="s">
        <v>300</v>
      </c>
      <c r="C139" s="7" t="s">
        <v>322</v>
      </c>
      <c r="D139" s="7" t="s">
        <v>323</v>
      </c>
      <c r="E139" s="7" t="s">
        <v>22</v>
      </c>
      <c r="F139" s="7" t="s">
        <v>4</v>
      </c>
      <c r="G139" s="7" t="s">
        <v>28</v>
      </c>
      <c r="H139" s="8" t="s">
        <v>632</v>
      </c>
    </row>
    <row r="140" spans="1:8" x14ac:dyDescent="0.25">
      <c r="A140" s="6">
        <v>138</v>
      </c>
      <c r="B140" s="7" t="s">
        <v>300</v>
      </c>
      <c r="C140" s="7" t="s">
        <v>161</v>
      </c>
      <c r="D140" s="7" t="s">
        <v>325</v>
      </c>
      <c r="E140" s="7" t="s">
        <v>22</v>
      </c>
      <c r="F140" s="7" t="s">
        <v>4</v>
      </c>
      <c r="G140" s="7" t="s">
        <v>18</v>
      </c>
      <c r="H140" s="8" t="s">
        <v>633</v>
      </c>
    </row>
    <row r="141" spans="1:8" x14ac:dyDescent="0.25">
      <c r="A141" s="6">
        <v>139</v>
      </c>
      <c r="B141" s="7" t="s">
        <v>300</v>
      </c>
      <c r="C141" s="7" t="s">
        <v>162</v>
      </c>
      <c r="D141" s="7" t="s">
        <v>164</v>
      </c>
      <c r="E141" s="7" t="s">
        <v>22</v>
      </c>
      <c r="F141" s="7" t="s">
        <v>37</v>
      </c>
      <c r="G141" s="7" t="s">
        <v>37</v>
      </c>
      <c r="H141" s="8" t="s">
        <v>634</v>
      </c>
    </row>
    <row r="142" spans="1:8" x14ac:dyDescent="0.25">
      <c r="A142" s="6">
        <v>140</v>
      </c>
      <c r="B142" s="7" t="s">
        <v>300</v>
      </c>
      <c r="C142" s="7" t="s">
        <v>166</v>
      </c>
      <c r="D142" s="7" t="s">
        <v>169</v>
      </c>
      <c r="E142" s="7" t="s">
        <v>22</v>
      </c>
      <c r="F142" s="7" t="s">
        <v>37</v>
      </c>
      <c r="G142" s="7" t="s">
        <v>5</v>
      </c>
      <c r="H142" s="8" t="s">
        <v>635</v>
      </c>
    </row>
    <row r="143" spans="1:8" ht="30" x14ac:dyDescent="0.25">
      <c r="A143" s="6">
        <v>141</v>
      </c>
      <c r="B143" s="7" t="s">
        <v>300</v>
      </c>
      <c r="C143" s="7" t="s">
        <v>169</v>
      </c>
      <c r="D143" s="7" t="s">
        <v>170</v>
      </c>
      <c r="E143" s="7" t="s">
        <v>22</v>
      </c>
      <c r="F143" s="7" t="s">
        <v>37</v>
      </c>
      <c r="G143" s="7" t="s">
        <v>44</v>
      </c>
      <c r="H143" s="8" t="s">
        <v>636</v>
      </c>
    </row>
    <row r="144" spans="1:8" x14ac:dyDescent="0.25">
      <c r="A144" s="6">
        <v>142</v>
      </c>
      <c r="B144" s="7" t="s">
        <v>300</v>
      </c>
      <c r="C144" s="7" t="s">
        <v>172</v>
      </c>
      <c r="D144" s="7" t="s">
        <v>330</v>
      </c>
      <c r="E144" s="7" t="s">
        <v>22</v>
      </c>
      <c r="F144" s="7" t="s">
        <v>37</v>
      </c>
      <c r="G144" s="7" t="s">
        <v>19</v>
      </c>
      <c r="H144" s="8" t="s">
        <v>637</v>
      </c>
    </row>
    <row r="145" spans="1:8" ht="30" x14ac:dyDescent="0.25">
      <c r="A145" s="6">
        <v>143</v>
      </c>
      <c r="B145" s="7" t="s">
        <v>300</v>
      </c>
      <c r="C145" s="7" t="s">
        <v>330</v>
      </c>
      <c r="D145" s="7" t="s">
        <v>176</v>
      </c>
      <c r="E145" s="7" t="s">
        <v>22</v>
      </c>
      <c r="F145" s="7" t="s">
        <v>37</v>
      </c>
      <c r="G145" s="7" t="s">
        <v>22</v>
      </c>
      <c r="H145" s="8" t="s">
        <v>638</v>
      </c>
    </row>
    <row r="146" spans="1:8" x14ac:dyDescent="0.25">
      <c r="A146" s="6">
        <v>144</v>
      </c>
      <c r="B146" s="7" t="s">
        <v>300</v>
      </c>
      <c r="C146" s="7" t="s">
        <v>176</v>
      </c>
      <c r="D146" s="7" t="s">
        <v>333</v>
      </c>
      <c r="E146" s="7" t="s">
        <v>22</v>
      </c>
      <c r="F146" s="7" t="s">
        <v>37</v>
      </c>
      <c r="G146" s="7" t="s">
        <v>3</v>
      </c>
      <c r="H146" s="8" t="s">
        <v>639</v>
      </c>
    </row>
    <row r="147" spans="1:8" x14ac:dyDescent="0.25">
      <c r="A147" s="6">
        <v>145</v>
      </c>
      <c r="B147" s="7" t="s">
        <v>300</v>
      </c>
      <c r="C147" s="7" t="s">
        <v>178</v>
      </c>
      <c r="D147" s="7" t="s">
        <v>76</v>
      </c>
      <c r="E147" s="7" t="s">
        <v>22</v>
      </c>
      <c r="F147" s="7" t="s">
        <v>37</v>
      </c>
      <c r="G147" s="7" t="s">
        <v>28</v>
      </c>
      <c r="H147" s="8" t="s">
        <v>640</v>
      </c>
    </row>
    <row r="148" spans="1:8" ht="30" x14ac:dyDescent="0.25">
      <c r="A148" s="6">
        <v>146</v>
      </c>
      <c r="B148" s="7" t="s">
        <v>336</v>
      </c>
      <c r="C148" s="7" t="s">
        <v>16</v>
      </c>
      <c r="D148" s="7" t="s">
        <v>337</v>
      </c>
      <c r="E148" s="7" t="s">
        <v>18</v>
      </c>
      <c r="F148" s="7" t="s">
        <v>37</v>
      </c>
      <c r="G148" s="7" t="s">
        <v>28</v>
      </c>
      <c r="H148" s="8" t="s">
        <v>641</v>
      </c>
    </row>
    <row r="149" spans="1:8" ht="90" x14ac:dyDescent="0.25">
      <c r="A149" s="6">
        <v>147</v>
      </c>
      <c r="B149" s="7" t="s">
        <v>336</v>
      </c>
      <c r="C149" s="7" t="s">
        <v>182</v>
      </c>
      <c r="D149" s="7" t="s">
        <v>184</v>
      </c>
      <c r="E149" s="7" t="s">
        <v>18</v>
      </c>
      <c r="F149" s="7" t="s">
        <v>37</v>
      </c>
      <c r="G149" s="7" t="s">
        <v>18</v>
      </c>
      <c r="H149" s="8" t="s">
        <v>642</v>
      </c>
    </row>
    <row r="150" spans="1:8" x14ac:dyDescent="0.25">
      <c r="A150" s="6">
        <v>148</v>
      </c>
      <c r="B150" s="7" t="s">
        <v>336</v>
      </c>
      <c r="C150" s="7" t="s">
        <v>184</v>
      </c>
      <c r="D150" s="7" t="s">
        <v>340</v>
      </c>
      <c r="E150" s="7" t="s">
        <v>18</v>
      </c>
      <c r="F150" s="7" t="s">
        <v>37</v>
      </c>
      <c r="G150" s="7" t="s">
        <v>4</v>
      </c>
      <c r="H150" s="8" t="s">
        <v>643</v>
      </c>
    </row>
    <row r="151" spans="1:8" ht="45" x14ac:dyDescent="0.25">
      <c r="A151" s="6">
        <v>149</v>
      </c>
      <c r="B151" s="7" t="s">
        <v>336</v>
      </c>
      <c r="C151" s="7" t="s">
        <v>189</v>
      </c>
      <c r="D151" s="7" t="s">
        <v>342</v>
      </c>
      <c r="E151" s="7" t="s">
        <v>18</v>
      </c>
      <c r="F151" s="7" t="s">
        <v>5</v>
      </c>
      <c r="G151" s="7" t="s">
        <v>5</v>
      </c>
      <c r="H151" s="8" t="s">
        <v>644</v>
      </c>
    </row>
    <row r="152" spans="1:8" ht="45" x14ac:dyDescent="0.25">
      <c r="A152" s="6">
        <v>150</v>
      </c>
      <c r="B152" s="7" t="s">
        <v>336</v>
      </c>
      <c r="C152" s="7" t="s">
        <v>190</v>
      </c>
      <c r="D152" s="7" t="s">
        <v>186</v>
      </c>
      <c r="E152" s="7" t="s">
        <v>18</v>
      </c>
      <c r="F152" s="7" t="s">
        <v>5</v>
      </c>
      <c r="G152" s="7" t="s">
        <v>44</v>
      </c>
      <c r="H152" s="8" t="s">
        <v>645</v>
      </c>
    </row>
    <row r="153" spans="1:8" x14ac:dyDescent="0.25">
      <c r="A153" s="6">
        <v>151</v>
      </c>
      <c r="B153" s="7" t="s">
        <v>336</v>
      </c>
      <c r="C153" s="7" t="s">
        <v>186</v>
      </c>
      <c r="D153" s="7" t="s">
        <v>193</v>
      </c>
      <c r="E153" s="7" t="s">
        <v>18</v>
      </c>
      <c r="F153" s="7" t="s">
        <v>5</v>
      </c>
      <c r="G153" s="7" t="s">
        <v>19</v>
      </c>
      <c r="H153" s="8" t="s">
        <v>646</v>
      </c>
    </row>
    <row r="154" spans="1:8" ht="30" x14ac:dyDescent="0.25">
      <c r="A154" s="6">
        <v>152</v>
      </c>
      <c r="B154" s="7" t="s">
        <v>336</v>
      </c>
      <c r="C154" s="7" t="s">
        <v>193</v>
      </c>
      <c r="D154" s="7" t="s">
        <v>198</v>
      </c>
      <c r="E154" s="7" t="s">
        <v>18</v>
      </c>
      <c r="F154" s="7" t="s">
        <v>5</v>
      </c>
      <c r="G154" s="7" t="s">
        <v>22</v>
      </c>
      <c r="H154" s="8" t="s">
        <v>647</v>
      </c>
    </row>
    <row r="155" spans="1:8" ht="30" x14ac:dyDescent="0.25">
      <c r="A155" s="6">
        <v>153</v>
      </c>
      <c r="B155" s="7" t="s">
        <v>336</v>
      </c>
      <c r="C155" s="7" t="s">
        <v>198</v>
      </c>
      <c r="D155" s="7" t="s">
        <v>347</v>
      </c>
      <c r="E155" s="7" t="s">
        <v>18</v>
      </c>
      <c r="F155" s="7" t="s">
        <v>5</v>
      </c>
      <c r="G155" s="7" t="s">
        <v>3</v>
      </c>
      <c r="H155" s="8" t="s">
        <v>648</v>
      </c>
    </row>
    <row r="156" spans="1:8" ht="60" x14ac:dyDescent="0.25">
      <c r="A156" s="6">
        <v>154</v>
      </c>
      <c r="B156" s="7" t="s">
        <v>336</v>
      </c>
      <c r="C156" s="7" t="s">
        <v>349</v>
      </c>
      <c r="D156" s="7" t="s">
        <v>350</v>
      </c>
      <c r="E156" s="7" t="s">
        <v>18</v>
      </c>
      <c r="F156" s="7" t="s">
        <v>5</v>
      </c>
      <c r="G156" s="7" t="s">
        <v>28</v>
      </c>
      <c r="H156" s="8" t="s">
        <v>649</v>
      </c>
    </row>
    <row r="157" spans="1:8" ht="30" x14ac:dyDescent="0.25">
      <c r="A157" s="6">
        <v>155</v>
      </c>
      <c r="B157" s="7" t="s">
        <v>336</v>
      </c>
      <c r="C157" s="7" t="s">
        <v>352</v>
      </c>
      <c r="D157" s="7" t="s">
        <v>205</v>
      </c>
      <c r="E157" s="7" t="s">
        <v>18</v>
      </c>
      <c r="F157" s="7" t="s">
        <v>5</v>
      </c>
      <c r="G157" s="7" t="s">
        <v>18</v>
      </c>
      <c r="H157" s="8" t="s">
        <v>650</v>
      </c>
    </row>
    <row r="158" spans="1:8" x14ac:dyDescent="0.25">
      <c r="A158" s="6">
        <v>156</v>
      </c>
      <c r="B158" s="7" t="s">
        <v>336</v>
      </c>
      <c r="C158" s="7" t="s">
        <v>207</v>
      </c>
      <c r="D158" s="7" t="s">
        <v>354</v>
      </c>
      <c r="E158" s="7" t="s">
        <v>18</v>
      </c>
      <c r="F158" s="7" t="s">
        <v>5</v>
      </c>
      <c r="G158" s="7" t="s">
        <v>4</v>
      </c>
      <c r="H158" s="8" t="s">
        <v>651</v>
      </c>
    </row>
    <row r="159" spans="1:8" ht="45" x14ac:dyDescent="0.25">
      <c r="A159" s="6">
        <v>157</v>
      </c>
      <c r="B159" s="7" t="s">
        <v>336</v>
      </c>
      <c r="C159" s="7" t="s">
        <v>356</v>
      </c>
      <c r="D159" s="7" t="s">
        <v>210</v>
      </c>
      <c r="E159" s="7" t="s">
        <v>18</v>
      </c>
      <c r="F159" s="7" t="s">
        <v>5</v>
      </c>
      <c r="G159" s="7" t="s">
        <v>37</v>
      </c>
      <c r="H159" s="8" t="s">
        <v>652</v>
      </c>
    </row>
    <row r="160" spans="1:8" ht="30" x14ac:dyDescent="0.25">
      <c r="A160" s="6">
        <v>158</v>
      </c>
      <c r="B160" s="7" t="s">
        <v>336</v>
      </c>
      <c r="C160" s="7" t="s">
        <v>210</v>
      </c>
      <c r="D160" s="7" t="s">
        <v>358</v>
      </c>
      <c r="E160" s="7" t="s">
        <v>18</v>
      </c>
      <c r="F160" s="7" t="s">
        <v>44</v>
      </c>
      <c r="G160" s="7" t="s">
        <v>44</v>
      </c>
      <c r="H160" s="8" t="s">
        <v>653</v>
      </c>
    </row>
    <row r="161" spans="1:8" x14ac:dyDescent="0.25">
      <c r="A161" s="6">
        <v>159</v>
      </c>
      <c r="B161" s="7" t="s">
        <v>336</v>
      </c>
      <c r="C161" s="7" t="s">
        <v>360</v>
      </c>
      <c r="D161" s="7" t="s">
        <v>361</v>
      </c>
      <c r="E161" s="7" t="s">
        <v>18</v>
      </c>
      <c r="F161" s="7" t="s">
        <v>44</v>
      </c>
      <c r="G161" s="7" t="s">
        <v>19</v>
      </c>
      <c r="H161" s="8" t="s">
        <v>654</v>
      </c>
    </row>
    <row r="162" spans="1:8" ht="60" x14ac:dyDescent="0.25">
      <c r="A162" s="6">
        <v>160</v>
      </c>
      <c r="B162" s="7" t="s">
        <v>336</v>
      </c>
      <c r="C162" s="7" t="s">
        <v>361</v>
      </c>
      <c r="D162" s="7" t="s">
        <v>218</v>
      </c>
      <c r="E162" s="7" t="s">
        <v>18</v>
      </c>
      <c r="F162" s="7" t="s">
        <v>44</v>
      </c>
      <c r="G162" s="7" t="s">
        <v>22</v>
      </c>
      <c r="H162" s="8" t="s">
        <v>655</v>
      </c>
    </row>
    <row r="163" spans="1:8" ht="45" x14ac:dyDescent="0.25">
      <c r="A163" s="6">
        <v>161</v>
      </c>
      <c r="B163" s="7" t="s">
        <v>336</v>
      </c>
      <c r="C163" s="7" t="s">
        <v>364</v>
      </c>
      <c r="D163" s="7" t="s">
        <v>220</v>
      </c>
      <c r="E163" s="7" t="s">
        <v>18</v>
      </c>
      <c r="F163" s="7" t="s">
        <v>44</v>
      </c>
      <c r="G163" s="7" t="s">
        <v>3</v>
      </c>
      <c r="H163" s="8" t="s">
        <v>656</v>
      </c>
    </row>
    <row r="164" spans="1:8" x14ac:dyDescent="0.25">
      <c r="A164" s="6">
        <v>162</v>
      </c>
      <c r="B164" s="7" t="s">
        <v>336</v>
      </c>
      <c r="C164" s="7" t="s">
        <v>220</v>
      </c>
      <c r="D164" s="7" t="s">
        <v>117</v>
      </c>
      <c r="E164" s="7" t="s">
        <v>18</v>
      </c>
      <c r="F164" s="7" t="s">
        <v>44</v>
      </c>
      <c r="G164" s="7" t="s">
        <v>28</v>
      </c>
      <c r="H164" s="8" t="s">
        <v>657</v>
      </c>
    </row>
    <row r="165" spans="1:8" ht="45" x14ac:dyDescent="0.25">
      <c r="A165" s="6">
        <v>163</v>
      </c>
      <c r="B165" s="7" t="s">
        <v>336</v>
      </c>
      <c r="C165" s="7" t="s">
        <v>290</v>
      </c>
      <c r="D165" s="7" t="s">
        <v>121</v>
      </c>
      <c r="E165" s="7" t="s">
        <v>18</v>
      </c>
      <c r="F165" s="7" t="s">
        <v>44</v>
      </c>
      <c r="G165" s="7" t="s">
        <v>18</v>
      </c>
      <c r="H165" s="8" t="s">
        <v>658</v>
      </c>
    </row>
    <row r="166" spans="1:8" x14ac:dyDescent="0.25">
      <c r="A166" s="6">
        <v>164</v>
      </c>
      <c r="B166" s="7" t="s">
        <v>336</v>
      </c>
      <c r="C166" s="7" t="s">
        <v>121</v>
      </c>
      <c r="D166" s="7" t="s">
        <v>124</v>
      </c>
      <c r="E166" s="7" t="s">
        <v>18</v>
      </c>
      <c r="F166" s="7" t="s">
        <v>44</v>
      </c>
      <c r="G166" s="7" t="s">
        <v>4</v>
      </c>
      <c r="H166" s="8" t="s">
        <v>659</v>
      </c>
    </row>
    <row r="167" spans="1:8" ht="30" x14ac:dyDescent="0.25">
      <c r="A167" s="6">
        <v>165</v>
      </c>
      <c r="B167" s="7" t="s">
        <v>336</v>
      </c>
      <c r="C167" s="7" t="s">
        <v>122</v>
      </c>
      <c r="D167" s="7" t="s">
        <v>127</v>
      </c>
      <c r="E167" s="7" t="s">
        <v>18</v>
      </c>
      <c r="F167" s="7" t="s">
        <v>44</v>
      </c>
      <c r="G167" s="7" t="s">
        <v>37</v>
      </c>
      <c r="H167" s="8" t="s">
        <v>660</v>
      </c>
    </row>
    <row r="168" spans="1:8" ht="60" x14ac:dyDescent="0.25">
      <c r="A168" s="6">
        <v>166</v>
      </c>
      <c r="B168" s="7" t="s">
        <v>336</v>
      </c>
      <c r="C168" s="7" t="s">
        <v>127</v>
      </c>
      <c r="D168" s="7" t="s">
        <v>76</v>
      </c>
      <c r="E168" s="7" t="s">
        <v>18</v>
      </c>
      <c r="F168" s="7" t="s">
        <v>44</v>
      </c>
      <c r="G168" s="7" t="s">
        <v>5</v>
      </c>
      <c r="H168" s="8" t="s">
        <v>661</v>
      </c>
    </row>
    <row r="169" spans="1:8" ht="45" x14ac:dyDescent="0.25">
      <c r="A169" s="6">
        <v>167</v>
      </c>
      <c r="B169" s="7" t="s">
        <v>371</v>
      </c>
      <c r="C169" s="7" t="s">
        <v>16</v>
      </c>
      <c r="D169" s="7" t="s">
        <v>372</v>
      </c>
      <c r="E169" s="7" t="s">
        <v>37</v>
      </c>
      <c r="F169" s="7" t="s">
        <v>19</v>
      </c>
      <c r="G169" s="7" t="s">
        <v>19</v>
      </c>
      <c r="H169" s="8" t="s">
        <v>662</v>
      </c>
    </row>
    <row r="170" spans="1:8" ht="45" x14ac:dyDescent="0.25">
      <c r="A170" s="6">
        <v>168</v>
      </c>
      <c r="B170" s="7" t="s">
        <v>371</v>
      </c>
      <c r="C170" s="7" t="s">
        <v>374</v>
      </c>
      <c r="D170" s="7" t="s">
        <v>24</v>
      </c>
      <c r="E170" s="7" t="s">
        <v>37</v>
      </c>
      <c r="F170" s="7" t="s">
        <v>19</v>
      </c>
      <c r="G170" s="7" t="s">
        <v>22</v>
      </c>
      <c r="H170" s="8" t="s">
        <v>663</v>
      </c>
    </row>
    <row r="171" spans="1:8" ht="45" x14ac:dyDescent="0.25">
      <c r="A171" s="6">
        <v>169</v>
      </c>
      <c r="B171" s="7" t="s">
        <v>371</v>
      </c>
      <c r="C171" s="7" t="s">
        <v>21</v>
      </c>
      <c r="D171" s="7" t="s">
        <v>233</v>
      </c>
      <c r="E171" s="7" t="s">
        <v>37</v>
      </c>
      <c r="F171" s="7" t="s">
        <v>19</v>
      </c>
      <c r="G171" s="7" t="s">
        <v>3</v>
      </c>
      <c r="H171" s="8" t="s">
        <v>664</v>
      </c>
    </row>
    <row r="172" spans="1:8" ht="45" x14ac:dyDescent="0.25">
      <c r="A172" s="6">
        <v>170</v>
      </c>
      <c r="B172" s="7" t="s">
        <v>371</v>
      </c>
      <c r="C172" s="7" t="s">
        <v>377</v>
      </c>
      <c r="D172" s="7" t="s">
        <v>27</v>
      </c>
      <c r="E172" s="7" t="s">
        <v>37</v>
      </c>
      <c r="F172" s="7" t="s">
        <v>19</v>
      </c>
      <c r="G172" s="7" t="s">
        <v>28</v>
      </c>
      <c r="H172" s="8" t="s">
        <v>665</v>
      </c>
    </row>
    <row r="173" spans="1:8" ht="45" x14ac:dyDescent="0.25">
      <c r="A173" s="6">
        <v>171</v>
      </c>
      <c r="B173" s="7" t="s">
        <v>371</v>
      </c>
      <c r="C173" s="7" t="s">
        <v>379</v>
      </c>
      <c r="D173" s="7" t="s">
        <v>380</v>
      </c>
      <c r="E173" s="7" t="s">
        <v>37</v>
      </c>
      <c r="F173" s="7" t="s">
        <v>19</v>
      </c>
      <c r="G173" s="7" t="s">
        <v>18</v>
      </c>
      <c r="H173" s="8" t="s">
        <v>666</v>
      </c>
    </row>
    <row r="174" spans="1:8" x14ac:dyDescent="0.25">
      <c r="A174" s="6">
        <v>172</v>
      </c>
      <c r="B174" s="7" t="s">
        <v>371</v>
      </c>
      <c r="C174" s="7" t="s">
        <v>382</v>
      </c>
      <c r="D174" s="7" t="s">
        <v>35</v>
      </c>
      <c r="E174" s="7" t="s">
        <v>37</v>
      </c>
      <c r="F174" s="7" t="s">
        <v>19</v>
      </c>
      <c r="G174" s="7" t="s">
        <v>4</v>
      </c>
      <c r="H174" s="8" t="s">
        <v>667</v>
      </c>
    </row>
    <row r="175" spans="1:8" ht="45" x14ac:dyDescent="0.25">
      <c r="A175" s="6">
        <v>173</v>
      </c>
      <c r="B175" s="7" t="s">
        <v>371</v>
      </c>
      <c r="C175" s="7" t="s">
        <v>33</v>
      </c>
      <c r="D175" s="7" t="s">
        <v>36</v>
      </c>
      <c r="E175" s="7" t="s">
        <v>37</v>
      </c>
      <c r="F175" s="7" t="s">
        <v>19</v>
      </c>
      <c r="G175" s="7" t="s">
        <v>37</v>
      </c>
      <c r="H175" s="8" t="s">
        <v>668</v>
      </c>
    </row>
    <row r="176" spans="1:8" ht="75" x14ac:dyDescent="0.25">
      <c r="A176" s="6">
        <v>174</v>
      </c>
      <c r="B176" s="7" t="s">
        <v>371</v>
      </c>
      <c r="C176" s="7" t="s">
        <v>36</v>
      </c>
      <c r="D176" s="7" t="s">
        <v>40</v>
      </c>
      <c r="E176" s="7" t="s">
        <v>37</v>
      </c>
      <c r="F176" s="7" t="s">
        <v>19</v>
      </c>
      <c r="G176" s="7" t="s">
        <v>5</v>
      </c>
      <c r="H176" s="8" t="s">
        <v>669</v>
      </c>
    </row>
    <row r="177" spans="1:8" ht="45" x14ac:dyDescent="0.25">
      <c r="A177" s="6">
        <v>175</v>
      </c>
      <c r="B177" s="7" t="s">
        <v>371</v>
      </c>
      <c r="C177" s="7" t="s">
        <v>40</v>
      </c>
      <c r="D177" s="7" t="s">
        <v>386</v>
      </c>
      <c r="E177" s="7" t="s">
        <v>37</v>
      </c>
      <c r="F177" s="7" t="s">
        <v>19</v>
      </c>
      <c r="G177" s="7" t="s">
        <v>44</v>
      </c>
      <c r="H177" s="8" t="s">
        <v>670</v>
      </c>
    </row>
    <row r="178" spans="1:8" ht="45" x14ac:dyDescent="0.25">
      <c r="A178" s="6">
        <v>176</v>
      </c>
      <c r="B178" s="7" t="s">
        <v>371</v>
      </c>
      <c r="C178" s="7" t="s">
        <v>43</v>
      </c>
      <c r="D178" s="7" t="s">
        <v>47</v>
      </c>
      <c r="E178" s="7" t="s">
        <v>37</v>
      </c>
      <c r="F178" s="7" t="s">
        <v>22</v>
      </c>
      <c r="G178" s="7" t="s">
        <v>22</v>
      </c>
      <c r="H178" s="8" t="s">
        <v>671</v>
      </c>
    </row>
    <row r="179" spans="1:8" ht="45" x14ac:dyDescent="0.25">
      <c r="A179" s="6">
        <v>177</v>
      </c>
      <c r="B179" s="7" t="s">
        <v>371</v>
      </c>
      <c r="C179" s="7" t="s">
        <v>47</v>
      </c>
      <c r="D179" s="7" t="s">
        <v>52</v>
      </c>
      <c r="E179" s="7" t="s">
        <v>37</v>
      </c>
      <c r="F179" s="7" t="s">
        <v>22</v>
      </c>
      <c r="G179" s="7" t="s">
        <v>3</v>
      </c>
      <c r="H179" s="8" t="s">
        <v>672</v>
      </c>
    </row>
    <row r="180" spans="1:8" ht="30" x14ac:dyDescent="0.25">
      <c r="A180" s="6">
        <v>178</v>
      </c>
      <c r="B180" s="7" t="s">
        <v>371</v>
      </c>
      <c r="C180" s="7" t="s">
        <v>52</v>
      </c>
      <c r="D180" s="7" t="s">
        <v>247</v>
      </c>
      <c r="E180" s="7" t="s">
        <v>37</v>
      </c>
      <c r="F180" s="7" t="s">
        <v>22</v>
      </c>
      <c r="G180" s="7" t="s">
        <v>28</v>
      </c>
      <c r="H180" s="8" t="s">
        <v>673</v>
      </c>
    </row>
    <row r="181" spans="1:8" ht="75" x14ac:dyDescent="0.25">
      <c r="A181" s="6">
        <v>179</v>
      </c>
      <c r="B181" s="7" t="s">
        <v>371</v>
      </c>
      <c r="C181" s="7" t="s">
        <v>247</v>
      </c>
      <c r="D181" s="7" t="s">
        <v>320</v>
      </c>
      <c r="E181" s="7" t="s">
        <v>37</v>
      </c>
      <c r="F181" s="7" t="s">
        <v>22</v>
      </c>
      <c r="G181" s="7" t="s">
        <v>18</v>
      </c>
      <c r="H181" s="8" t="s">
        <v>674</v>
      </c>
    </row>
    <row r="182" spans="1:8" ht="30" x14ac:dyDescent="0.25">
      <c r="A182" s="6">
        <v>180</v>
      </c>
      <c r="B182" s="7" t="s">
        <v>371</v>
      </c>
      <c r="C182" s="7" t="s">
        <v>56</v>
      </c>
      <c r="D182" s="7" t="s">
        <v>392</v>
      </c>
      <c r="E182" s="7" t="s">
        <v>37</v>
      </c>
      <c r="F182" s="7" t="s">
        <v>22</v>
      </c>
      <c r="G182" s="7" t="s">
        <v>4</v>
      </c>
      <c r="H182" s="8" t="s">
        <v>675</v>
      </c>
    </row>
    <row r="183" spans="1:8" ht="60" x14ac:dyDescent="0.25">
      <c r="A183" s="6">
        <v>181</v>
      </c>
      <c r="B183" s="7" t="s">
        <v>371</v>
      </c>
      <c r="C183" s="7" t="s">
        <v>58</v>
      </c>
      <c r="D183" s="7" t="s">
        <v>394</v>
      </c>
      <c r="E183" s="7" t="s">
        <v>37</v>
      </c>
      <c r="F183" s="7" t="s">
        <v>22</v>
      </c>
      <c r="G183" s="7" t="s">
        <v>37</v>
      </c>
      <c r="H183" s="8" t="s">
        <v>676</v>
      </c>
    </row>
    <row r="184" spans="1:8" ht="45" x14ac:dyDescent="0.25">
      <c r="A184" s="6">
        <v>182</v>
      </c>
      <c r="B184" s="7" t="s">
        <v>371</v>
      </c>
      <c r="C184" s="7" t="s">
        <v>61</v>
      </c>
      <c r="D184" s="7" t="s">
        <v>396</v>
      </c>
      <c r="E184" s="7" t="s">
        <v>37</v>
      </c>
      <c r="F184" s="7" t="s">
        <v>22</v>
      </c>
      <c r="G184" s="7" t="s">
        <v>5</v>
      </c>
      <c r="H184" s="8" t="s">
        <v>677</v>
      </c>
    </row>
    <row r="185" spans="1:8" ht="30" x14ac:dyDescent="0.25">
      <c r="A185" s="6">
        <v>183</v>
      </c>
      <c r="B185" s="7" t="s">
        <v>371</v>
      </c>
      <c r="C185" s="7" t="s">
        <v>253</v>
      </c>
      <c r="D185" s="7" t="s">
        <v>65</v>
      </c>
      <c r="E185" s="7" t="s">
        <v>37</v>
      </c>
      <c r="F185" s="7" t="s">
        <v>22</v>
      </c>
      <c r="G185" s="7" t="s">
        <v>44</v>
      </c>
      <c r="H185" s="8" t="s">
        <v>678</v>
      </c>
    </row>
    <row r="186" spans="1:8" x14ac:dyDescent="0.25">
      <c r="A186" s="6">
        <v>184</v>
      </c>
      <c r="B186" s="7" t="s">
        <v>371</v>
      </c>
      <c r="C186" s="7" t="s">
        <v>399</v>
      </c>
      <c r="D186" s="7" t="s">
        <v>69</v>
      </c>
      <c r="E186" s="7" t="s">
        <v>37</v>
      </c>
      <c r="F186" s="7" t="s">
        <v>22</v>
      </c>
      <c r="G186" s="7" t="s">
        <v>19</v>
      </c>
      <c r="H186" s="8" t="s">
        <v>679</v>
      </c>
    </row>
    <row r="187" spans="1:8" ht="45" x14ac:dyDescent="0.25">
      <c r="A187" s="6">
        <v>185</v>
      </c>
      <c r="B187" s="7" t="s">
        <v>371</v>
      </c>
      <c r="C187" s="7" t="s">
        <v>401</v>
      </c>
      <c r="D187" s="7" t="s">
        <v>70</v>
      </c>
      <c r="E187" s="7" t="s">
        <v>37</v>
      </c>
      <c r="F187" s="7" t="s">
        <v>3</v>
      </c>
      <c r="G187" s="7" t="s">
        <v>3</v>
      </c>
      <c r="H187" s="8" t="s">
        <v>680</v>
      </c>
    </row>
    <row r="188" spans="1:8" ht="45" x14ac:dyDescent="0.25">
      <c r="A188" s="6">
        <v>186</v>
      </c>
      <c r="B188" s="7" t="s">
        <v>371</v>
      </c>
      <c r="C188" s="7" t="s">
        <v>258</v>
      </c>
      <c r="D188" s="7" t="s">
        <v>259</v>
      </c>
      <c r="E188" s="7" t="s">
        <v>37</v>
      </c>
      <c r="F188" s="7" t="s">
        <v>3</v>
      </c>
      <c r="G188" s="7" t="s">
        <v>28</v>
      </c>
      <c r="H188" s="8" t="s">
        <v>681</v>
      </c>
    </row>
    <row r="189" spans="1:8" ht="75" x14ac:dyDescent="0.25">
      <c r="A189" s="6">
        <v>187</v>
      </c>
      <c r="B189" s="7" t="s">
        <v>371</v>
      </c>
      <c r="C189" s="7" t="s">
        <v>404</v>
      </c>
      <c r="D189" s="7" t="s">
        <v>261</v>
      </c>
      <c r="E189" s="7" t="s">
        <v>37</v>
      </c>
      <c r="F189" s="7" t="s">
        <v>3</v>
      </c>
      <c r="G189" s="7" t="s">
        <v>18</v>
      </c>
      <c r="H189" s="8" t="s">
        <v>682</v>
      </c>
    </row>
    <row r="190" spans="1:8" x14ac:dyDescent="0.25">
      <c r="A190" s="6">
        <v>188</v>
      </c>
      <c r="B190" s="7" t="s">
        <v>371</v>
      </c>
      <c r="C190" s="7" t="s">
        <v>406</v>
      </c>
      <c r="D190" s="7" t="s">
        <v>76</v>
      </c>
      <c r="E190" s="7" t="s">
        <v>37</v>
      </c>
      <c r="F190" s="7" t="s">
        <v>3</v>
      </c>
      <c r="G190" s="7" t="s">
        <v>4</v>
      </c>
      <c r="H190" s="8" t="s">
        <v>683</v>
      </c>
    </row>
    <row r="191" spans="1:8" x14ac:dyDescent="0.25">
      <c r="A191" s="6">
        <v>189</v>
      </c>
      <c r="B191" s="7" t="s">
        <v>408</v>
      </c>
      <c r="C191" s="7" t="s">
        <v>16</v>
      </c>
      <c r="D191" s="7" t="s">
        <v>270</v>
      </c>
      <c r="E191" s="7" t="s">
        <v>5</v>
      </c>
      <c r="F191" s="7" t="s">
        <v>3</v>
      </c>
      <c r="G191" s="7" t="s">
        <v>4</v>
      </c>
      <c r="H191" s="8" t="s">
        <v>684</v>
      </c>
    </row>
    <row r="192" spans="1:8" ht="30" x14ac:dyDescent="0.25">
      <c r="A192" s="6">
        <v>190</v>
      </c>
      <c r="B192" s="7" t="s">
        <v>408</v>
      </c>
      <c r="C192" s="7" t="s">
        <v>270</v>
      </c>
      <c r="D192" s="7" t="s">
        <v>24</v>
      </c>
      <c r="E192" s="7" t="s">
        <v>5</v>
      </c>
      <c r="F192" s="7" t="s">
        <v>3</v>
      </c>
      <c r="G192" s="7" t="s">
        <v>37</v>
      </c>
      <c r="H192" s="8" t="s">
        <v>685</v>
      </c>
    </row>
    <row r="193" spans="1:8" x14ac:dyDescent="0.25">
      <c r="A193" s="6">
        <v>191</v>
      </c>
      <c r="B193" s="7" t="s">
        <v>408</v>
      </c>
      <c r="C193" s="7" t="s">
        <v>21</v>
      </c>
      <c r="D193" s="7" t="s">
        <v>85</v>
      </c>
      <c r="E193" s="7" t="s">
        <v>5</v>
      </c>
      <c r="F193" s="7" t="s">
        <v>3</v>
      </c>
      <c r="G193" s="7" t="s">
        <v>5</v>
      </c>
      <c r="H193" s="8" t="s">
        <v>686</v>
      </c>
    </row>
    <row r="194" spans="1:8" ht="45" x14ac:dyDescent="0.25">
      <c r="A194" s="6">
        <v>192</v>
      </c>
      <c r="B194" s="7" t="s">
        <v>408</v>
      </c>
      <c r="C194" s="7" t="s">
        <v>85</v>
      </c>
      <c r="D194" s="7" t="s">
        <v>412</v>
      </c>
      <c r="E194" s="7" t="s">
        <v>5</v>
      </c>
      <c r="F194" s="7" t="s">
        <v>3</v>
      </c>
      <c r="G194" s="7" t="s">
        <v>44</v>
      </c>
      <c r="H194" s="8" t="s">
        <v>687</v>
      </c>
    </row>
    <row r="195" spans="1:8" x14ac:dyDescent="0.25">
      <c r="A195" s="6">
        <v>193</v>
      </c>
      <c r="B195" s="7" t="s">
        <v>408</v>
      </c>
      <c r="C195" s="7" t="s">
        <v>86</v>
      </c>
      <c r="D195" s="7" t="s">
        <v>276</v>
      </c>
      <c r="E195" s="7" t="s">
        <v>5</v>
      </c>
      <c r="F195" s="7" t="s">
        <v>3</v>
      </c>
      <c r="G195" s="7" t="s">
        <v>19</v>
      </c>
      <c r="H195" s="8" t="s">
        <v>688</v>
      </c>
    </row>
    <row r="196" spans="1:8" ht="45" x14ac:dyDescent="0.25">
      <c r="A196" s="6">
        <v>194</v>
      </c>
      <c r="B196" s="7" t="s">
        <v>408</v>
      </c>
      <c r="C196" s="7" t="s">
        <v>274</v>
      </c>
      <c r="D196" s="7" t="s">
        <v>91</v>
      </c>
      <c r="E196" s="7" t="s">
        <v>5</v>
      </c>
      <c r="F196" s="7" t="s">
        <v>3</v>
      </c>
      <c r="G196" s="7" t="s">
        <v>22</v>
      </c>
      <c r="H196" s="8" t="s">
        <v>689</v>
      </c>
    </row>
    <row r="197" spans="1:8" ht="45" x14ac:dyDescent="0.25">
      <c r="A197" s="6">
        <v>195</v>
      </c>
      <c r="B197" s="7" t="s">
        <v>408</v>
      </c>
      <c r="C197" s="7" t="s">
        <v>91</v>
      </c>
      <c r="D197" s="7" t="s">
        <v>280</v>
      </c>
      <c r="E197" s="7" t="s">
        <v>5</v>
      </c>
      <c r="F197" s="7" t="s">
        <v>28</v>
      </c>
      <c r="G197" s="7" t="s">
        <v>28</v>
      </c>
      <c r="H197" s="8" t="s">
        <v>690</v>
      </c>
    </row>
    <row r="198" spans="1:8" ht="30" x14ac:dyDescent="0.25">
      <c r="A198" s="6">
        <v>196</v>
      </c>
      <c r="B198" s="7" t="s">
        <v>408</v>
      </c>
      <c r="C198" s="7" t="s">
        <v>95</v>
      </c>
      <c r="D198" s="7" t="s">
        <v>98</v>
      </c>
      <c r="E198" s="7" t="s">
        <v>5</v>
      </c>
      <c r="F198" s="7" t="s">
        <v>28</v>
      </c>
      <c r="G198" s="7" t="s">
        <v>18</v>
      </c>
      <c r="H198" s="8" t="s">
        <v>691</v>
      </c>
    </row>
    <row r="199" spans="1:8" x14ac:dyDescent="0.25">
      <c r="A199" s="6">
        <v>197</v>
      </c>
      <c r="B199" s="7" t="s">
        <v>408</v>
      </c>
      <c r="C199" s="7" t="s">
        <v>418</v>
      </c>
      <c r="D199" s="7" t="s">
        <v>101</v>
      </c>
      <c r="E199" s="7" t="s">
        <v>5</v>
      </c>
      <c r="F199" s="7" t="s">
        <v>28</v>
      </c>
      <c r="G199" s="7" t="s">
        <v>4</v>
      </c>
      <c r="H199" s="8" t="s">
        <v>692</v>
      </c>
    </row>
    <row r="200" spans="1:8" ht="45" x14ac:dyDescent="0.25">
      <c r="A200" s="6">
        <v>198</v>
      </c>
      <c r="B200" s="7" t="s">
        <v>408</v>
      </c>
      <c r="C200" s="7" t="s">
        <v>99</v>
      </c>
      <c r="D200" s="7" t="s">
        <v>104</v>
      </c>
      <c r="E200" s="7" t="s">
        <v>5</v>
      </c>
      <c r="F200" s="7" t="s">
        <v>28</v>
      </c>
      <c r="G200" s="7" t="s">
        <v>37</v>
      </c>
      <c r="H200" s="8" t="s">
        <v>693</v>
      </c>
    </row>
    <row r="201" spans="1:8" ht="30" x14ac:dyDescent="0.25">
      <c r="A201" s="6"/>
      <c r="B201" s="7"/>
      <c r="C201" s="7"/>
      <c r="D201" s="7"/>
      <c r="E201" s="7"/>
      <c r="F201" s="7"/>
      <c r="G201" s="7"/>
      <c r="H201" s="8" t="s">
        <v>694</v>
      </c>
    </row>
    <row r="202" spans="1:8" ht="45" x14ac:dyDescent="0.25">
      <c r="A202" s="6">
        <v>199</v>
      </c>
      <c r="B202" s="7" t="s">
        <v>408</v>
      </c>
      <c r="C202" s="7" t="s">
        <v>422</v>
      </c>
      <c r="D202" s="7" t="s">
        <v>107</v>
      </c>
      <c r="E202" s="7" t="s">
        <v>5</v>
      </c>
      <c r="F202" s="7" t="s">
        <v>28</v>
      </c>
      <c r="G202" s="7" t="s">
        <v>5</v>
      </c>
      <c r="H202" s="8" t="s">
        <v>695</v>
      </c>
    </row>
    <row r="203" spans="1:8" ht="30" x14ac:dyDescent="0.25">
      <c r="A203" s="6">
        <v>200</v>
      </c>
      <c r="B203" s="7" t="s">
        <v>408</v>
      </c>
      <c r="C203" s="7" t="s">
        <v>424</v>
      </c>
      <c r="D203" s="7" t="s">
        <v>425</v>
      </c>
      <c r="E203" s="7" t="s">
        <v>5</v>
      </c>
      <c r="F203" s="7" t="s">
        <v>28</v>
      </c>
      <c r="G203" s="7" t="s">
        <v>44</v>
      </c>
      <c r="H203" s="8" t="s">
        <v>696</v>
      </c>
    </row>
    <row r="204" spans="1:8" ht="30" x14ac:dyDescent="0.25">
      <c r="A204" s="6">
        <v>201</v>
      </c>
      <c r="B204" s="7" t="s">
        <v>408</v>
      </c>
      <c r="C204" s="7" t="s">
        <v>427</v>
      </c>
      <c r="D204" s="7" t="s">
        <v>428</v>
      </c>
      <c r="E204" s="7" t="s">
        <v>5</v>
      </c>
      <c r="F204" s="7" t="s">
        <v>28</v>
      </c>
      <c r="G204" s="7" t="s">
        <v>19</v>
      </c>
      <c r="H204" s="8" t="s">
        <v>696</v>
      </c>
    </row>
    <row r="205" spans="1:8" ht="45" x14ac:dyDescent="0.25">
      <c r="A205" s="6">
        <v>202</v>
      </c>
      <c r="B205" s="7" t="s">
        <v>408</v>
      </c>
      <c r="C205" s="7" t="s">
        <v>428</v>
      </c>
      <c r="D205" s="7" t="s">
        <v>429</v>
      </c>
      <c r="E205" s="7" t="s">
        <v>5</v>
      </c>
      <c r="F205" s="7" t="s">
        <v>28</v>
      </c>
      <c r="G205" s="7" t="s">
        <v>22</v>
      </c>
      <c r="H205" s="8" t="s">
        <v>697</v>
      </c>
    </row>
    <row r="206" spans="1:8" ht="30" x14ac:dyDescent="0.25">
      <c r="A206" s="6">
        <v>203</v>
      </c>
      <c r="B206" s="7" t="s">
        <v>408</v>
      </c>
      <c r="C206" s="7" t="s">
        <v>114</v>
      </c>
      <c r="D206" s="7" t="s">
        <v>290</v>
      </c>
      <c r="E206" s="7" t="s">
        <v>5</v>
      </c>
      <c r="F206" s="7" t="s">
        <v>28</v>
      </c>
      <c r="G206" s="7" t="s">
        <v>3</v>
      </c>
      <c r="H206" s="8" t="s">
        <v>698</v>
      </c>
    </row>
    <row r="207" spans="1:8" ht="30" x14ac:dyDescent="0.25">
      <c r="A207" s="6">
        <v>204</v>
      </c>
      <c r="B207" s="7" t="s">
        <v>408</v>
      </c>
      <c r="C207" s="7" t="s">
        <v>117</v>
      </c>
      <c r="D207" s="7" t="s">
        <v>224</v>
      </c>
      <c r="E207" s="7" t="s">
        <v>5</v>
      </c>
      <c r="F207" s="7" t="s">
        <v>18</v>
      </c>
      <c r="G207" s="7" t="s">
        <v>18</v>
      </c>
      <c r="H207" s="8" t="s">
        <v>699</v>
      </c>
    </row>
    <row r="208" spans="1:8" x14ac:dyDescent="0.25">
      <c r="A208" s="6">
        <v>205</v>
      </c>
      <c r="B208" s="7" t="s">
        <v>408</v>
      </c>
      <c r="C208" s="7" t="s">
        <v>121</v>
      </c>
      <c r="D208" s="7" t="s">
        <v>122</v>
      </c>
      <c r="E208" s="7" t="s">
        <v>5</v>
      </c>
      <c r="F208" s="7" t="s">
        <v>18</v>
      </c>
      <c r="G208" s="7" t="s">
        <v>4</v>
      </c>
      <c r="H208" s="8" t="s">
        <v>700</v>
      </c>
    </row>
    <row r="209" spans="1:8" ht="30" x14ac:dyDescent="0.25">
      <c r="A209" s="6">
        <v>206</v>
      </c>
      <c r="B209" s="7" t="s">
        <v>408</v>
      </c>
      <c r="C209" s="7" t="s">
        <v>124</v>
      </c>
      <c r="D209" s="7" t="s">
        <v>127</v>
      </c>
      <c r="E209" s="7" t="s">
        <v>5</v>
      </c>
      <c r="F209" s="7" t="s">
        <v>18</v>
      </c>
      <c r="G209" s="7" t="s">
        <v>37</v>
      </c>
      <c r="H209" s="8" t="s">
        <v>701</v>
      </c>
    </row>
    <row r="210" spans="1:8" ht="30" x14ac:dyDescent="0.25">
      <c r="A210" s="6">
        <v>207</v>
      </c>
      <c r="B210" s="7" t="s">
        <v>408</v>
      </c>
      <c r="C210" s="7" t="s">
        <v>127</v>
      </c>
      <c r="D210" s="7" t="s">
        <v>76</v>
      </c>
      <c r="E210" s="7" t="s">
        <v>5</v>
      </c>
      <c r="F210" s="7" t="s">
        <v>18</v>
      </c>
      <c r="G210" s="7" t="s">
        <v>5</v>
      </c>
      <c r="H210" s="8" t="s">
        <v>702</v>
      </c>
    </row>
    <row r="211" spans="1:8" x14ac:dyDescent="0.25">
      <c r="A211" s="6">
        <v>208</v>
      </c>
      <c r="B211" s="7" t="s">
        <v>436</v>
      </c>
      <c r="C211" s="7" t="s">
        <v>266</v>
      </c>
      <c r="D211" s="7" t="s">
        <v>131</v>
      </c>
      <c r="E211" s="7" t="s">
        <v>5</v>
      </c>
      <c r="F211" s="7" t="s">
        <v>18</v>
      </c>
      <c r="G211" s="7" t="s">
        <v>44</v>
      </c>
      <c r="H211" s="8" t="s">
        <v>703</v>
      </c>
    </row>
    <row r="212" spans="1:8" ht="30" x14ac:dyDescent="0.25">
      <c r="A212" s="6">
        <v>209</v>
      </c>
      <c r="B212" s="7" t="s">
        <v>436</v>
      </c>
      <c r="C212" s="7" t="s">
        <v>131</v>
      </c>
      <c r="D212" s="7" t="s">
        <v>135</v>
      </c>
      <c r="E212" s="7" t="s">
        <v>5</v>
      </c>
      <c r="F212" s="7" t="s">
        <v>18</v>
      </c>
      <c r="G212" s="7" t="s">
        <v>19</v>
      </c>
      <c r="H212" s="8" t="s">
        <v>704</v>
      </c>
    </row>
    <row r="213" spans="1:8" ht="30" x14ac:dyDescent="0.25">
      <c r="A213" s="6">
        <v>210</v>
      </c>
      <c r="B213" s="7" t="s">
        <v>436</v>
      </c>
      <c r="C213" s="7" t="s">
        <v>135</v>
      </c>
      <c r="D213" s="7" t="s">
        <v>136</v>
      </c>
      <c r="E213" s="7" t="s">
        <v>5</v>
      </c>
      <c r="F213" s="7" t="s">
        <v>18</v>
      </c>
      <c r="G213" s="7" t="s">
        <v>22</v>
      </c>
      <c r="H213" s="8" t="s">
        <v>705</v>
      </c>
    </row>
    <row r="214" spans="1:8" x14ac:dyDescent="0.25">
      <c r="A214" s="6">
        <v>211</v>
      </c>
      <c r="B214" s="7" t="s">
        <v>436</v>
      </c>
      <c r="C214" s="7" t="s">
        <v>440</v>
      </c>
      <c r="D214" s="7" t="s">
        <v>140</v>
      </c>
      <c r="E214" s="7" t="s">
        <v>5</v>
      </c>
      <c r="F214" s="7" t="s">
        <v>18</v>
      </c>
      <c r="G214" s="7" t="s">
        <v>3</v>
      </c>
      <c r="H214" s="8" t="s">
        <v>706</v>
      </c>
    </row>
    <row r="215" spans="1:8" x14ac:dyDescent="0.25">
      <c r="A215" s="6">
        <v>212</v>
      </c>
      <c r="B215" s="7" t="s">
        <v>436</v>
      </c>
      <c r="C215" s="7" t="s">
        <v>31</v>
      </c>
      <c r="D215" s="7" t="s">
        <v>442</v>
      </c>
      <c r="E215" s="7" t="s">
        <v>5</v>
      </c>
      <c r="F215" s="7" t="s">
        <v>18</v>
      </c>
      <c r="G215" s="7" t="s">
        <v>28</v>
      </c>
      <c r="H215" s="8" t="s">
        <v>707</v>
      </c>
    </row>
    <row r="216" spans="1:8" x14ac:dyDescent="0.25">
      <c r="A216" s="6">
        <v>213</v>
      </c>
      <c r="B216" s="7" t="s">
        <v>436</v>
      </c>
      <c r="C216" s="7" t="s">
        <v>442</v>
      </c>
      <c r="D216" s="7" t="s">
        <v>143</v>
      </c>
      <c r="E216" s="7" t="s">
        <v>5</v>
      </c>
      <c r="F216" s="7" t="s">
        <v>4</v>
      </c>
      <c r="G216" s="7" t="s">
        <v>4</v>
      </c>
      <c r="H216" s="8" t="s">
        <v>708</v>
      </c>
    </row>
    <row r="217" spans="1:8" ht="30" x14ac:dyDescent="0.25">
      <c r="A217" s="6">
        <v>214</v>
      </c>
      <c r="B217" s="7" t="s">
        <v>436</v>
      </c>
      <c r="C217" s="7" t="s">
        <v>145</v>
      </c>
      <c r="D217" s="7" t="s">
        <v>146</v>
      </c>
      <c r="E217" s="7" t="s">
        <v>5</v>
      </c>
      <c r="F217" s="7" t="s">
        <v>4</v>
      </c>
      <c r="G217" s="7" t="s">
        <v>37</v>
      </c>
      <c r="H217" s="8" t="s">
        <v>709</v>
      </c>
    </row>
    <row r="218" spans="1:8" x14ac:dyDescent="0.25">
      <c r="A218" s="6">
        <v>215</v>
      </c>
      <c r="B218" s="7" t="s">
        <v>436</v>
      </c>
      <c r="C218" s="7" t="s">
        <v>146</v>
      </c>
      <c r="D218" s="7" t="s">
        <v>446</v>
      </c>
      <c r="E218" s="7" t="s">
        <v>5</v>
      </c>
      <c r="F218" s="7" t="s">
        <v>4</v>
      </c>
      <c r="G218" s="7" t="s">
        <v>5</v>
      </c>
      <c r="H218" s="8" t="s">
        <v>710</v>
      </c>
    </row>
    <row r="219" spans="1:8" ht="30" x14ac:dyDescent="0.25">
      <c r="A219" s="6">
        <v>216</v>
      </c>
      <c r="B219" s="7" t="s">
        <v>436</v>
      </c>
      <c r="C219" s="7" t="s">
        <v>314</v>
      </c>
      <c r="D219" s="7" t="s">
        <v>151</v>
      </c>
      <c r="E219" s="7" t="s">
        <v>5</v>
      </c>
      <c r="F219" s="7" t="s">
        <v>4</v>
      </c>
      <c r="G219" s="7" t="s">
        <v>44</v>
      </c>
      <c r="H219" s="8" t="s">
        <v>711</v>
      </c>
    </row>
    <row r="220" spans="1:8" ht="30" x14ac:dyDescent="0.25">
      <c r="A220" s="6">
        <v>217</v>
      </c>
      <c r="B220" s="7" t="s">
        <v>436</v>
      </c>
      <c r="C220" s="7" t="s">
        <v>317</v>
      </c>
      <c r="D220" s="7" t="s">
        <v>153</v>
      </c>
      <c r="E220" s="7" t="s">
        <v>5</v>
      </c>
      <c r="F220" s="7" t="s">
        <v>4</v>
      </c>
      <c r="G220" s="7" t="s">
        <v>19</v>
      </c>
      <c r="H220" s="8" t="s">
        <v>712</v>
      </c>
    </row>
    <row r="221" spans="1:8" ht="30" x14ac:dyDescent="0.25">
      <c r="A221" s="6">
        <v>218</v>
      </c>
      <c r="B221" s="7" t="s">
        <v>436</v>
      </c>
      <c r="C221" s="7" t="s">
        <v>153</v>
      </c>
      <c r="D221" s="7" t="s">
        <v>155</v>
      </c>
      <c r="E221" s="7" t="s">
        <v>5</v>
      </c>
      <c r="F221" s="7" t="s">
        <v>4</v>
      </c>
      <c r="G221" s="7" t="s">
        <v>22</v>
      </c>
      <c r="H221" s="8" t="s">
        <v>713</v>
      </c>
    </row>
    <row r="222" spans="1:8" x14ac:dyDescent="0.25">
      <c r="A222" s="6">
        <v>219</v>
      </c>
      <c r="B222" s="7" t="s">
        <v>436</v>
      </c>
      <c r="C222" s="7" t="s">
        <v>155</v>
      </c>
      <c r="D222" s="7" t="s">
        <v>56</v>
      </c>
      <c r="E222" s="7" t="s">
        <v>5</v>
      </c>
      <c r="F222" s="7" t="s">
        <v>4</v>
      </c>
      <c r="G222" s="7" t="s">
        <v>3</v>
      </c>
      <c r="H222" s="8" t="s">
        <v>714</v>
      </c>
    </row>
    <row r="223" spans="1:8" ht="30" x14ac:dyDescent="0.25">
      <c r="A223" s="6">
        <v>220</v>
      </c>
      <c r="B223" s="7" t="s">
        <v>436</v>
      </c>
      <c r="C223" s="7" t="s">
        <v>320</v>
      </c>
      <c r="D223" s="7" t="s">
        <v>161</v>
      </c>
      <c r="E223" s="7" t="s">
        <v>5</v>
      </c>
      <c r="F223" s="7" t="s">
        <v>4</v>
      </c>
      <c r="G223" s="7" t="s">
        <v>28</v>
      </c>
      <c r="H223" s="8" t="s">
        <v>715</v>
      </c>
    </row>
    <row r="224" spans="1:8" x14ac:dyDescent="0.25">
      <c r="A224" s="6">
        <v>221</v>
      </c>
      <c r="B224" s="7" t="s">
        <v>436</v>
      </c>
      <c r="C224" s="7" t="s">
        <v>159</v>
      </c>
      <c r="D224" s="7" t="s">
        <v>325</v>
      </c>
      <c r="E224" s="7" t="s">
        <v>5</v>
      </c>
      <c r="F224" s="7" t="s">
        <v>4</v>
      </c>
      <c r="G224" s="7" t="s">
        <v>18</v>
      </c>
      <c r="H224" s="8" t="s">
        <v>716</v>
      </c>
    </row>
    <row r="225" spans="1:8" x14ac:dyDescent="0.25">
      <c r="A225" s="6">
        <v>222</v>
      </c>
      <c r="B225" s="7" t="s">
        <v>436</v>
      </c>
      <c r="C225" s="7" t="s">
        <v>325</v>
      </c>
      <c r="D225" s="7" t="s">
        <v>166</v>
      </c>
      <c r="E225" s="7" t="s">
        <v>5</v>
      </c>
      <c r="F225" s="7" t="s">
        <v>37</v>
      </c>
      <c r="G225" s="7" t="s">
        <v>37</v>
      </c>
      <c r="H225" s="8" t="s">
        <v>717</v>
      </c>
    </row>
    <row r="226" spans="1:8" x14ac:dyDescent="0.25">
      <c r="A226" s="6">
        <v>223</v>
      </c>
      <c r="B226" s="7" t="s">
        <v>436</v>
      </c>
      <c r="C226" s="7" t="s">
        <v>455</v>
      </c>
      <c r="D226" s="7" t="s">
        <v>169</v>
      </c>
      <c r="E226" s="7" t="s">
        <v>5</v>
      </c>
      <c r="F226" s="7" t="s">
        <v>37</v>
      </c>
      <c r="G226" s="7" t="s">
        <v>5</v>
      </c>
      <c r="H226" s="8" t="s">
        <v>718</v>
      </c>
    </row>
    <row r="227" spans="1:8" x14ac:dyDescent="0.25">
      <c r="A227" s="6">
        <v>224</v>
      </c>
      <c r="B227" s="7" t="s">
        <v>436</v>
      </c>
      <c r="C227" s="7" t="s">
        <v>457</v>
      </c>
      <c r="D227" s="7" t="s">
        <v>172</v>
      </c>
      <c r="E227" s="7" t="s">
        <v>5</v>
      </c>
      <c r="F227" s="7" t="s">
        <v>37</v>
      </c>
      <c r="G227" s="7" t="s">
        <v>44</v>
      </c>
      <c r="H227" s="8" t="s">
        <v>719</v>
      </c>
    </row>
    <row r="228" spans="1:8" x14ac:dyDescent="0.25">
      <c r="A228" s="6">
        <v>225</v>
      </c>
      <c r="B228" s="7" t="s">
        <v>436</v>
      </c>
      <c r="C228" s="7" t="s">
        <v>172</v>
      </c>
      <c r="D228" s="7" t="s">
        <v>330</v>
      </c>
      <c r="E228" s="7" t="s">
        <v>5</v>
      </c>
      <c r="F228" s="7" t="s">
        <v>37</v>
      </c>
      <c r="G228" s="7" t="s">
        <v>19</v>
      </c>
      <c r="H228" s="8" t="s">
        <v>720</v>
      </c>
    </row>
    <row r="229" spans="1:8" x14ac:dyDescent="0.25">
      <c r="A229" s="6">
        <v>226</v>
      </c>
      <c r="B229" s="7" t="s">
        <v>436</v>
      </c>
      <c r="C229" s="7" t="s">
        <v>173</v>
      </c>
      <c r="D229" s="7" t="s">
        <v>176</v>
      </c>
      <c r="E229" s="7" t="s">
        <v>5</v>
      </c>
      <c r="F229" s="7" t="s">
        <v>37</v>
      </c>
      <c r="G229" s="7" t="s">
        <v>22</v>
      </c>
      <c r="H229" s="8" t="s">
        <v>721</v>
      </c>
    </row>
    <row r="230" spans="1:8" x14ac:dyDescent="0.25">
      <c r="A230" s="6">
        <v>227</v>
      </c>
      <c r="B230" s="7" t="s">
        <v>436</v>
      </c>
      <c r="C230" s="7" t="s">
        <v>176</v>
      </c>
      <c r="D230" s="7" t="s">
        <v>178</v>
      </c>
      <c r="E230" s="7" t="s">
        <v>5</v>
      </c>
      <c r="F230" s="7" t="s">
        <v>37</v>
      </c>
      <c r="G230" s="7" t="s">
        <v>3</v>
      </c>
      <c r="H230" s="8" t="s">
        <v>722</v>
      </c>
    </row>
    <row r="231" spans="1:8" ht="30" x14ac:dyDescent="0.25">
      <c r="A231" s="6">
        <v>228</v>
      </c>
      <c r="B231" s="7" t="s">
        <v>436</v>
      </c>
      <c r="C231" s="7" t="s">
        <v>462</v>
      </c>
      <c r="D231" s="7" t="s">
        <v>76</v>
      </c>
      <c r="E231" s="7" t="s">
        <v>5</v>
      </c>
      <c r="F231" s="7" t="s">
        <v>37</v>
      </c>
      <c r="G231" s="7" t="s">
        <v>28</v>
      </c>
      <c r="H231" s="8" t="s">
        <v>723</v>
      </c>
    </row>
    <row r="232" spans="1:8" ht="75" x14ac:dyDescent="0.25">
      <c r="A232" s="6">
        <v>229</v>
      </c>
      <c r="B232" s="7" t="s">
        <v>464</v>
      </c>
      <c r="C232" s="7" t="s">
        <v>16</v>
      </c>
      <c r="D232" s="7" t="s">
        <v>182</v>
      </c>
      <c r="E232" s="7" t="s">
        <v>37</v>
      </c>
      <c r="F232" s="7" t="s">
        <v>37</v>
      </c>
      <c r="G232" s="7" t="s">
        <v>28</v>
      </c>
      <c r="H232" s="8" t="s">
        <v>724</v>
      </c>
    </row>
    <row r="233" spans="1:8" ht="30" x14ac:dyDescent="0.25">
      <c r="A233" s="6">
        <v>230</v>
      </c>
      <c r="B233" s="7" t="s">
        <v>464</v>
      </c>
      <c r="C233" s="7" t="s">
        <v>182</v>
      </c>
      <c r="D233" s="7" t="s">
        <v>184</v>
      </c>
      <c r="E233" s="7" t="s">
        <v>37</v>
      </c>
      <c r="F233" s="7" t="s">
        <v>37</v>
      </c>
      <c r="G233" s="7" t="s">
        <v>18</v>
      </c>
      <c r="H233" s="8" t="s">
        <v>725</v>
      </c>
    </row>
    <row r="234" spans="1:8" x14ac:dyDescent="0.25">
      <c r="A234" s="6">
        <v>231</v>
      </c>
      <c r="B234" s="7" t="s">
        <v>464</v>
      </c>
      <c r="C234" s="7" t="s">
        <v>184</v>
      </c>
      <c r="D234" s="7" t="s">
        <v>340</v>
      </c>
      <c r="E234" s="7" t="s">
        <v>37</v>
      </c>
      <c r="F234" s="7" t="s">
        <v>37</v>
      </c>
      <c r="G234" s="7" t="s">
        <v>4</v>
      </c>
      <c r="H234" s="8" t="s">
        <v>726</v>
      </c>
    </row>
    <row r="235" spans="1:8" ht="30" x14ac:dyDescent="0.25">
      <c r="A235" s="6">
        <v>232</v>
      </c>
      <c r="B235" s="7" t="s">
        <v>464</v>
      </c>
      <c r="C235" s="7" t="s">
        <v>189</v>
      </c>
      <c r="D235" s="7" t="s">
        <v>190</v>
      </c>
      <c r="E235" s="7" t="s">
        <v>37</v>
      </c>
      <c r="F235" s="7" t="s">
        <v>5</v>
      </c>
      <c r="G235" s="7" t="s">
        <v>5</v>
      </c>
      <c r="H235" s="8" t="s">
        <v>727</v>
      </c>
    </row>
    <row r="236" spans="1:8" ht="75" x14ac:dyDescent="0.25">
      <c r="A236" s="6">
        <v>233</v>
      </c>
      <c r="B236" s="7" t="s">
        <v>464</v>
      </c>
      <c r="C236" s="7" t="s">
        <v>469</v>
      </c>
      <c r="D236" s="7" t="s">
        <v>186</v>
      </c>
      <c r="E236" s="7" t="s">
        <v>37</v>
      </c>
      <c r="F236" s="7" t="s">
        <v>5</v>
      </c>
      <c r="G236" s="7" t="s">
        <v>44</v>
      </c>
      <c r="H236" s="8" t="s">
        <v>728</v>
      </c>
    </row>
    <row r="237" spans="1:8" ht="30" x14ac:dyDescent="0.25">
      <c r="A237" s="6">
        <v>234</v>
      </c>
      <c r="B237" s="7" t="s">
        <v>464</v>
      </c>
      <c r="C237" s="7" t="s">
        <v>471</v>
      </c>
      <c r="D237" s="7" t="s">
        <v>195</v>
      </c>
      <c r="E237" s="7" t="s">
        <v>37</v>
      </c>
      <c r="F237" s="7" t="s">
        <v>5</v>
      </c>
      <c r="G237" s="7" t="s">
        <v>19</v>
      </c>
      <c r="H237" s="8" t="s">
        <v>729</v>
      </c>
    </row>
    <row r="238" spans="1:8" x14ac:dyDescent="0.25">
      <c r="A238" s="6">
        <v>235</v>
      </c>
      <c r="B238" s="7" t="s">
        <v>464</v>
      </c>
      <c r="C238" s="7" t="s">
        <v>195</v>
      </c>
      <c r="D238" s="7" t="s">
        <v>473</v>
      </c>
      <c r="E238" s="7" t="s">
        <v>37</v>
      </c>
      <c r="F238" s="7" t="s">
        <v>5</v>
      </c>
      <c r="G238" s="7" t="s">
        <v>22</v>
      </c>
      <c r="H238" s="8" t="s">
        <v>730</v>
      </c>
    </row>
    <row r="239" spans="1:8" x14ac:dyDescent="0.25">
      <c r="A239" s="6">
        <v>236</v>
      </c>
      <c r="B239" s="7" t="s">
        <v>464</v>
      </c>
      <c r="C239" s="7" t="s">
        <v>198</v>
      </c>
      <c r="D239" s="7" t="s">
        <v>349</v>
      </c>
      <c r="E239" s="7" t="s">
        <v>37</v>
      </c>
      <c r="F239" s="7" t="s">
        <v>5</v>
      </c>
      <c r="G239" s="7" t="s">
        <v>3</v>
      </c>
      <c r="H239" s="8" t="s">
        <v>731</v>
      </c>
    </row>
    <row r="240" spans="1:8" ht="30" x14ac:dyDescent="0.25">
      <c r="A240" s="6">
        <v>237</v>
      </c>
      <c r="B240" s="7" t="s">
        <v>464</v>
      </c>
      <c r="C240" s="7" t="s">
        <v>349</v>
      </c>
      <c r="D240" s="7" t="s">
        <v>350</v>
      </c>
      <c r="E240" s="7" t="s">
        <v>37</v>
      </c>
      <c r="F240" s="7" t="s">
        <v>5</v>
      </c>
      <c r="G240" s="7" t="s">
        <v>28</v>
      </c>
      <c r="H240" s="8" t="s">
        <v>732</v>
      </c>
    </row>
    <row r="241" spans="1:8" ht="45" x14ac:dyDescent="0.25">
      <c r="A241" s="6">
        <v>238</v>
      </c>
      <c r="B241" s="7" t="s">
        <v>464</v>
      </c>
      <c r="C241" s="7" t="s">
        <v>350</v>
      </c>
      <c r="D241" s="7" t="s">
        <v>477</v>
      </c>
      <c r="E241" s="7" t="s">
        <v>37</v>
      </c>
      <c r="F241" s="7" t="s">
        <v>5</v>
      </c>
      <c r="G241" s="7" t="s">
        <v>18</v>
      </c>
      <c r="H241" s="8" t="s">
        <v>733</v>
      </c>
    </row>
    <row r="242" spans="1:8" x14ac:dyDescent="0.25">
      <c r="A242" s="6">
        <v>239</v>
      </c>
      <c r="B242" s="7" t="s">
        <v>464</v>
      </c>
      <c r="C242" s="7" t="s">
        <v>207</v>
      </c>
      <c r="D242" s="7" t="s">
        <v>208</v>
      </c>
      <c r="E242" s="7" t="s">
        <v>37</v>
      </c>
      <c r="F242" s="7" t="s">
        <v>5</v>
      </c>
      <c r="G242" s="7" t="s">
        <v>4</v>
      </c>
      <c r="H242" s="8" t="s">
        <v>734</v>
      </c>
    </row>
    <row r="243" spans="1:8" x14ac:dyDescent="0.25">
      <c r="A243" s="6">
        <v>240</v>
      </c>
      <c r="B243" s="7" t="s">
        <v>464</v>
      </c>
      <c r="C243" s="7" t="s">
        <v>354</v>
      </c>
      <c r="D243" s="7" t="s">
        <v>480</v>
      </c>
      <c r="E243" s="7" t="s">
        <v>37</v>
      </c>
      <c r="F243" s="7" t="s">
        <v>5</v>
      </c>
      <c r="G243" s="7" t="s">
        <v>37</v>
      </c>
      <c r="H243" s="8" t="s">
        <v>735</v>
      </c>
    </row>
    <row r="244" spans="1:8" ht="45" x14ac:dyDescent="0.25">
      <c r="A244" s="6">
        <v>241</v>
      </c>
      <c r="B244" s="7" t="s">
        <v>464</v>
      </c>
      <c r="C244" s="7" t="s">
        <v>210</v>
      </c>
      <c r="D244" s="7" t="s">
        <v>358</v>
      </c>
      <c r="E244" s="7" t="s">
        <v>37</v>
      </c>
      <c r="F244" s="7" t="s">
        <v>44</v>
      </c>
      <c r="G244" s="7" t="s">
        <v>44</v>
      </c>
      <c r="H244" s="8" t="s">
        <v>736</v>
      </c>
    </row>
    <row r="245" spans="1:8" x14ac:dyDescent="0.25">
      <c r="A245" s="6">
        <v>242</v>
      </c>
      <c r="B245" s="7" t="s">
        <v>464</v>
      </c>
      <c r="C245" s="7" t="s">
        <v>360</v>
      </c>
      <c r="D245" s="7" t="s">
        <v>361</v>
      </c>
      <c r="E245" s="7" t="s">
        <v>37</v>
      </c>
      <c r="F245" s="7" t="s">
        <v>44</v>
      </c>
      <c r="G245" s="7" t="s">
        <v>19</v>
      </c>
      <c r="H245" s="8" t="s">
        <v>737</v>
      </c>
    </row>
    <row r="246" spans="1:8" ht="60" x14ac:dyDescent="0.25">
      <c r="A246" s="6">
        <v>243</v>
      </c>
      <c r="B246" s="7" t="s">
        <v>464</v>
      </c>
      <c r="C246" s="7" t="s">
        <v>361</v>
      </c>
      <c r="D246" s="7" t="s">
        <v>484</v>
      </c>
      <c r="E246" s="7" t="s">
        <v>37</v>
      </c>
      <c r="F246" s="7" t="s">
        <v>44</v>
      </c>
      <c r="G246" s="7" t="s">
        <v>22</v>
      </c>
      <c r="H246" s="8" t="s">
        <v>738</v>
      </c>
    </row>
    <row r="247" spans="1:8" ht="60" x14ac:dyDescent="0.25">
      <c r="A247" s="6">
        <v>244</v>
      </c>
      <c r="B247" s="7" t="s">
        <v>464</v>
      </c>
      <c r="C247" s="7" t="s">
        <v>364</v>
      </c>
      <c r="D247" s="7" t="s">
        <v>486</v>
      </c>
      <c r="E247" s="7" t="s">
        <v>37</v>
      </c>
      <c r="F247" s="7" t="s">
        <v>44</v>
      </c>
      <c r="G247" s="7" t="s">
        <v>3</v>
      </c>
      <c r="H247" s="8" t="s">
        <v>739</v>
      </c>
    </row>
    <row r="248" spans="1:8" ht="105" x14ac:dyDescent="0.25">
      <c r="A248" s="6">
        <v>245</v>
      </c>
      <c r="B248" s="7" t="s">
        <v>464</v>
      </c>
      <c r="C248" s="7" t="s">
        <v>486</v>
      </c>
      <c r="D248" s="7" t="s">
        <v>290</v>
      </c>
      <c r="E248" s="7" t="s">
        <v>37</v>
      </c>
      <c r="F248" s="7" t="s">
        <v>44</v>
      </c>
      <c r="G248" s="7" t="s">
        <v>28</v>
      </c>
      <c r="H248" s="8" t="s">
        <v>740</v>
      </c>
    </row>
    <row r="249" spans="1:8" ht="120" x14ac:dyDescent="0.25">
      <c r="A249" s="6">
        <v>246</v>
      </c>
      <c r="B249" s="7" t="s">
        <v>464</v>
      </c>
      <c r="C249" s="7" t="s">
        <v>290</v>
      </c>
      <c r="D249" s="7" t="s">
        <v>224</v>
      </c>
      <c r="E249" s="7" t="s">
        <v>37</v>
      </c>
      <c r="F249" s="7" t="s">
        <v>44</v>
      </c>
      <c r="G249" s="7" t="s">
        <v>18</v>
      </c>
      <c r="H249" s="8" t="s">
        <v>741</v>
      </c>
    </row>
    <row r="250" spans="1:8" ht="30" x14ac:dyDescent="0.25">
      <c r="A250" s="6">
        <v>247</v>
      </c>
      <c r="B250" s="7" t="s">
        <v>464</v>
      </c>
      <c r="C250" s="7" t="s">
        <v>121</v>
      </c>
      <c r="D250" s="7" t="s">
        <v>490</v>
      </c>
      <c r="E250" s="7" t="s">
        <v>37</v>
      </c>
      <c r="F250" s="7" t="s">
        <v>44</v>
      </c>
      <c r="G250" s="7" t="s">
        <v>4</v>
      </c>
      <c r="H250" s="8" t="s">
        <v>742</v>
      </c>
    </row>
    <row r="251" spans="1:8" ht="45" x14ac:dyDescent="0.25">
      <c r="A251" s="6">
        <v>248</v>
      </c>
      <c r="B251" s="7" t="s">
        <v>464</v>
      </c>
      <c r="C251" s="7" t="s">
        <v>122</v>
      </c>
      <c r="D251" s="7" t="s">
        <v>127</v>
      </c>
      <c r="E251" s="7" t="s">
        <v>37</v>
      </c>
      <c r="F251" s="7" t="s">
        <v>44</v>
      </c>
      <c r="G251" s="7" t="s">
        <v>492</v>
      </c>
      <c r="H251" s="8" t="s">
        <v>743</v>
      </c>
    </row>
    <row r="252" spans="1:8" ht="30" x14ac:dyDescent="0.25">
      <c r="A252" s="6">
        <v>249</v>
      </c>
      <c r="B252" s="7" t="s">
        <v>464</v>
      </c>
      <c r="C252" s="7" t="s">
        <v>494</v>
      </c>
      <c r="D252" s="7" t="s">
        <v>128</v>
      </c>
      <c r="E252" s="7" t="s">
        <v>37</v>
      </c>
      <c r="F252" s="7" t="s">
        <v>44</v>
      </c>
      <c r="G252" s="7" t="s">
        <v>5</v>
      </c>
      <c r="H252" s="8" t="s">
        <v>744</v>
      </c>
    </row>
  </sheetData>
  <mergeCells count="1">
    <mergeCell ref="C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9A50E-13ED-439F-94E9-68E4B6C273F9}">
  <dimension ref="A1:H252"/>
  <sheetViews>
    <sheetView workbookViewId="0">
      <selection activeCell="H8" sqref="H8"/>
    </sheetView>
  </sheetViews>
  <sheetFormatPr defaultRowHeight="15" x14ac:dyDescent="0.25"/>
  <cols>
    <col min="1" max="1" width="7.85546875" bestFit="1" customWidth="1"/>
    <col min="2" max="2" width="10.28515625" bestFit="1" customWidth="1"/>
    <col min="3" max="3" width="19.28515625" bestFit="1" customWidth="1"/>
    <col min="4" max="4" width="16.42578125" bestFit="1" customWidth="1"/>
    <col min="5" max="5" width="9" bestFit="1" customWidth="1"/>
    <col min="6" max="6" width="8.42578125" bestFit="1" customWidth="1"/>
    <col min="7" max="7" width="8.28515625" bestFit="1" customWidth="1"/>
    <col min="8" max="8" width="53.140625" customWidth="1"/>
  </cols>
  <sheetData>
    <row r="1" spans="1:8" x14ac:dyDescent="0.25">
      <c r="A1" s="12"/>
      <c r="B1" s="13"/>
      <c r="C1" s="202" t="s">
        <v>6</v>
      </c>
      <c r="D1" s="203"/>
      <c r="E1" s="204"/>
      <c r="F1" s="13"/>
      <c r="G1" s="13"/>
      <c r="H1" s="14"/>
    </row>
    <row r="2" spans="1:8" x14ac:dyDescent="0.25">
      <c r="A2" s="12" t="s">
        <v>7</v>
      </c>
      <c r="B2" s="13" t="s">
        <v>8</v>
      </c>
      <c r="C2" s="13" t="s">
        <v>9</v>
      </c>
      <c r="D2" s="13" t="s">
        <v>10</v>
      </c>
      <c r="E2" s="13" t="s">
        <v>11</v>
      </c>
      <c r="F2" s="13" t="s">
        <v>12</v>
      </c>
      <c r="G2" s="13" t="s">
        <v>13</v>
      </c>
      <c r="H2" s="15" t="s">
        <v>745</v>
      </c>
    </row>
    <row r="3" spans="1:8" x14ac:dyDescent="0.25">
      <c r="A3" s="12">
        <v>1</v>
      </c>
      <c r="B3" s="13" t="s">
        <v>15</v>
      </c>
      <c r="C3" s="13" t="s">
        <v>16</v>
      </c>
      <c r="D3" s="13" t="s">
        <v>17</v>
      </c>
      <c r="E3" s="13" t="s">
        <v>18</v>
      </c>
      <c r="F3" s="13" t="s">
        <v>19</v>
      </c>
      <c r="G3" s="13" t="s">
        <v>19</v>
      </c>
      <c r="H3" s="14" t="s">
        <v>746</v>
      </c>
    </row>
    <row r="4" spans="1:8" ht="30" x14ac:dyDescent="0.25">
      <c r="A4" s="12">
        <v>2</v>
      </c>
      <c r="B4" s="13" t="s">
        <v>15</v>
      </c>
      <c r="C4" s="13" t="s">
        <v>17</v>
      </c>
      <c r="D4" s="13" t="s">
        <v>21</v>
      </c>
      <c r="E4" s="13" t="s">
        <v>18</v>
      </c>
      <c r="F4" s="13" t="s">
        <v>19</v>
      </c>
      <c r="G4" s="13" t="s">
        <v>22</v>
      </c>
      <c r="H4" s="14" t="s">
        <v>747</v>
      </c>
    </row>
    <row r="5" spans="1:8" x14ac:dyDescent="0.25">
      <c r="A5" s="12">
        <v>3</v>
      </c>
      <c r="B5" s="13" t="s">
        <v>15</v>
      </c>
      <c r="C5" s="13" t="s">
        <v>24</v>
      </c>
      <c r="D5" s="13" t="s">
        <v>25</v>
      </c>
      <c r="E5" s="13" t="s">
        <v>18</v>
      </c>
      <c r="F5" s="13" t="s">
        <v>19</v>
      </c>
      <c r="G5" s="13" t="s">
        <v>3</v>
      </c>
      <c r="H5" s="14" t="s">
        <v>748</v>
      </c>
    </row>
    <row r="6" spans="1:8" x14ac:dyDescent="0.25">
      <c r="A6" s="12">
        <v>4</v>
      </c>
      <c r="B6" s="13" t="s">
        <v>15</v>
      </c>
      <c r="C6" s="13" t="s">
        <v>25</v>
      </c>
      <c r="D6" s="13" t="s">
        <v>27</v>
      </c>
      <c r="E6" s="13" t="s">
        <v>18</v>
      </c>
      <c r="F6" s="13" t="s">
        <v>19</v>
      </c>
      <c r="G6" s="13" t="s">
        <v>28</v>
      </c>
      <c r="H6" s="14" t="s">
        <v>749</v>
      </c>
    </row>
    <row r="7" spans="1:8" x14ac:dyDescent="0.25">
      <c r="A7" s="12">
        <v>5</v>
      </c>
      <c r="B7" s="13" t="s">
        <v>15</v>
      </c>
      <c r="C7" s="13" t="s">
        <v>30</v>
      </c>
      <c r="D7" s="13" t="s">
        <v>31</v>
      </c>
      <c r="E7" s="13" t="s">
        <v>18</v>
      </c>
      <c r="F7" s="13" t="s">
        <v>19</v>
      </c>
      <c r="G7" s="13" t="s">
        <v>18</v>
      </c>
      <c r="H7" s="14" t="s">
        <v>750</v>
      </c>
    </row>
    <row r="8" spans="1:8" x14ac:dyDescent="0.25">
      <c r="A8" s="12">
        <v>6</v>
      </c>
      <c r="B8" s="13" t="s">
        <v>15</v>
      </c>
      <c r="C8" s="13" t="s">
        <v>31</v>
      </c>
      <c r="D8" s="13" t="s">
        <v>33</v>
      </c>
      <c r="E8" s="13" t="s">
        <v>18</v>
      </c>
      <c r="F8" s="13" t="s">
        <v>19</v>
      </c>
      <c r="G8" s="13" t="s">
        <v>4</v>
      </c>
      <c r="H8" s="14" t="s">
        <v>751</v>
      </c>
    </row>
    <row r="9" spans="1:8" ht="30" x14ac:dyDescent="0.25">
      <c r="A9" s="12">
        <v>7</v>
      </c>
      <c r="B9" s="13" t="s">
        <v>15</v>
      </c>
      <c r="C9" s="13" t="s">
        <v>35</v>
      </c>
      <c r="D9" s="13" t="s">
        <v>36</v>
      </c>
      <c r="E9" s="13" t="s">
        <v>18</v>
      </c>
      <c r="F9" s="13" t="s">
        <v>19</v>
      </c>
      <c r="G9" s="13" t="s">
        <v>37</v>
      </c>
      <c r="H9" s="14" t="s">
        <v>752</v>
      </c>
    </row>
    <row r="10" spans="1:8" ht="30" x14ac:dyDescent="0.25">
      <c r="A10" s="12">
        <v>8</v>
      </c>
      <c r="B10" s="13" t="s">
        <v>15</v>
      </c>
      <c r="C10" s="13" t="s">
        <v>39</v>
      </c>
      <c r="D10" s="13" t="s">
        <v>40</v>
      </c>
      <c r="E10" s="13" t="s">
        <v>18</v>
      </c>
      <c r="F10" s="13" t="s">
        <v>19</v>
      </c>
      <c r="G10" s="13" t="s">
        <v>5</v>
      </c>
      <c r="H10" s="14" t="s">
        <v>753</v>
      </c>
    </row>
    <row r="11" spans="1:8" ht="30" x14ac:dyDescent="0.25">
      <c r="A11" s="12">
        <v>9</v>
      </c>
      <c r="B11" s="13" t="s">
        <v>15</v>
      </c>
      <c r="C11" s="13" t="s">
        <v>42</v>
      </c>
      <c r="D11" s="13" t="s">
        <v>43</v>
      </c>
      <c r="E11" s="13" t="s">
        <v>18</v>
      </c>
      <c r="F11" s="13" t="s">
        <v>19</v>
      </c>
      <c r="G11" s="13" t="s">
        <v>44</v>
      </c>
      <c r="H11" s="14" t="s">
        <v>754</v>
      </c>
    </row>
    <row r="12" spans="1:8" ht="30" x14ac:dyDescent="0.25">
      <c r="A12" s="12">
        <v>10</v>
      </c>
      <c r="B12" s="13" t="s">
        <v>15</v>
      </c>
      <c r="C12" s="13" t="s">
        <v>46</v>
      </c>
      <c r="D12" s="13" t="s">
        <v>47</v>
      </c>
      <c r="E12" s="13" t="s">
        <v>18</v>
      </c>
      <c r="F12" s="13" t="s">
        <v>22</v>
      </c>
      <c r="G12" s="13" t="s">
        <v>22</v>
      </c>
      <c r="H12" s="14" t="s">
        <v>755</v>
      </c>
    </row>
    <row r="13" spans="1:8" ht="30" x14ac:dyDescent="0.25">
      <c r="A13" s="12">
        <v>11</v>
      </c>
      <c r="B13" s="13" t="s">
        <v>15</v>
      </c>
      <c r="C13" s="13" t="s">
        <v>49</v>
      </c>
      <c r="D13" s="13" t="s">
        <v>50</v>
      </c>
      <c r="E13" s="13" t="s">
        <v>18</v>
      </c>
      <c r="F13" s="13" t="s">
        <v>22</v>
      </c>
      <c r="G13" s="13" t="s">
        <v>3</v>
      </c>
      <c r="H13" s="14" t="s">
        <v>756</v>
      </c>
    </row>
    <row r="14" spans="1:8" ht="30" x14ac:dyDescent="0.25">
      <c r="A14" s="12">
        <v>12</v>
      </c>
      <c r="B14" s="13" t="s">
        <v>15</v>
      </c>
      <c r="C14" s="13" t="s">
        <v>52</v>
      </c>
      <c r="D14" s="13" t="s">
        <v>53</v>
      </c>
      <c r="E14" s="13" t="s">
        <v>18</v>
      </c>
      <c r="F14" s="13" t="s">
        <v>22</v>
      </c>
      <c r="G14" s="13" t="s">
        <v>28</v>
      </c>
      <c r="H14" s="14" t="s">
        <v>757</v>
      </c>
    </row>
    <row r="15" spans="1:8" ht="30" x14ac:dyDescent="0.25">
      <c r="A15" s="12">
        <v>13</v>
      </c>
      <c r="B15" s="13" t="s">
        <v>15</v>
      </c>
      <c r="C15" s="13" t="s">
        <v>55</v>
      </c>
      <c r="D15" s="13" t="s">
        <v>56</v>
      </c>
      <c r="E15" s="13" t="s">
        <v>18</v>
      </c>
      <c r="F15" s="13" t="s">
        <v>22</v>
      </c>
      <c r="G15" s="13" t="s">
        <v>18</v>
      </c>
      <c r="H15" s="14" t="s">
        <v>758</v>
      </c>
    </row>
    <row r="16" spans="1:8" x14ac:dyDescent="0.25">
      <c r="A16" s="12">
        <v>14</v>
      </c>
      <c r="B16" s="13" t="s">
        <v>15</v>
      </c>
      <c r="C16" s="13" t="s">
        <v>56</v>
      </c>
      <c r="D16" s="13" t="s">
        <v>58</v>
      </c>
      <c r="E16" s="13" t="s">
        <v>18</v>
      </c>
      <c r="F16" s="13" t="s">
        <v>22</v>
      </c>
      <c r="G16" s="13" t="s">
        <v>4</v>
      </c>
      <c r="H16" s="14" t="s">
        <v>759</v>
      </c>
    </row>
    <row r="17" spans="1:8" ht="30" x14ac:dyDescent="0.25">
      <c r="A17" s="12">
        <v>15</v>
      </c>
      <c r="B17" s="13" t="s">
        <v>15</v>
      </c>
      <c r="C17" s="13" t="s">
        <v>60</v>
      </c>
      <c r="D17" s="13" t="s">
        <v>61</v>
      </c>
      <c r="E17" s="13" t="s">
        <v>18</v>
      </c>
      <c r="F17" s="13" t="s">
        <v>22</v>
      </c>
      <c r="G17" s="13" t="s">
        <v>37</v>
      </c>
      <c r="H17" s="14" t="s">
        <v>760</v>
      </c>
    </row>
    <row r="18" spans="1:8" ht="30" x14ac:dyDescent="0.25">
      <c r="A18" s="12">
        <v>16</v>
      </c>
      <c r="B18" s="13" t="s">
        <v>15</v>
      </c>
      <c r="C18" s="13" t="s">
        <v>61</v>
      </c>
      <c r="D18" s="13" t="s">
        <v>63</v>
      </c>
      <c r="E18" s="13" t="s">
        <v>18</v>
      </c>
      <c r="F18" s="13" t="s">
        <v>22</v>
      </c>
      <c r="G18" s="13" t="s">
        <v>5</v>
      </c>
      <c r="H18" s="14" t="s">
        <v>761</v>
      </c>
    </row>
    <row r="19" spans="1:8" ht="30" x14ac:dyDescent="0.25">
      <c r="A19" s="12">
        <v>17</v>
      </c>
      <c r="B19" s="13" t="s">
        <v>15</v>
      </c>
      <c r="C19" s="13" t="s">
        <v>63</v>
      </c>
      <c r="D19" s="13" t="s">
        <v>65</v>
      </c>
      <c r="E19" s="13" t="s">
        <v>18</v>
      </c>
      <c r="F19" s="13" t="s">
        <v>22</v>
      </c>
      <c r="G19" s="13" t="s">
        <v>44</v>
      </c>
      <c r="H19" s="14" t="s">
        <v>762</v>
      </c>
    </row>
    <row r="20" spans="1:8" ht="30" x14ac:dyDescent="0.25">
      <c r="A20" s="12">
        <v>18</v>
      </c>
      <c r="B20" s="13" t="s">
        <v>15</v>
      </c>
      <c r="C20" s="13" t="s">
        <v>65</v>
      </c>
      <c r="D20" s="13" t="s">
        <v>67</v>
      </c>
      <c r="E20" s="13" t="s">
        <v>18</v>
      </c>
      <c r="F20" s="13" t="s">
        <v>22</v>
      </c>
      <c r="G20" s="13" t="s">
        <v>19</v>
      </c>
      <c r="H20" s="14" t="s">
        <v>763</v>
      </c>
    </row>
    <row r="21" spans="1:8" x14ac:dyDescent="0.25">
      <c r="A21" s="12">
        <v>19</v>
      </c>
      <c r="B21" s="13" t="s">
        <v>15</v>
      </c>
      <c r="C21" s="13" t="s">
        <v>69</v>
      </c>
      <c r="D21" s="13" t="s">
        <v>70</v>
      </c>
      <c r="E21" s="13" t="s">
        <v>18</v>
      </c>
      <c r="F21" s="13" t="s">
        <v>3</v>
      </c>
      <c r="G21" s="13" t="s">
        <v>3</v>
      </c>
      <c r="H21" s="14" t="s">
        <v>764</v>
      </c>
    </row>
    <row r="22" spans="1:8" x14ac:dyDescent="0.25">
      <c r="A22" s="12">
        <v>20</v>
      </c>
      <c r="B22" s="13" t="s">
        <v>15</v>
      </c>
      <c r="C22" s="13" t="s">
        <v>70</v>
      </c>
      <c r="D22" s="13" t="s">
        <v>72</v>
      </c>
      <c r="E22" s="13" t="s">
        <v>18</v>
      </c>
      <c r="F22" s="13" t="s">
        <v>3</v>
      </c>
      <c r="G22" s="13" t="s">
        <v>28</v>
      </c>
      <c r="H22" s="14" t="s">
        <v>765</v>
      </c>
    </row>
    <row r="23" spans="1:8" ht="30" x14ac:dyDescent="0.25">
      <c r="A23" s="12">
        <v>21</v>
      </c>
      <c r="B23" s="13" t="s">
        <v>15</v>
      </c>
      <c r="C23" s="13" t="s">
        <v>72</v>
      </c>
      <c r="D23" s="13" t="s">
        <v>74</v>
      </c>
      <c r="E23" s="13" t="s">
        <v>18</v>
      </c>
      <c r="F23" s="13" t="s">
        <v>3</v>
      </c>
      <c r="G23" s="13" t="s">
        <v>18</v>
      </c>
      <c r="H23" s="14" t="s">
        <v>766</v>
      </c>
    </row>
    <row r="24" spans="1:8" x14ac:dyDescent="0.25">
      <c r="A24" s="12">
        <v>22</v>
      </c>
      <c r="B24" s="13" t="s">
        <v>15</v>
      </c>
      <c r="C24" s="13" t="s">
        <v>74</v>
      </c>
      <c r="D24" s="13" t="s">
        <v>76</v>
      </c>
      <c r="E24" s="13" t="s">
        <v>18</v>
      </c>
      <c r="F24" s="13" t="s">
        <v>3</v>
      </c>
      <c r="G24" s="13" t="s">
        <v>4</v>
      </c>
      <c r="H24" s="14" t="s">
        <v>767</v>
      </c>
    </row>
    <row r="25" spans="1:8" ht="30" x14ac:dyDescent="0.25">
      <c r="A25" s="12">
        <v>23</v>
      </c>
      <c r="B25" s="13" t="s">
        <v>78</v>
      </c>
      <c r="C25" s="13" t="s">
        <v>16</v>
      </c>
      <c r="D25" s="13" t="s">
        <v>79</v>
      </c>
      <c r="E25" s="13" t="s">
        <v>22</v>
      </c>
      <c r="F25" s="13" t="s">
        <v>3</v>
      </c>
      <c r="G25" s="13" t="s">
        <v>4</v>
      </c>
      <c r="H25" s="14" t="s">
        <v>768</v>
      </c>
    </row>
    <row r="26" spans="1:8" ht="30" x14ac:dyDescent="0.25">
      <c r="A26" s="12">
        <v>24</v>
      </c>
      <c r="B26" s="13" t="s">
        <v>78</v>
      </c>
      <c r="C26" s="13" t="s">
        <v>79</v>
      </c>
      <c r="D26" s="13" t="s">
        <v>81</v>
      </c>
      <c r="E26" s="13" t="s">
        <v>22</v>
      </c>
      <c r="F26" s="13" t="s">
        <v>3</v>
      </c>
      <c r="G26" s="13" t="s">
        <v>37</v>
      </c>
      <c r="H26" s="14" t="s">
        <v>769</v>
      </c>
    </row>
    <row r="27" spans="1:8" ht="30" x14ac:dyDescent="0.25">
      <c r="A27" s="12">
        <v>25</v>
      </c>
      <c r="B27" s="13" t="s">
        <v>78</v>
      </c>
      <c r="C27" s="13" t="s">
        <v>21</v>
      </c>
      <c r="D27" s="13" t="s">
        <v>83</v>
      </c>
      <c r="E27" s="13" t="s">
        <v>22</v>
      </c>
      <c r="F27" s="13" t="s">
        <v>3</v>
      </c>
      <c r="G27" s="13" t="s">
        <v>5</v>
      </c>
      <c r="H27" s="14" t="s">
        <v>770</v>
      </c>
    </row>
    <row r="28" spans="1:8" ht="30" x14ac:dyDescent="0.25">
      <c r="A28" s="12">
        <v>26</v>
      </c>
      <c r="B28" s="13" t="s">
        <v>78</v>
      </c>
      <c r="C28" s="13" t="s">
        <v>85</v>
      </c>
      <c r="D28" s="13" t="s">
        <v>86</v>
      </c>
      <c r="E28" s="13" t="s">
        <v>22</v>
      </c>
      <c r="F28" s="13" t="s">
        <v>3</v>
      </c>
      <c r="G28" s="13" t="s">
        <v>44</v>
      </c>
      <c r="H28" s="14" t="s">
        <v>771</v>
      </c>
    </row>
    <row r="29" spans="1:8" ht="30" x14ac:dyDescent="0.25">
      <c r="A29" s="12">
        <v>27</v>
      </c>
      <c r="B29" s="13" t="s">
        <v>78</v>
      </c>
      <c r="C29" s="13" t="s">
        <v>86</v>
      </c>
      <c r="D29" s="13" t="s">
        <v>88</v>
      </c>
      <c r="E29" s="13" t="s">
        <v>22</v>
      </c>
      <c r="F29" s="13" t="s">
        <v>3</v>
      </c>
      <c r="G29" s="13" t="s">
        <v>19</v>
      </c>
      <c r="H29" s="14" t="s">
        <v>772</v>
      </c>
    </row>
    <row r="30" spans="1:8" ht="30" x14ac:dyDescent="0.25">
      <c r="A30" s="12">
        <v>28</v>
      </c>
      <c r="B30" s="13" t="s">
        <v>78</v>
      </c>
      <c r="C30" s="13" t="s">
        <v>90</v>
      </c>
      <c r="D30" s="13" t="s">
        <v>91</v>
      </c>
      <c r="E30" s="13" t="s">
        <v>22</v>
      </c>
      <c r="F30" s="13" t="s">
        <v>3</v>
      </c>
      <c r="G30" s="13" t="s">
        <v>22</v>
      </c>
      <c r="H30" s="14" t="s">
        <v>773</v>
      </c>
    </row>
    <row r="31" spans="1:8" x14ac:dyDescent="0.25">
      <c r="A31" s="12">
        <v>29</v>
      </c>
      <c r="B31" s="13" t="s">
        <v>78</v>
      </c>
      <c r="C31" s="13" t="s">
        <v>91</v>
      </c>
      <c r="D31" s="13" t="s">
        <v>93</v>
      </c>
      <c r="E31" s="13" t="s">
        <v>22</v>
      </c>
      <c r="F31" s="13" t="s">
        <v>28</v>
      </c>
      <c r="G31" s="13" t="s">
        <v>28</v>
      </c>
      <c r="H31" s="14" t="s">
        <v>774</v>
      </c>
    </row>
    <row r="32" spans="1:8" ht="30" x14ac:dyDescent="0.25">
      <c r="A32" s="12">
        <v>30</v>
      </c>
      <c r="B32" s="13" t="s">
        <v>78</v>
      </c>
      <c r="C32" s="13" t="s">
        <v>95</v>
      </c>
      <c r="D32" s="13" t="s">
        <v>96</v>
      </c>
      <c r="E32" s="13" t="s">
        <v>22</v>
      </c>
      <c r="F32" s="13" t="s">
        <v>28</v>
      </c>
      <c r="G32" s="13" t="s">
        <v>18</v>
      </c>
      <c r="H32" s="14" t="s">
        <v>775</v>
      </c>
    </row>
    <row r="33" spans="1:8" x14ac:dyDescent="0.25">
      <c r="A33" s="12">
        <v>31</v>
      </c>
      <c r="B33" s="13" t="s">
        <v>78</v>
      </c>
      <c r="C33" s="13" t="s">
        <v>98</v>
      </c>
      <c r="D33" s="13" t="s">
        <v>99</v>
      </c>
      <c r="E33" s="13" t="s">
        <v>22</v>
      </c>
      <c r="F33" s="13" t="s">
        <v>28</v>
      </c>
      <c r="G33" s="13" t="s">
        <v>4</v>
      </c>
      <c r="H33" s="14" t="s">
        <v>776</v>
      </c>
    </row>
    <row r="34" spans="1:8" x14ac:dyDescent="0.25">
      <c r="A34" s="12">
        <v>32</v>
      </c>
      <c r="B34" s="13" t="s">
        <v>78</v>
      </c>
      <c r="C34" s="13" t="s">
        <v>101</v>
      </c>
      <c r="D34" s="13" t="s">
        <v>102</v>
      </c>
      <c r="E34" s="13" t="s">
        <v>22</v>
      </c>
      <c r="F34" s="13" t="s">
        <v>28</v>
      </c>
      <c r="G34" s="13" t="s">
        <v>37</v>
      </c>
      <c r="H34" s="14" t="s">
        <v>777</v>
      </c>
    </row>
    <row r="35" spans="1:8" ht="30" x14ac:dyDescent="0.25">
      <c r="A35" s="12">
        <v>33</v>
      </c>
      <c r="B35" s="13" t="s">
        <v>78</v>
      </c>
      <c r="C35" s="13" t="s">
        <v>104</v>
      </c>
      <c r="D35" s="13" t="s">
        <v>105</v>
      </c>
      <c r="E35" s="13" t="s">
        <v>22</v>
      </c>
      <c r="F35" s="13" t="s">
        <v>28</v>
      </c>
      <c r="G35" s="13" t="s">
        <v>5</v>
      </c>
      <c r="H35" s="14" t="s">
        <v>778</v>
      </c>
    </row>
    <row r="36" spans="1:8" ht="30" x14ac:dyDescent="0.25">
      <c r="A36" s="12">
        <v>34</v>
      </c>
      <c r="B36" s="13" t="s">
        <v>78</v>
      </c>
      <c r="C36" s="13" t="s">
        <v>107</v>
      </c>
      <c r="D36" s="13" t="s">
        <v>108</v>
      </c>
      <c r="E36" s="13" t="s">
        <v>22</v>
      </c>
      <c r="F36" s="13" t="s">
        <v>28</v>
      </c>
      <c r="G36" s="13" t="s">
        <v>44</v>
      </c>
      <c r="H36" s="14" t="s">
        <v>779</v>
      </c>
    </row>
    <row r="37" spans="1:8" x14ac:dyDescent="0.25">
      <c r="A37" s="12">
        <v>35</v>
      </c>
      <c r="B37" s="13" t="s">
        <v>78</v>
      </c>
      <c r="C37" s="13" t="s">
        <v>110</v>
      </c>
      <c r="D37" s="13" t="s">
        <v>111</v>
      </c>
      <c r="E37" s="13" t="s">
        <v>22</v>
      </c>
      <c r="F37" s="13" t="s">
        <v>28</v>
      </c>
      <c r="G37" s="13" t="s">
        <v>19</v>
      </c>
      <c r="H37" s="14" t="s">
        <v>780</v>
      </c>
    </row>
    <row r="38" spans="1:8" ht="30" x14ac:dyDescent="0.25">
      <c r="A38" s="12">
        <v>36</v>
      </c>
      <c r="B38" s="13" t="s">
        <v>78</v>
      </c>
      <c r="C38" s="13" t="s">
        <v>113</v>
      </c>
      <c r="D38" s="13" t="s">
        <v>114</v>
      </c>
      <c r="E38" s="13" t="s">
        <v>22</v>
      </c>
      <c r="F38" s="13" t="s">
        <v>28</v>
      </c>
      <c r="G38" s="13" t="s">
        <v>22</v>
      </c>
      <c r="H38" s="14" t="s">
        <v>781</v>
      </c>
    </row>
    <row r="39" spans="1:8" ht="30" x14ac:dyDescent="0.25">
      <c r="A39" s="12">
        <v>37</v>
      </c>
      <c r="B39" s="13" t="s">
        <v>78</v>
      </c>
      <c r="C39" s="13" t="s">
        <v>116</v>
      </c>
      <c r="D39" s="13" t="s">
        <v>117</v>
      </c>
      <c r="E39" s="13" t="s">
        <v>22</v>
      </c>
      <c r="F39" s="13" t="s">
        <v>28</v>
      </c>
      <c r="G39" s="13" t="s">
        <v>3</v>
      </c>
      <c r="H39" s="14" t="s">
        <v>782</v>
      </c>
    </row>
    <row r="40" spans="1:8" x14ac:dyDescent="0.25">
      <c r="A40" s="12">
        <v>38</v>
      </c>
      <c r="B40" s="13" t="s">
        <v>78</v>
      </c>
      <c r="C40" s="13" t="s">
        <v>117</v>
      </c>
      <c r="D40" s="13" t="s">
        <v>119</v>
      </c>
      <c r="E40" s="13" t="s">
        <v>22</v>
      </c>
      <c r="F40" s="13" t="s">
        <v>18</v>
      </c>
      <c r="G40" s="13" t="s">
        <v>18</v>
      </c>
      <c r="H40" s="14" t="s">
        <v>783</v>
      </c>
    </row>
    <row r="41" spans="1:8" ht="30" x14ac:dyDescent="0.25">
      <c r="A41" s="12">
        <v>39</v>
      </c>
      <c r="B41" s="13" t="s">
        <v>78</v>
      </c>
      <c r="C41" s="13" t="s">
        <v>121</v>
      </c>
      <c r="D41" s="13" t="s">
        <v>122</v>
      </c>
      <c r="E41" s="13" t="s">
        <v>22</v>
      </c>
      <c r="F41" s="13" t="s">
        <v>18</v>
      </c>
      <c r="G41" s="13" t="s">
        <v>4</v>
      </c>
      <c r="H41" s="14" t="s">
        <v>784</v>
      </c>
    </row>
    <row r="42" spans="1:8" ht="30" x14ac:dyDescent="0.25">
      <c r="A42" s="12">
        <v>40</v>
      </c>
      <c r="B42" s="13" t="s">
        <v>78</v>
      </c>
      <c r="C42" s="13" t="s">
        <v>124</v>
      </c>
      <c r="D42" s="13" t="s">
        <v>125</v>
      </c>
      <c r="E42" s="13" t="s">
        <v>22</v>
      </c>
      <c r="F42" s="13" t="s">
        <v>18</v>
      </c>
      <c r="G42" s="13" t="s">
        <v>37</v>
      </c>
      <c r="H42" s="14" t="s">
        <v>785</v>
      </c>
    </row>
    <row r="43" spans="1:8" ht="30" x14ac:dyDescent="0.25">
      <c r="A43" s="12">
        <v>41</v>
      </c>
      <c r="B43" s="13" t="s">
        <v>78</v>
      </c>
      <c r="C43" s="13" t="s">
        <v>127</v>
      </c>
      <c r="D43" s="13" t="s">
        <v>128</v>
      </c>
      <c r="E43" s="13" t="s">
        <v>22</v>
      </c>
      <c r="F43" s="13" t="s">
        <v>18</v>
      </c>
      <c r="G43" s="13" t="s">
        <v>5</v>
      </c>
      <c r="H43" s="14" t="s">
        <v>786</v>
      </c>
    </row>
    <row r="44" spans="1:8" ht="30" x14ac:dyDescent="0.25">
      <c r="A44" s="12">
        <v>42</v>
      </c>
      <c r="B44" s="13" t="s">
        <v>130</v>
      </c>
      <c r="C44" s="13" t="s">
        <v>16</v>
      </c>
      <c r="D44" s="13" t="s">
        <v>131</v>
      </c>
      <c r="E44" s="13" t="s">
        <v>44</v>
      </c>
      <c r="F44" s="13" t="s">
        <v>18</v>
      </c>
      <c r="G44" s="13" t="s">
        <v>44</v>
      </c>
      <c r="H44" s="14" t="s">
        <v>787</v>
      </c>
    </row>
    <row r="45" spans="1:8" ht="30" x14ac:dyDescent="0.25">
      <c r="A45" s="12">
        <v>43</v>
      </c>
      <c r="B45" s="13" t="s">
        <v>130</v>
      </c>
      <c r="C45" s="13" t="s">
        <v>131</v>
      </c>
      <c r="D45" s="13" t="s">
        <v>133</v>
      </c>
      <c r="E45" s="13" t="s">
        <v>44</v>
      </c>
      <c r="F45" s="13" t="s">
        <v>18</v>
      </c>
      <c r="G45" s="13" t="s">
        <v>19</v>
      </c>
      <c r="H45" s="14" t="s">
        <v>788</v>
      </c>
    </row>
    <row r="46" spans="1:8" ht="30" x14ac:dyDescent="0.25">
      <c r="A46" s="12">
        <v>44</v>
      </c>
      <c r="B46" s="13" t="s">
        <v>130</v>
      </c>
      <c r="C46" s="13" t="s">
        <v>135</v>
      </c>
      <c r="D46" s="13" t="s">
        <v>136</v>
      </c>
      <c r="E46" s="13" t="s">
        <v>44</v>
      </c>
      <c r="F46" s="13" t="s">
        <v>18</v>
      </c>
      <c r="G46" s="13" t="s">
        <v>22</v>
      </c>
      <c r="H46" s="14" t="s">
        <v>789</v>
      </c>
    </row>
    <row r="47" spans="1:8" ht="30" x14ac:dyDescent="0.25">
      <c r="A47" s="12">
        <v>45</v>
      </c>
      <c r="B47" s="13" t="s">
        <v>130</v>
      </c>
      <c r="C47" s="13" t="s">
        <v>138</v>
      </c>
      <c r="D47" s="13" t="s">
        <v>31</v>
      </c>
      <c r="E47" s="13" t="s">
        <v>44</v>
      </c>
      <c r="F47" s="13" t="s">
        <v>18</v>
      </c>
      <c r="G47" s="13" t="s">
        <v>3</v>
      </c>
      <c r="H47" s="14" t="s">
        <v>790</v>
      </c>
    </row>
    <row r="48" spans="1:8" ht="30" x14ac:dyDescent="0.25">
      <c r="A48" s="12">
        <v>46</v>
      </c>
      <c r="B48" s="13" t="s">
        <v>130</v>
      </c>
      <c r="C48" s="13" t="s">
        <v>140</v>
      </c>
      <c r="D48" s="13" t="s">
        <v>141</v>
      </c>
      <c r="E48" s="13" t="s">
        <v>44</v>
      </c>
      <c r="F48" s="13" t="s">
        <v>18</v>
      </c>
      <c r="G48" s="13" t="s">
        <v>28</v>
      </c>
      <c r="H48" s="14" t="s">
        <v>791</v>
      </c>
    </row>
    <row r="49" spans="1:8" x14ac:dyDescent="0.25">
      <c r="A49" s="12">
        <v>47</v>
      </c>
      <c r="B49" s="13" t="s">
        <v>130</v>
      </c>
      <c r="C49" s="13" t="s">
        <v>141</v>
      </c>
      <c r="D49" s="13" t="s">
        <v>143</v>
      </c>
      <c r="E49" s="13" t="s">
        <v>44</v>
      </c>
      <c r="F49" s="13" t="s">
        <v>4</v>
      </c>
      <c r="G49" s="13" t="s">
        <v>4</v>
      </c>
      <c r="H49" s="14" t="s">
        <v>792</v>
      </c>
    </row>
    <row r="50" spans="1:8" ht="30" x14ac:dyDescent="0.25">
      <c r="A50" s="12">
        <v>48</v>
      </c>
      <c r="B50" s="13" t="s">
        <v>130</v>
      </c>
      <c r="C50" s="13" t="s">
        <v>145</v>
      </c>
      <c r="D50" s="13" t="s">
        <v>146</v>
      </c>
      <c r="E50" s="13" t="s">
        <v>44</v>
      </c>
      <c r="F50" s="13" t="s">
        <v>4</v>
      </c>
      <c r="G50" s="13" t="s">
        <v>37</v>
      </c>
      <c r="H50" s="14" t="s">
        <v>793</v>
      </c>
    </row>
    <row r="51" spans="1:8" x14ac:dyDescent="0.25">
      <c r="A51" s="12">
        <v>49</v>
      </c>
      <c r="B51" s="13" t="s">
        <v>130</v>
      </c>
      <c r="C51" s="13" t="s">
        <v>146</v>
      </c>
      <c r="D51" s="13" t="s">
        <v>148</v>
      </c>
      <c r="E51" s="13" t="s">
        <v>44</v>
      </c>
      <c r="F51" s="13" t="s">
        <v>4</v>
      </c>
      <c r="G51" s="13" t="s">
        <v>5</v>
      </c>
      <c r="H51" s="14" t="s">
        <v>794</v>
      </c>
    </row>
    <row r="52" spans="1:8" ht="30" x14ac:dyDescent="0.25">
      <c r="A52" s="12">
        <v>50</v>
      </c>
      <c r="B52" s="13" t="s">
        <v>130</v>
      </c>
      <c r="C52" s="13" t="s">
        <v>150</v>
      </c>
      <c r="D52" s="13" t="s">
        <v>151</v>
      </c>
      <c r="E52" s="13" t="s">
        <v>44</v>
      </c>
      <c r="F52" s="13" t="s">
        <v>4</v>
      </c>
      <c r="G52" s="13" t="s">
        <v>44</v>
      </c>
      <c r="H52" s="14" t="s">
        <v>795</v>
      </c>
    </row>
    <row r="53" spans="1:8" ht="30" x14ac:dyDescent="0.25">
      <c r="A53" s="12">
        <v>51</v>
      </c>
      <c r="B53" s="13" t="s">
        <v>130</v>
      </c>
      <c r="C53" s="13" t="s">
        <v>151</v>
      </c>
      <c r="D53" s="13" t="s">
        <v>153</v>
      </c>
      <c r="E53" s="13" t="s">
        <v>44</v>
      </c>
      <c r="F53" s="13" t="s">
        <v>4</v>
      </c>
      <c r="G53" s="13" t="s">
        <v>19</v>
      </c>
      <c r="H53" s="14" t="s">
        <v>796</v>
      </c>
    </row>
    <row r="54" spans="1:8" ht="30" x14ac:dyDescent="0.25">
      <c r="A54" s="12">
        <v>52</v>
      </c>
      <c r="B54" s="13" t="s">
        <v>130</v>
      </c>
      <c r="C54" s="13" t="s">
        <v>153</v>
      </c>
      <c r="D54" s="13" t="s">
        <v>155</v>
      </c>
      <c r="E54" s="13" t="s">
        <v>44</v>
      </c>
      <c r="F54" s="13" t="s">
        <v>4</v>
      </c>
      <c r="G54" s="13" t="s">
        <v>22</v>
      </c>
      <c r="H54" s="14" t="s">
        <v>797</v>
      </c>
    </row>
    <row r="55" spans="1:8" x14ac:dyDescent="0.25">
      <c r="A55" s="12">
        <v>53</v>
      </c>
      <c r="B55" s="13" t="s">
        <v>130</v>
      </c>
      <c r="C55" s="13" t="s">
        <v>155</v>
      </c>
      <c r="D55" s="13" t="s">
        <v>56</v>
      </c>
      <c r="E55" s="13" t="s">
        <v>44</v>
      </c>
      <c r="F55" s="13" t="s">
        <v>4</v>
      </c>
      <c r="G55" s="13" t="s">
        <v>3</v>
      </c>
      <c r="H55" s="14" t="s">
        <v>798</v>
      </c>
    </row>
    <row r="56" spans="1:8" x14ac:dyDescent="0.25">
      <c r="A56" s="12">
        <v>54</v>
      </c>
      <c r="B56" s="13" t="s">
        <v>130</v>
      </c>
      <c r="C56" s="13" t="s">
        <v>158</v>
      </c>
      <c r="D56" s="13" t="s">
        <v>159</v>
      </c>
      <c r="E56" s="13" t="s">
        <v>44</v>
      </c>
      <c r="F56" s="13" t="s">
        <v>4</v>
      </c>
      <c r="G56" s="13" t="s">
        <v>28</v>
      </c>
      <c r="H56" s="14" t="s">
        <v>799</v>
      </c>
    </row>
    <row r="57" spans="1:8" ht="30" x14ac:dyDescent="0.25">
      <c r="A57" s="12">
        <v>55</v>
      </c>
      <c r="B57" s="13" t="s">
        <v>130</v>
      </c>
      <c r="C57" s="13" t="s">
        <v>161</v>
      </c>
      <c r="D57" s="13" t="s">
        <v>162</v>
      </c>
      <c r="E57" s="13" t="s">
        <v>44</v>
      </c>
      <c r="F57" s="13" t="s">
        <v>4</v>
      </c>
      <c r="G57" s="13" t="s">
        <v>18</v>
      </c>
      <c r="H57" s="14" t="s">
        <v>800</v>
      </c>
    </row>
    <row r="58" spans="1:8" ht="30" x14ac:dyDescent="0.25">
      <c r="A58" s="12">
        <v>56</v>
      </c>
      <c r="B58" s="13" t="s">
        <v>130</v>
      </c>
      <c r="C58" s="13" t="s">
        <v>162</v>
      </c>
      <c r="D58" s="13" t="s">
        <v>164</v>
      </c>
      <c r="E58" s="13" t="s">
        <v>44</v>
      </c>
      <c r="F58" s="13" t="s">
        <v>37</v>
      </c>
      <c r="G58" s="13" t="s">
        <v>37</v>
      </c>
      <c r="H58" s="14" t="s">
        <v>801</v>
      </c>
    </row>
    <row r="59" spans="1:8" ht="30" x14ac:dyDescent="0.25">
      <c r="A59" s="12">
        <v>57</v>
      </c>
      <c r="B59" s="13" t="s">
        <v>130</v>
      </c>
      <c r="C59" s="13" t="s">
        <v>166</v>
      </c>
      <c r="D59" s="13" t="s">
        <v>167</v>
      </c>
      <c r="E59" s="13" t="s">
        <v>44</v>
      </c>
      <c r="F59" s="13" t="s">
        <v>37</v>
      </c>
      <c r="G59" s="13" t="s">
        <v>5</v>
      </c>
      <c r="H59" s="14" t="s">
        <v>802</v>
      </c>
    </row>
    <row r="60" spans="1:8" ht="30" x14ac:dyDescent="0.25">
      <c r="A60" s="12">
        <v>58</v>
      </c>
      <c r="B60" s="13" t="s">
        <v>130</v>
      </c>
      <c r="C60" s="13" t="s">
        <v>169</v>
      </c>
      <c r="D60" s="13" t="s">
        <v>170</v>
      </c>
      <c r="E60" s="13" t="s">
        <v>44</v>
      </c>
      <c r="F60" s="13" t="s">
        <v>37</v>
      </c>
      <c r="G60" s="13" t="s">
        <v>44</v>
      </c>
      <c r="H60" s="14" t="s">
        <v>803</v>
      </c>
    </row>
    <row r="61" spans="1:8" x14ac:dyDescent="0.25">
      <c r="A61" s="12">
        <v>59</v>
      </c>
      <c r="B61" s="13" t="s">
        <v>130</v>
      </c>
      <c r="C61" s="13" t="s">
        <v>172</v>
      </c>
      <c r="D61" s="13" t="s">
        <v>173</v>
      </c>
      <c r="E61" s="13" t="s">
        <v>44</v>
      </c>
      <c r="F61" s="13" t="s">
        <v>37</v>
      </c>
      <c r="G61" s="13" t="s">
        <v>19</v>
      </c>
      <c r="H61" s="14" t="s">
        <v>804</v>
      </c>
    </row>
    <row r="62" spans="1:8" ht="30" x14ac:dyDescent="0.25">
      <c r="A62" s="12">
        <v>60</v>
      </c>
      <c r="B62" s="13" t="s">
        <v>130</v>
      </c>
      <c r="C62" s="13" t="s">
        <v>175</v>
      </c>
      <c r="D62" s="13" t="s">
        <v>176</v>
      </c>
      <c r="E62" s="13" t="s">
        <v>44</v>
      </c>
      <c r="F62" s="13" t="s">
        <v>37</v>
      </c>
      <c r="G62" s="13" t="s">
        <v>22</v>
      </c>
      <c r="H62" s="14" t="s">
        <v>805</v>
      </c>
    </row>
    <row r="63" spans="1:8" ht="30" x14ac:dyDescent="0.25">
      <c r="A63" s="12">
        <v>61</v>
      </c>
      <c r="B63" s="13" t="s">
        <v>130</v>
      </c>
      <c r="C63" s="13" t="s">
        <v>176</v>
      </c>
      <c r="D63" s="13" t="s">
        <v>178</v>
      </c>
      <c r="E63" s="13" t="s">
        <v>44</v>
      </c>
      <c r="F63" s="13" t="s">
        <v>37</v>
      </c>
      <c r="G63" s="13" t="s">
        <v>3</v>
      </c>
      <c r="H63" s="14" t="s">
        <v>806</v>
      </c>
    </row>
    <row r="64" spans="1:8" ht="30" x14ac:dyDescent="0.25">
      <c r="A64" s="12">
        <v>62</v>
      </c>
      <c r="B64" s="13" t="s">
        <v>130</v>
      </c>
      <c r="C64" s="13" t="s">
        <v>178</v>
      </c>
      <c r="D64" s="13" t="s">
        <v>76</v>
      </c>
      <c r="E64" s="13" t="s">
        <v>44</v>
      </c>
      <c r="F64" s="13" t="s">
        <v>37</v>
      </c>
      <c r="G64" s="13" t="s">
        <v>28</v>
      </c>
      <c r="H64" s="14" t="s">
        <v>807</v>
      </c>
    </row>
    <row r="65" spans="1:8" ht="30" x14ac:dyDescent="0.25">
      <c r="A65" s="12">
        <v>63</v>
      </c>
      <c r="B65" s="13" t="s">
        <v>181</v>
      </c>
      <c r="C65" s="13" t="s">
        <v>16</v>
      </c>
      <c r="D65" s="13" t="s">
        <v>182</v>
      </c>
      <c r="E65" s="13" t="s">
        <v>28</v>
      </c>
      <c r="F65" s="13" t="s">
        <v>37</v>
      </c>
      <c r="G65" s="13" t="s">
        <v>28</v>
      </c>
      <c r="H65" s="14" t="s">
        <v>808</v>
      </c>
    </row>
    <row r="66" spans="1:8" ht="30" x14ac:dyDescent="0.25">
      <c r="A66" s="12">
        <v>64</v>
      </c>
      <c r="B66" s="13" t="s">
        <v>181</v>
      </c>
      <c r="C66" s="13" t="s">
        <v>182</v>
      </c>
      <c r="D66" s="13" t="s">
        <v>184</v>
      </c>
      <c r="E66" s="13" t="s">
        <v>28</v>
      </c>
      <c r="F66" s="13" t="s">
        <v>37</v>
      </c>
      <c r="G66" s="13" t="s">
        <v>18</v>
      </c>
      <c r="H66" s="14" t="s">
        <v>809</v>
      </c>
    </row>
    <row r="67" spans="1:8" ht="30" x14ac:dyDescent="0.25">
      <c r="A67" s="12">
        <v>65</v>
      </c>
      <c r="B67" s="13" t="s">
        <v>181</v>
      </c>
      <c r="C67" s="13" t="s">
        <v>186</v>
      </c>
      <c r="D67" s="13" t="s">
        <v>187</v>
      </c>
      <c r="E67" s="13" t="s">
        <v>28</v>
      </c>
      <c r="F67" s="13" t="s">
        <v>37</v>
      </c>
      <c r="G67" s="13" t="s">
        <v>4</v>
      </c>
      <c r="H67" s="14" t="s">
        <v>810</v>
      </c>
    </row>
    <row r="68" spans="1:8" ht="30" x14ac:dyDescent="0.25">
      <c r="A68" s="12">
        <v>66</v>
      </c>
      <c r="B68" s="13" t="s">
        <v>181</v>
      </c>
      <c r="C68" s="13" t="s">
        <v>189</v>
      </c>
      <c r="D68" s="13" t="s">
        <v>190</v>
      </c>
      <c r="E68" s="13" t="s">
        <v>28</v>
      </c>
      <c r="F68" s="13" t="s">
        <v>5</v>
      </c>
      <c r="G68" s="13" t="s">
        <v>5</v>
      </c>
      <c r="H68" s="14" t="s">
        <v>811</v>
      </c>
    </row>
    <row r="69" spans="1:8" ht="30" x14ac:dyDescent="0.25">
      <c r="A69" s="12">
        <v>67</v>
      </c>
      <c r="B69" s="13" t="s">
        <v>181</v>
      </c>
      <c r="C69" s="13" t="s">
        <v>190</v>
      </c>
      <c r="D69" s="13" t="s">
        <v>186</v>
      </c>
      <c r="E69" s="13" t="s">
        <v>28</v>
      </c>
      <c r="F69" s="13" t="s">
        <v>5</v>
      </c>
      <c r="G69" s="13" t="s">
        <v>44</v>
      </c>
      <c r="H69" s="14" t="s">
        <v>812</v>
      </c>
    </row>
    <row r="70" spans="1:8" ht="30" x14ac:dyDescent="0.25">
      <c r="A70" s="12">
        <v>68</v>
      </c>
      <c r="B70" s="13" t="s">
        <v>181</v>
      </c>
      <c r="C70" s="13" t="s">
        <v>186</v>
      </c>
      <c r="D70" s="13" t="s">
        <v>193</v>
      </c>
      <c r="E70" s="13" t="s">
        <v>28</v>
      </c>
      <c r="F70" s="13" t="s">
        <v>5</v>
      </c>
      <c r="G70" s="13" t="s">
        <v>19</v>
      </c>
      <c r="H70" s="14" t="s">
        <v>813</v>
      </c>
    </row>
    <row r="71" spans="1:8" ht="30" x14ac:dyDescent="0.25">
      <c r="A71" s="12">
        <v>69</v>
      </c>
      <c r="B71" s="13" t="s">
        <v>181</v>
      </c>
      <c r="C71" s="13" t="s">
        <v>195</v>
      </c>
      <c r="D71" s="13" t="s">
        <v>196</v>
      </c>
      <c r="E71" s="13" t="s">
        <v>28</v>
      </c>
      <c r="F71" s="13" t="s">
        <v>5</v>
      </c>
      <c r="G71" s="13" t="s">
        <v>22</v>
      </c>
      <c r="H71" s="14" t="s">
        <v>814</v>
      </c>
    </row>
    <row r="72" spans="1:8" x14ac:dyDescent="0.25">
      <c r="A72" s="12">
        <v>70</v>
      </c>
      <c r="B72" s="13" t="s">
        <v>181</v>
      </c>
      <c r="C72" s="13" t="s">
        <v>198</v>
      </c>
      <c r="D72" s="13" t="s">
        <v>199</v>
      </c>
      <c r="E72" s="13" t="s">
        <v>28</v>
      </c>
      <c r="F72" s="13" t="s">
        <v>5</v>
      </c>
      <c r="G72" s="13" t="s">
        <v>3</v>
      </c>
      <c r="H72" s="14" t="s">
        <v>815</v>
      </c>
    </row>
    <row r="73" spans="1:8" ht="30" x14ac:dyDescent="0.25">
      <c r="A73" s="12">
        <v>71</v>
      </c>
      <c r="B73" s="13" t="s">
        <v>181</v>
      </c>
      <c r="C73" s="13" t="s">
        <v>201</v>
      </c>
      <c r="D73" s="13" t="s">
        <v>202</v>
      </c>
      <c r="E73" s="13" t="s">
        <v>28</v>
      </c>
      <c r="F73" s="13" t="s">
        <v>5</v>
      </c>
      <c r="G73" s="13" t="s">
        <v>28</v>
      </c>
      <c r="H73" s="14" t="s">
        <v>816</v>
      </c>
    </row>
    <row r="74" spans="1:8" ht="30" x14ac:dyDescent="0.25">
      <c r="A74" s="12">
        <v>72</v>
      </c>
      <c r="B74" s="13" t="s">
        <v>181</v>
      </c>
      <c r="C74" s="13" t="s">
        <v>204</v>
      </c>
      <c r="D74" s="13" t="s">
        <v>205</v>
      </c>
      <c r="E74" s="13" t="s">
        <v>28</v>
      </c>
      <c r="F74" s="13" t="s">
        <v>5</v>
      </c>
      <c r="G74" s="13" t="s">
        <v>18</v>
      </c>
      <c r="H74" s="14" t="s">
        <v>817</v>
      </c>
    </row>
    <row r="75" spans="1:8" x14ac:dyDescent="0.25">
      <c r="A75" s="12">
        <v>73</v>
      </c>
      <c r="B75" s="13" t="s">
        <v>181</v>
      </c>
      <c r="C75" s="13" t="s">
        <v>207</v>
      </c>
      <c r="D75" s="13" t="s">
        <v>208</v>
      </c>
      <c r="E75" s="13" t="s">
        <v>28</v>
      </c>
      <c r="F75" s="13" t="s">
        <v>5</v>
      </c>
      <c r="G75" s="13" t="s">
        <v>4</v>
      </c>
      <c r="H75" s="14" t="s">
        <v>818</v>
      </c>
    </row>
    <row r="76" spans="1:8" ht="30" x14ac:dyDescent="0.25">
      <c r="A76" s="12">
        <v>74</v>
      </c>
      <c r="B76" s="13" t="s">
        <v>181</v>
      </c>
      <c r="C76" s="13" t="s">
        <v>208</v>
      </c>
      <c r="D76" s="13" t="s">
        <v>210</v>
      </c>
      <c r="E76" s="13" t="s">
        <v>28</v>
      </c>
      <c r="F76" s="13" t="s">
        <v>5</v>
      </c>
      <c r="G76" s="13" t="s">
        <v>37</v>
      </c>
      <c r="H76" s="14" t="s">
        <v>819</v>
      </c>
    </row>
    <row r="77" spans="1:8" ht="30" x14ac:dyDescent="0.25">
      <c r="A77" s="12">
        <v>75</v>
      </c>
      <c r="B77" s="13" t="s">
        <v>181</v>
      </c>
      <c r="C77" s="13" t="s">
        <v>212</v>
      </c>
      <c r="D77" s="13" t="s">
        <v>213</v>
      </c>
      <c r="E77" s="13" t="s">
        <v>28</v>
      </c>
      <c r="F77" s="13" t="s">
        <v>44</v>
      </c>
      <c r="G77" s="13" t="s">
        <v>44</v>
      </c>
      <c r="H77" s="14" t="s">
        <v>820</v>
      </c>
    </row>
    <row r="78" spans="1:8" x14ac:dyDescent="0.25">
      <c r="A78" s="12">
        <v>76</v>
      </c>
      <c r="B78" s="13" t="s">
        <v>181</v>
      </c>
      <c r="C78" s="13" t="s">
        <v>215</v>
      </c>
      <c r="D78" s="13" t="s">
        <v>216</v>
      </c>
      <c r="E78" s="13" t="s">
        <v>28</v>
      </c>
      <c r="F78" s="13" t="s">
        <v>44</v>
      </c>
      <c r="G78" s="13" t="s">
        <v>19</v>
      </c>
      <c r="H78" s="14" t="s">
        <v>821</v>
      </c>
    </row>
    <row r="79" spans="1:8" ht="30" x14ac:dyDescent="0.25">
      <c r="A79" s="12">
        <v>77</v>
      </c>
      <c r="B79" s="13" t="s">
        <v>181</v>
      </c>
      <c r="C79" s="13" t="s">
        <v>216</v>
      </c>
      <c r="D79" s="13" t="s">
        <v>218</v>
      </c>
      <c r="E79" s="13" t="s">
        <v>28</v>
      </c>
      <c r="F79" s="13" t="s">
        <v>44</v>
      </c>
      <c r="G79" s="13" t="s">
        <v>22</v>
      </c>
      <c r="H79" s="14" t="s">
        <v>822</v>
      </c>
    </row>
    <row r="80" spans="1:8" x14ac:dyDescent="0.25">
      <c r="A80" s="12">
        <v>78</v>
      </c>
      <c r="B80" s="13" t="s">
        <v>181</v>
      </c>
      <c r="C80" s="13" t="s">
        <v>218</v>
      </c>
      <c r="D80" s="13" t="s">
        <v>220</v>
      </c>
      <c r="E80" s="13" t="s">
        <v>28</v>
      </c>
      <c r="F80" s="13" t="s">
        <v>44</v>
      </c>
      <c r="G80" s="13" t="s">
        <v>3</v>
      </c>
      <c r="H80" s="14" t="s">
        <v>823</v>
      </c>
    </row>
    <row r="81" spans="1:8" ht="30" x14ac:dyDescent="0.25">
      <c r="A81" s="12">
        <v>79</v>
      </c>
      <c r="B81" s="13" t="s">
        <v>181</v>
      </c>
      <c r="C81" s="13" t="s">
        <v>220</v>
      </c>
      <c r="D81" s="13" t="s">
        <v>222</v>
      </c>
      <c r="E81" s="13" t="s">
        <v>28</v>
      </c>
      <c r="F81" s="13" t="s">
        <v>44</v>
      </c>
      <c r="G81" s="13" t="s">
        <v>28</v>
      </c>
      <c r="H81" s="14" t="s">
        <v>824</v>
      </c>
    </row>
    <row r="82" spans="1:8" x14ac:dyDescent="0.25">
      <c r="A82" s="12">
        <v>80</v>
      </c>
      <c r="B82" s="13" t="s">
        <v>181</v>
      </c>
      <c r="C82" s="13" t="s">
        <v>222</v>
      </c>
      <c r="D82" s="13" t="s">
        <v>224</v>
      </c>
      <c r="E82" s="13" t="s">
        <v>28</v>
      </c>
      <c r="F82" s="13" t="s">
        <v>44</v>
      </c>
      <c r="G82" s="13" t="s">
        <v>18</v>
      </c>
      <c r="H82" s="14" t="s">
        <v>825</v>
      </c>
    </row>
    <row r="83" spans="1:8" x14ac:dyDescent="0.25">
      <c r="A83" s="12">
        <v>81</v>
      </c>
      <c r="B83" s="13" t="s">
        <v>181</v>
      </c>
      <c r="C83" s="13" t="s">
        <v>224</v>
      </c>
      <c r="D83" s="13" t="s">
        <v>124</v>
      </c>
      <c r="E83" s="13" t="s">
        <v>28</v>
      </c>
      <c r="F83" s="13" t="s">
        <v>44</v>
      </c>
      <c r="G83" s="13" t="s">
        <v>4</v>
      </c>
      <c r="H83" s="14" t="s">
        <v>826</v>
      </c>
    </row>
    <row r="84" spans="1:8" ht="30" x14ac:dyDescent="0.25">
      <c r="A84" s="12">
        <v>82</v>
      </c>
      <c r="B84" s="13" t="s">
        <v>181</v>
      </c>
      <c r="C84" s="13" t="s">
        <v>122</v>
      </c>
      <c r="D84" s="13" t="s">
        <v>127</v>
      </c>
      <c r="E84" s="13" t="s">
        <v>28</v>
      </c>
      <c r="F84" s="13" t="s">
        <v>44</v>
      </c>
      <c r="G84" s="13" t="s">
        <v>37</v>
      </c>
      <c r="H84" s="14" t="s">
        <v>827</v>
      </c>
    </row>
    <row r="85" spans="1:8" ht="30" x14ac:dyDescent="0.25">
      <c r="A85" s="12">
        <v>83</v>
      </c>
      <c r="B85" s="13" t="s">
        <v>181</v>
      </c>
      <c r="C85" s="13" t="s">
        <v>127</v>
      </c>
      <c r="D85" s="13" t="s">
        <v>128</v>
      </c>
      <c r="E85" s="13" t="s">
        <v>28</v>
      </c>
      <c r="F85" s="13" t="s">
        <v>44</v>
      </c>
      <c r="G85" s="13" t="s">
        <v>5</v>
      </c>
      <c r="H85" s="14" t="s">
        <v>828</v>
      </c>
    </row>
    <row r="86" spans="1:8" ht="30" x14ac:dyDescent="0.25">
      <c r="A86" s="12">
        <v>84</v>
      </c>
      <c r="B86" s="13" t="s">
        <v>229</v>
      </c>
      <c r="C86" s="13" t="s">
        <v>16</v>
      </c>
      <c r="D86" s="13" t="s">
        <v>17</v>
      </c>
      <c r="E86" s="13" t="s">
        <v>3</v>
      </c>
      <c r="F86" s="13" t="s">
        <v>19</v>
      </c>
      <c r="G86" s="13" t="s">
        <v>19</v>
      </c>
      <c r="H86" s="14" t="s">
        <v>829</v>
      </c>
    </row>
    <row r="87" spans="1:8" ht="30" x14ac:dyDescent="0.25">
      <c r="A87" s="12">
        <v>85</v>
      </c>
      <c r="B87" s="13" t="s">
        <v>229</v>
      </c>
      <c r="C87" s="13" t="s">
        <v>17</v>
      </c>
      <c r="D87" s="13" t="s">
        <v>21</v>
      </c>
      <c r="E87" s="13" t="s">
        <v>3</v>
      </c>
      <c r="F87" s="13" t="s">
        <v>19</v>
      </c>
      <c r="G87" s="13" t="s">
        <v>22</v>
      </c>
      <c r="H87" s="14" t="s">
        <v>830</v>
      </c>
    </row>
    <row r="88" spans="1:8" x14ac:dyDescent="0.25">
      <c r="A88" s="12">
        <v>86</v>
      </c>
      <c r="B88" s="13" t="s">
        <v>229</v>
      </c>
      <c r="C88" s="13" t="s">
        <v>21</v>
      </c>
      <c r="D88" s="13" t="s">
        <v>25</v>
      </c>
      <c r="E88" s="13" t="s">
        <v>3</v>
      </c>
      <c r="F88" s="13" t="s">
        <v>19</v>
      </c>
      <c r="G88" s="13" t="s">
        <v>3</v>
      </c>
      <c r="H88" s="14" t="s">
        <v>831</v>
      </c>
    </row>
    <row r="89" spans="1:8" x14ac:dyDescent="0.25">
      <c r="A89" s="12">
        <v>87</v>
      </c>
      <c r="B89" s="13" t="s">
        <v>229</v>
      </c>
      <c r="C89" s="13" t="s">
        <v>233</v>
      </c>
      <c r="D89" s="13" t="s">
        <v>234</v>
      </c>
      <c r="E89" s="13" t="s">
        <v>3</v>
      </c>
      <c r="F89" s="13" t="s">
        <v>19</v>
      </c>
      <c r="G89" s="13" t="s">
        <v>28</v>
      </c>
      <c r="H89" s="14" t="s">
        <v>832</v>
      </c>
    </row>
    <row r="90" spans="1:8" x14ac:dyDescent="0.25">
      <c r="A90" s="12">
        <v>88</v>
      </c>
      <c r="B90" s="13" t="s">
        <v>229</v>
      </c>
      <c r="C90" s="13" t="s">
        <v>236</v>
      </c>
      <c r="D90" s="13" t="s">
        <v>140</v>
      </c>
      <c r="E90" s="13" t="s">
        <v>3</v>
      </c>
      <c r="F90" s="13" t="s">
        <v>19</v>
      </c>
      <c r="G90" s="13" t="s">
        <v>18</v>
      </c>
      <c r="H90" s="14" t="s">
        <v>833</v>
      </c>
    </row>
    <row r="91" spans="1:8" x14ac:dyDescent="0.25">
      <c r="A91" s="12">
        <v>89</v>
      </c>
      <c r="B91" s="13" t="s">
        <v>229</v>
      </c>
      <c r="C91" s="13" t="s">
        <v>31</v>
      </c>
      <c r="D91" s="13" t="s">
        <v>33</v>
      </c>
      <c r="E91" s="13" t="s">
        <v>3</v>
      </c>
      <c r="F91" s="13" t="s">
        <v>19</v>
      </c>
      <c r="G91" s="13" t="s">
        <v>4</v>
      </c>
      <c r="H91" s="14" t="s">
        <v>834</v>
      </c>
    </row>
    <row r="92" spans="1:8" ht="30" x14ac:dyDescent="0.25">
      <c r="A92" s="12">
        <v>90</v>
      </c>
      <c r="B92" s="13" t="s">
        <v>229</v>
      </c>
      <c r="C92" s="13" t="s">
        <v>35</v>
      </c>
      <c r="D92" s="13" t="s">
        <v>36</v>
      </c>
      <c r="E92" s="13" t="s">
        <v>3</v>
      </c>
      <c r="F92" s="13" t="s">
        <v>19</v>
      </c>
      <c r="G92" s="13" t="s">
        <v>37</v>
      </c>
      <c r="H92" s="14" t="s">
        <v>835</v>
      </c>
    </row>
    <row r="93" spans="1:8" ht="30" x14ac:dyDescent="0.25">
      <c r="A93" s="12">
        <v>91</v>
      </c>
      <c r="B93" s="13" t="s">
        <v>229</v>
      </c>
      <c r="C93" s="13" t="s">
        <v>36</v>
      </c>
      <c r="D93" s="13" t="s">
        <v>40</v>
      </c>
      <c r="E93" s="13" t="s">
        <v>3</v>
      </c>
      <c r="F93" s="13" t="s">
        <v>19</v>
      </c>
      <c r="G93" s="13" t="s">
        <v>5</v>
      </c>
      <c r="H93" s="14" t="s">
        <v>836</v>
      </c>
    </row>
    <row r="94" spans="1:8" x14ac:dyDescent="0.25">
      <c r="A94" s="12">
        <v>92</v>
      </c>
      <c r="B94" s="13" t="s">
        <v>229</v>
      </c>
      <c r="C94" s="13" t="s">
        <v>241</v>
      </c>
      <c r="D94" s="13" t="s">
        <v>46</v>
      </c>
      <c r="E94" s="13" t="s">
        <v>3</v>
      </c>
      <c r="F94" s="13" t="s">
        <v>19</v>
      </c>
      <c r="G94" s="13" t="s">
        <v>44</v>
      </c>
      <c r="H94" s="14" t="s">
        <v>837</v>
      </c>
    </row>
    <row r="95" spans="1:8" ht="30" x14ac:dyDescent="0.25">
      <c r="A95" s="12">
        <v>93</v>
      </c>
      <c r="B95" s="13" t="s">
        <v>229</v>
      </c>
      <c r="C95" s="13" t="s">
        <v>43</v>
      </c>
      <c r="D95" s="13" t="s">
        <v>47</v>
      </c>
      <c r="E95" s="13" t="s">
        <v>3</v>
      </c>
      <c r="F95" s="13" t="s">
        <v>22</v>
      </c>
      <c r="G95" s="13" t="s">
        <v>22</v>
      </c>
      <c r="H95" s="14" t="s">
        <v>838</v>
      </c>
    </row>
    <row r="96" spans="1:8" ht="45" x14ac:dyDescent="0.25">
      <c r="A96" s="12">
        <v>94</v>
      </c>
      <c r="B96" s="13" t="s">
        <v>229</v>
      </c>
      <c r="C96" s="13" t="s">
        <v>47</v>
      </c>
      <c r="D96" s="13" t="s">
        <v>52</v>
      </c>
      <c r="E96" s="13" t="s">
        <v>3</v>
      </c>
      <c r="F96" s="13" t="s">
        <v>22</v>
      </c>
      <c r="G96" s="13" t="s">
        <v>3</v>
      </c>
      <c r="H96" s="14" t="s">
        <v>839</v>
      </c>
    </row>
    <row r="97" spans="1:8" x14ac:dyDescent="0.25">
      <c r="A97" s="12">
        <v>95</v>
      </c>
      <c r="B97" s="13" t="s">
        <v>229</v>
      </c>
      <c r="C97" s="13" t="s">
        <v>50</v>
      </c>
      <c r="D97" s="13" t="s">
        <v>245</v>
      </c>
      <c r="E97" s="13" t="s">
        <v>3</v>
      </c>
      <c r="F97" s="13" t="s">
        <v>22</v>
      </c>
      <c r="G97" s="13" t="s">
        <v>28</v>
      </c>
      <c r="H97" s="14" t="s">
        <v>840</v>
      </c>
    </row>
    <row r="98" spans="1:8" ht="45" x14ac:dyDescent="0.25">
      <c r="A98" s="12">
        <v>96</v>
      </c>
      <c r="B98" s="13" t="s">
        <v>229</v>
      </c>
      <c r="C98" s="13" t="s">
        <v>247</v>
      </c>
      <c r="D98" s="13" t="s">
        <v>56</v>
      </c>
      <c r="E98" s="13" t="s">
        <v>3</v>
      </c>
      <c r="F98" s="13" t="s">
        <v>22</v>
      </c>
      <c r="G98" s="13" t="s">
        <v>18</v>
      </c>
      <c r="H98" s="14" t="s">
        <v>841</v>
      </c>
    </row>
    <row r="99" spans="1:8" x14ac:dyDescent="0.25">
      <c r="A99" s="12">
        <v>97</v>
      </c>
      <c r="B99" s="13" t="s">
        <v>229</v>
      </c>
      <c r="C99" s="13" t="s">
        <v>56</v>
      </c>
      <c r="D99" s="13" t="s">
        <v>58</v>
      </c>
      <c r="E99" s="13" t="s">
        <v>3</v>
      </c>
      <c r="F99" s="13" t="s">
        <v>22</v>
      </c>
      <c r="G99" s="13" t="s">
        <v>4</v>
      </c>
      <c r="H99" s="14" t="s">
        <v>842</v>
      </c>
    </row>
    <row r="100" spans="1:8" ht="30" x14ac:dyDescent="0.25">
      <c r="A100" s="12">
        <v>98</v>
      </c>
      <c r="B100" s="13" t="s">
        <v>229</v>
      </c>
      <c r="C100" s="13" t="s">
        <v>58</v>
      </c>
      <c r="D100" s="13" t="s">
        <v>61</v>
      </c>
      <c r="E100" s="13" t="s">
        <v>3</v>
      </c>
      <c r="F100" s="13" t="s">
        <v>22</v>
      </c>
      <c r="G100" s="13" t="s">
        <v>37</v>
      </c>
      <c r="H100" s="14" t="s">
        <v>843</v>
      </c>
    </row>
    <row r="101" spans="1:8" ht="30" x14ac:dyDescent="0.25">
      <c r="A101" s="12">
        <v>99</v>
      </c>
      <c r="B101" s="13" t="s">
        <v>229</v>
      </c>
      <c r="C101" s="13" t="s">
        <v>251</v>
      </c>
      <c r="D101" s="13" t="s">
        <v>63</v>
      </c>
      <c r="E101" s="13" t="s">
        <v>3</v>
      </c>
      <c r="F101" s="13" t="s">
        <v>22</v>
      </c>
      <c r="G101" s="13" t="s">
        <v>5</v>
      </c>
      <c r="H101" s="14" t="s">
        <v>844</v>
      </c>
    </row>
    <row r="102" spans="1:8" x14ac:dyDescent="0.25">
      <c r="A102" s="12">
        <v>100</v>
      </c>
      <c r="B102" s="13" t="s">
        <v>229</v>
      </c>
      <c r="C102" s="13" t="s">
        <v>253</v>
      </c>
      <c r="D102" s="13" t="s">
        <v>254</v>
      </c>
      <c r="E102" s="13" t="s">
        <v>3</v>
      </c>
      <c r="F102" s="13" t="s">
        <v>22</v>
      </c>
      <c r="G102" s="13" t="s">
        <v>44</v>
      </c>
      <c r="H102" s="14" t="s">
        <v>845</v>
      </c>
    </row>
    <row r="103" spans="1:8" x14ac:dyDescent="0.25">
      <c r="A103" s="12">
        <v>101</v>
      </c>
      <c r="B103" s="13" t="s">
        <v>229</v>
      </c>
      <c r="C103" s="13" t="s">
        <v>65</v>
      </c>
      <c r="D103" s="13" t="s">
        <v>67</v>
      </c>
      <c r="E103" s="13" t="s">
        <v>3</v>
      </c>
      <c r="F103" s="13" t="s">
        <v>22</v>
      </c>
      <c r="G103" s="13" t="s">
        <v>19</v>
      </c>
      <c r="H103" s="14" t="s">
        <v>846</v>
      </c>
    </row>
    <row r="104" spans="1:8" ht="45" x14ac:dyDescent="0.25">
      <c r="A104" s="12">
        <v>102</v>
      </c>
      <c r="B104" s="13" t="s">
        <v>229</v>
      </c>
      <c r="C104" s="13" t="s">
        <v>67</v>
      </c>
      <c r="D104" s="13" t="s">
        <v>70</v>
      </c>
      <c r="E104" s="13" t="s">
        <v>3</v>
      </c>
      <c r="F104" s="13" t="s">
        <v>3</v>
      </c>
      <c r="G104" s="13" t="s">
        <v>3</v>
      </c>
      <c r="H104" s="14" t="s">
        <v>847</v>
      </c>
    </row>
    <row r="105" spans="1:8" ht="30" x14ac:dyDescent="0.25">
      <c r="A105" s="12">
        <v>103</v>
      </c>
      <c r="B105" s="13" t="s">
        <v>229</v>
      </c>
      <c r="C105" s="13" t="s">
        <v>258</v>
      </c>
      <c r="D105" s="13" t="s">
        <v>259</v>
      </c>
      <c r="E105" s="13" t="s">
        <v>3</v>
      </c>
      <c r="F105" s="13" t="s">
        <v>3</v>
      </c>
      <c r="G105" s="13" t="s">
        <v>28</v>
      </c>
      <c r="H105" s="14" t="s">
        <v>848</v>
      </c>
    </row>
    <row r="106" spans="1:8" ht="30" x14ac:dyDescent="0.25">
      <c r="A106" s="12">
        <v>104</v>
      </c>
      <c r="B106" s="13" t="s">
        <v>229</v>
      </c>
      <c r="C106" s="13" t="s">
        <v>72</v>
      </c>
      <c r="D106" s="13" t="s">
        <v>261</v>
      </c>
      <c r="E106" s="13" t="s">
        <v>3</v>
      </c>
      <c r="F106" s="13" t="s">
        <v>3</v>
      </c>
      <c r="G106" s="13" t="s">
        <v>18</v>
      </c>
      <c r="H106" s="14" t="s">
        <v>849</v>
      </c>
    </row>
    <row r="107" spans="1:8" x14ac:dyDescent="0.25">
      <c r="A107" s="12">
        <v>105</v>
      </c>
      <c r="B107" s="13" t="s">
        <v>229</v>
      </c>
      <c r="C107" s="13" t="s">
        <v>263</v>
      </c>
      <c r="D107" s="13" t="s">
        <v>76</v>
      </c>
      <c r="E107" s="13" t="s">
        <v>3</v>
      </c>
      <c r="F107" s="13" t="s">
        <v>3</v>
      </c>
      <c r="G107" s="13" t="s">
        <v>4</v>
      </c>
      <c r="H107" s="14" t="s">
        <v>850</v>
      </c>
    </row>
    <row r="108" spans="1:8" ht="45" x14ac:dyDescent="0.25">
      <c r="A108" s="12">
        <v>106</v>
      </c>
      <c r="B108" s="13" t="s">
        <v>265</v>
      </c>
      <c r="C108" s="13" t="s">
        <v>266</v>
      </c>
      <c r="D108" s="13" t="s">
        <v>267</v>
      </c>
      <c r="E108" s="13" t="s">
        <v>44</v>
      </c>
      <c r="F108" s="13" t="s">
        <v>3</v>
      </c>
      <c r="G108" s="13" t="s">
        <v>4</v>
      </c>
      <c r="H108" s="14" t="s">
        <v>851</v>
      </c>
    </row>
    <row r="109" spans="1:8" ht="45" x14ac:dyDescent="0.25">
      <c r="A109" s="12" t="s">
        <v>269</v>
      </c>
      <c r="B109" s="13" t="s">
        <v>265</v>
      </c>
      <c r="C109" s="13" t="s">
        <v>270</v>
      </c>
      <c r="D109" s="13" t="s">
        <v>24</v>
      </c>
      <c r="E109" s="13" t="s">
        <v>44</v>
      </c>
      <c r="F109" s="13" t="s">
        <v>3</v>
      </c>
      <c r="G109" s="13" t="s">
        <v>37</v>
      </c>
      <c r="H109" s="14" t="s">
        <v>852</v>
      </c>
    </row>
    <row r="110" spans="1:8" ht="30" x14ac:dyDescent="0.25">
      <c r="A110" s="12">
        <v>108</v>
      </c>
      <c r="B110" s="13" t="s">
        <v>265</v>
      </c>
      <c r="C110" s="13" t="s">
        <v>21</v>
      </c>
      <c r="D110" s="13" t="s">
        <v>85</v>
      </c>
      <c r="E110" s="13" t="s">
        <v>44</v>
      </c>
      <c r="F110" s="13" t="s">
        <v>3</v>
      </c>
      <c r="G110" s="13" t="s">
        <v>5</v>
      </c>
      <c r="H110" s="14" t="s">
        <v>853</v>
      </c>
    </row>
    <row r="111" spans="1:8" x14ac:dyDescent="0.25">
      <c r="A111" s="12">
        <v>109</v>
      </c>
      <c r="B111" s="13" t="s">
        <v>265</v>
      </c>
      <c r="C111" s="13" t="s">
        <v>85</v>
      </c>
      <c r="D111" s="13" t="s">
        <v>86</v>
      </c>
      <c r="E111" s="13" t="s">
        <v>44</v>
      </c>
      <c r="F111" s="13" t="s">
        <v>3</v>
      </c>
      <c r="G111" s="13" t="s">
        <v>44</v>
      </c>
      <c r="H111" s="14" t="s">
        <v>854</v>
      </c>
    </row>
    <row r="112" spans="1:8" x14ac:dyDescent="0.25">
      <c r="A112" s="12">
        <v>110</v>
      </c>
      <c r="B112" s="13" t="s">
        <v>265</v>
      </c>
      <c r="C112" s="13" t="s">
        <v>86</v>
      </c>
      <c r="D112" s="13" t="s">
        <v>274</v>
      </c>
      <c r="E112" s="13" t="s">
        <v>44</v>
      </c>
      <c r="F112" s="13" t="s">
        <v>3</v>
      </c>
      <c r="G112" s="13" t="s">
        <v>19</v>
      </c>
      <c r="H112" s="14" t="s">
        <v>855</v>
      </c>
    </row>
    <row r="113" spans="1:8" x14ac:dyDescent="0.25">
      <c r="A113" s="12">
        <v>111</v>
      </c>
      <c r="B113" s="13" t="s">
        <v>265</v>
      </c>
      <c r="C113" s="13" t="s">
        <v>276</v>
      </c>
      <c r="D113" s="13" t="s">
        <v>277</v>
      </c>
      <c r="E113" s="13" t="s">
        <v>44</v>
      </c>
      <c r="F113" s="13" t="s">
        <v>3</v>
      </c>
      <c r="G113" s="13" t="s">
        <v>22</v>
      </c>
      <c r="H113" s="14" t="s">
        <v>856</v>
      </c>
    </row>
    <row r="114" spans="1:8" ht="30" x14ac:dyDescent="0.25">
      <c r="A114" s="12">
        <v>112</v>
      </c>
      <c r="B114" s="13" t="s">
        <v>265</v>
      </c>
      <c r="C114" s="13" t="s">
        <v>277</v>
      </c>
      <c r="D114" s="13" t="s">
        <v>95</v>
      </c>
      <c r="E114" s="13" t="s">
        <v>44</v>
      </c>
      <c r="F114" s="13" t="s">
        <v>28</v>
      </c>
      <c r="G114" s="13" t="s">
        <v>28</v>
      </c>
      <c r="H114" s="14" t="s">
        <v>857</v>
      </c>
    </row>
    <row r="115" spans="1:8" ht="30" x14ac:dyDescent="0.25">
      <c r="A115" s="12">
        <v>113</v>
      </c>
      <c r="B115" s="13" t="s">
        <v>265</v>
      </c>
      <c r="C115" s="13" t="s">
        <v>280</v>
      </c>
      <c r="D115" s="13" t="s">
        <v>98</v>
      </c>
      <c r="E115" s="13" t="s">
        <v>44</v>
      </c>
      <c r="F115" s="13" t="s">
        <v>28</v>
      </c>
      <c r="G115" s="13" t="s">
        <v>18</v>
      </c>
      <c r="H115" s="14" t="s">
        <v>858</v>
      </c>
    </row>
    <row r="116" spans="1:8" x14ac:dyDescent="0.25">
      <c r="A116" s="12">
        <v>114</v>
      </c>
      <c r="B116" s="13" t="s">
        <v>265</v>
      </c>
      <c r="C116" s="13" t="s">
        <v>98</v>
      </c>
      <c r="D116" s="13" t="s">
        <v>101</v>
      </c>
      <c r="E116" s="13" t="s">
        <v>44</v>
      </c>
      <c r="F116" s="13" t="s">
        <v>28</v>
      </c>
      <c r="G116" s="13" t="s">
        <v>4</v>
      </c>
      <c r="H116" s="14" t="s">
        <v>859</v>
      </c>
    </row>
    <row r="117" spans="1:8" ht="30" x14ac:dyDescent="0.25">
      <c r="A117" s="12">
        <v>115</v>
      </c>
      <c r="B117" s="13" t="s">
        <v>265</v>
      </c>
      <c r="C117" s="13" t="s">
        <v>101</v>
      </c>
      <c r="D117" s="13" t="s">
        <v>104</v>
      </c>
      <c r="E117" s="13" t="s">
        <v>44</v>
      </c>
      <c r="F117" s="13" t="s">
        <v>28</v>
      </c>
      <c r="G117" s="13" t="s">
        <v>37</v>
      </c>
      <c r="H117" s="14" t="s">
        <v>860</v>
      </c>
    </row>
    <row r="118" spans="1:8" ht="30" x14ac:dyDescent="0.25">
      <c r="A118" s="12">
        <v>116</v>
      </c>
      <c r="B118" s="13" t="s">
        <v>265</v>
      </c>
      <c r="C118" s="13" t="s">
        <v>102</v>
      </c>
      <c r="D118" s="13" t="s">
        <v>284</v>
      </c>
      <c r="E118" s="13" t="s">
        <v>44</v>
      </c>
      <c r="F118" s="13" t="s">
        <v>28</v>
      </c>
      <c r="G118" s="13" t="s">
        <v>5</v>
      </c>
      <c r="H118" s="14" t="s">
        <v>861</v>
      </c>
    </row>
    <row r="119" spans="1:8" ht="30" x14ac:dyDescent="0.25">
      <c r="A119" s="12">
        <v>117</v>
      </c>
      <c r="B119" s="13" t="s">
        <v>265</v>
      </c>
      <c r="C119" s="13" t="s">
        <v>107</v>
      </c>
      <c r="D119" s="13" t="s">
        <v>108</v>
      </c>
      <c r="E119" s="13" t="s">
        <v>44</v>
      </c>
      <c r="F119" s="13" t="s">
        <v>28</v>
      </c>
      <c r="G119" s="13" t="s">
        <v>44</v>
      </c>
      <c r="H119" s="14" t="s">
        <v>862</v>
      </c>
    </row>
    <row r="120" spans="1:8" x14ac:dyDescent="0.25">
      <c r="A120" s="12">
        <v>118</v>
      </c>
      <c r="B120" s="13" t="s">
        <v>265</v>
      </c>
      <c r="C120" s="13" t="s">
        <v>108</v>
      </c>
      <c r="D120" s="13" t="s">
        <v>287</v>
      </c>
      <c r="E120" s="13" t="s">
        <v>44</v>
      </c>
      <c r="F120" s="13" t="s">
        <v>28</v>
      </c>
      <c r="G120" s="13" t="s">
        <v>19</v>
      </c>
      <c r="H120" s="14" t="s">
        <v>863</v>
      </c>
    </row>
    <row r="121" spans="1:8" ht="45" x14ac:dyDescent="0.25">
      <c r="A121" s="12">
        <v>119</v>
      </c>
      <c r="B121" s="13" t="s">
        <v>265</v>
      </c>
      <c r="C121" s="13" t="s">
        <v>113</v>
      </c>
      <c r="D121" s="13" t="s">
        <v>114</v>
      </c>
      <c r="E121" s="13" t="s">
        <v>44</v>
      </c>
      <c r="F121" s="13" t="s">
        <v>28</v>
      </c>
      <c r="G121" s="13" t="s">
        <v>22</v>
      </c>
      <c r="H121" s="14" t="s">
        <v>864</v>
      </c>
    </row>
    <row r="122" spans="1:8" ht="45" x14ac:dyDescent="0.25">
      <c r="A122" s="12">
        <v>120</v>
      </c>
      <c r="B122" s="13" t="s">
        <v>265</v>
      </c>
      <c r="C122" s="13" t="s">
        <v>116</v>
      </c>
      <c r="D122" s="13" t="s">
        <v>290</v>
      </c>
      <c r="E122" s="13" t="s">
        <v>44</v>
      </c>
      <c r="F122" s="13" t="s">
        <v>28</v>
      </c>
      <c r="G122" s="13" t="s">
        <v>3</v>
      </c>
      <c r="H122" s="14" t="s">
        <v>865</v>
      </c>
    </row>
    <row r="123" spans="1:8" x14ac:dyDescent="0.25">
      <c r="A123" s="12">
        <v>121</v>
      </c>
      <c r="B123" s="13" t="s">
        <v>265</v>
      </c>
      <c r="C123" s="13" t="s">
        <v>292</v>
      </c>
      <c r="D123" s="13" t="s">
        <v>224</v>
      </c>
      <c r="E123" s="13" t="s">
        <v>44</v>
      </c>
      <c r="F123" s="13" t="s">
        <v>18</v>
      </c>
      <c r="G123" s="13" t="s">
        <v>18</v>
      </c>
      <c r="H123" s="14" t="s">
        <v>866</v>
      </c>
    </row>
    <row r="124" spans="1:8" x14ac:dyDescent="0.25">
      <c r="A124" s="12">
        <v>122</v>
      </c>
      <c r="B124" s="13" t="s">
        <v>265</v>
      </c>
      <c r="C124" s="13" t="s">
        <v>294</v>
      </c>
      <c r="D124" s="13" t="s">
        <v>295</v>
      </c>
      <c r="E124" s="13" t="s">
        <v>44</v>
      </c>
      <c r="F124" s="13" t="s">
        <v>18</v>
      </c>
      <c r="G124" s="13" t="s">
        <v>4</v>
      </c>
      <c r="H124" s="14" t="s">
        <v>867</v>
      </c>
    </row>
    <row r="125" spans="1:8" ht="45" x14ac:dyDescent="0.25">
      <c r="A125" s="12">
        <v>123</v>
      </c>
      <c r="B125" s="13" t="s">
        <v>265</v>
      </c>
      <c r="C125" s="13" t="s">
        <v>122</v>
      </c>
      <c r="D125" s="13" t="s">
        <v>297</v>
      </c>
      <c r="E125" s="13" t="s">
        <v>44</v>
      </c>
      <c r="F125" s="13" t="s">
        <v>18</v>
      </c>
      <c r="G125" s="13" t="s">
        <v>37</v>
      </c>
      <c r="H125" s="14" t="s">
        <v>868</v>
      </c>
    </row>
    <row r="126" spans="1:8" ht="30" x14ac:dyDescent="0.25">
      <c r="A126" s="12">
        <v>124</v>
      </c>
      <c r="B126" s="13" t="s">
        <v>265</v>
      </c>
      <c r="C126" s="13" t="s">
        <v>127</v>
      </c>
      <c r="D126" s="13" t="s">
        <v>128</v>
      </c>
      <c r="E126" s="13" t="s">
        <v>44</v>
      </c>
      <c r="F126" s="13" t="s">
        <v>18</v>
      </c>
      <c r="G126" s="13" t="s">
        <v>5</v>
      </c>
      <c r="H126" s="14" t="s">
        <v>869</v>
      </c>
    </row>
    <row r="127" spans="1:8" x14ac:dyDescent="0.25">
      <c r="A127" s="12">
        <v>125</v>
      </c>
      <c r="B127" s="13" t="s">
        <v>300</v>
      </c>
      <c r="C127" s="13" t="s">
        <v>266</v>
      </c>
      <c r="D127" s="13" t="s">
        <v>301</v>
      </c>
      <c r="E127" s="13" t="s">
        <v>22</v>
      </c>
      <c r="F127" s="13" t="s">
        <v>18</v>
      </c>
      <c r="G127" s="13" t="s">
        <v>44</v>
      </c>
      <c r="H127" s="14" t="s">
        <v>870</v>
      </c>
    </row>
    <row r="128" spans="1:8" ht="30" x14ac:dyDescent="0.25">
      <c r="A128" s="12">
        <v>126</v>
      </c>
      <c r="B128" s="13" t="s">
        <v>300</v>
      </c>
      <c r="C128" s="13" t="s">
        <v>131</v>
      </c>
      <c r="D128" s="13" t="s">
        <v>135</v>
      </c>
      <c r="E128" s="13" t="s">
        <v>22</v>
      </c>
      <c r="F128" s="13" t="s">
        <v>18</v>
      </c>
      <c r="G128" s="13" t="s">
        <v>19</v>
      </c>
      <c r="H128" s="14" t="s">
        <v>871</v>
      </c>
    </row>
    <row r="129" spans="1:8" x14ac:dyDescent="0.25">
      <c r="A129" s="12">
        <v>127</v>
      </c>
      <c r="B129" s="13" t="s">
        <v>300</v>
      </c>
      <c r="C129" s="13" t="s">
        <v>135</v>
      </c>
      <c r="D129" s="13" t="s">
        <v>136</v>
      </c>
      <c r="E129" s="13" t="s">
        <v>22</v>
      </c>
      <c r="F129" s="13" t="s">
        <v>18</v>
      </c>
      <c r="G129" s="13" t="s">
        <v>22</v>
      </c>
      <c r="H129" s="14" t="s">
        <v>872</v>
      </c>
    </row>
    <row r="130" spans="1:8" x14ac:dyDescent="0.25">
      <c r="A130" s="12">
        <v>128</v>
      </c>
      <c r="B130" s="13" t="s">
        <v>300</v>
      </c>
      <c r="C130" s="13" t="s">
        <v>305</v>
      </c>
      <c r="D130" s="13" t="s">
        <v>140</v>
      </c>
      <c r="E130" s="13" t="s">
        <v>22</v>
      </c>
      <c r="F130" s="13" t="s">
        <v>18</v>
      </c>
      <c r="G130" s="13" t="s">
        <v>3</v>
      </c>
      <c r="H130" s="14" t="s">
        <v>873</v>
      </c>
    </row>
    <row r="131" spans="1:8" x14ac:dyDescent="0.25">
      <c r="A131" s="12">
        <v>129</v>
      </c>
      <c r="B131" s="13" t="s">
        <v>300</v>
      </c>
      <c r="C131" s="13" t="s">
        <v>31</v>
      </c>
      <c r="D131" s="13" t="s">
        <v>307</v>
      </c>
      <c r="E131" s="13" t="s">
        <v>22</v>
      </c>
      <c r="F131" s="13" t="s">
        <v>18</v>
      </c>
      <c r="G131" s="13" t="s">
        <v>28</v>
      </c>
      <c r="H131" s="14" t="s">
        <v>874</v>
      </c>
    </row>
    <row r="132" spans="1:8" x14ac:dyDescent="0.25">
      <c r="A132" s="12">
        <v>130</v>
      </c>
      <c r="B132" s="13" t="s">
        <v>300</v>
      </c>
      <c r="C132" s="13" t="s">
        <v>307</v>
      </c>
      <c r="D132" s="13" t="s">
        <v>309</v>
      </c>
      <c r="E132" s="13" t="s">
        <v>22</v>
      </c>
      <c r="F132" s="13" t="s">
        <v>4</v>
      </c>
      <c r="G132" s="13" t="s">
        <v>4</v>
      </c>
      <c r="H132" s="14" t="s">
        <v>875</v>
      </c>
    </row>
    <row r="133" spans="1:8" ht="30" x14ac:dyDescent="0.25">
      <c r="A133" s="12">
        <v>131</v>
      </c>
      <c r="B133" s="13" t="s">
        <v>300</v>
      </c>
      <c r="C133" s="13" t="s">
        <v>311</v>
      </c>
      <c r="D133" s="13" t="s">
        <v>312</v>
      </c>
      <c r="E133" s="13" t="s">
        <v>22</v>
      </c>
      <c r="F133" s="13" t="s">
        <v>4</v>
      </c>
      <c r="G133" s="13" t="s">
        <v>37</v>
      </c>
      <c r="H133" s="14" t="s">
        <v>876</v>
      </c>
    </row>
    <row r="134" spans="1:8" x14ac:dyDescent="0.25">
      <c r="A134" s="12">
        <v>132</v>
      </c>
      <c r="B134" s="13" t="s">
        <v>300</v>
      </c>
      <c r="C134" s="13" t="s">
        <v>146</v>
      </c>
      <c r="D134" s="13" t="s">
        <v>314</v>
      </c>
      <c r="E134" s="13" t="s">
        <v>22</v>
      </c>
      <c r="F134" s="13" t="s">
        <v>4</v>
      </c>
      <c r="G134" s="13" t="s">
        <v>5</v>
      </c>
      <c r="H134" s="14" t="s">
        <v>877</v>
      </c>
    </row>
    <row r="135" spans="1:8" ht="30" x14ac:dyDescent="0.25">
      <c r="A135" s="12">
        <v>133</v>
      </c>
      <c r="B135" s="13" t="s">
        <v>300</v>
      </c>
      <c r="C135" s="13" t="s">
        <v>314</v>
      </c>
      <c r="D135" s="13" t="s">
        <v>151</v>
      </c>
      <c r="E135" s="13" t="s">
        <v>22</v>
      </c>
      <c r="F135" s="13" t="s">
        <v>4</v>
      </c>
      <c r="G135" s="13" t="s">
        <v>44</v>
      </c>
      <c r="H135" s="14" t="s">
        <v>878</v>
      </c>
    </row>
    <row r="136" spans="1:8" ht="30" x14ac:dyDescent="0.25">
      <c r="A136" s="12">
        <v>134</v>
      </c>
      <c r="B136" s="13" t="s">
        <v>300</v>
      </c>
      <c r="C136" s="13" t="s">
        <v>317</v>
      </c>
      <c r="D136" s="13" t="s">
        <v>153</v>
      </c>
      <c r="E136" s="13" t="s">
        <v>22</v>
      </c>
      <c r="F136" s="13" t="s">
        <v>4</v>
      </c>
      <c r="G136" s="13" t="s">
        <v>19</v>
      </c>
      <c r="H136" s="14" t="s">
        <v>879</v>
      </c>
    </row>
    <row r="137" spans="1:8" x14ac:dyDescent="0.25">
      <c r="A137" s="12">
        <v>135</v>
      </c>
      <c r="B137" s="13" t="s">
        <v>300</v>
      </c>
      <c r="C137" s="13" t="s">
        <v>153</v>
      </c>
      <c r="D137" s="13" t="s">
        <v>155</v>
      </c>
      <c r="E137" s="13" t="s">
        <v>22</v>
      </c>
      <c r="F137" s="13" t="s">
        <v>4</v>
      </c>
      <c r="G137" s="13" t="s">
        <v>22</v>
      </c>
      <c r="H137" s="14" t="s">
        <v>880</v>
      </c>
    </row>
    <row r="138" spans="1:8" x14ac:dyDescent="0.25">
      <c r="A138" s="12">
        <v>136</v>
      </c>
      <c r="B138" s="13" t="s">
        <v>300</v>
      </c>
      <c r="C138" s="13" t="s">
        <v>155</v>
      </c>
      <c r="D138" s="13" t="s">
        <v>320</v>
      </c>
      <c r="E138" s="13" t="s">
        <v>22</v>
      </c>
      <c r="F138" s="13" t="s">
        <v>4</v>
      </c>
      <c r="G138" s="13" t="s">
        <v>3</v>
      </c>
      <c r="H138" s="14" t="s">
        <v>881</v>
      </c>
    </row>
    <row r="139" spans="1:8" x14ac:dyDescent="0.25">
      <c r="A139" s="12">
        <v>137</v>
      </c>
      <c r="B139" s="13" t="s">
        <v>300</v>
      </c>
      <c r="C139" s="13" t="s">
        <v>322</v>
      </c>
      <c r="D139" s="13" t="s">
        <v>323</v>
      </c>
      <c r="E139" s="13" t="s">
        <v>22</v>
      </c>
      <c r="F139" s="13" t="s">
        <v>4</v>
      </c>
      <c r="G139" s="13" t="s">
        <v>28</v>
      </c>
      <c r="H139" s="14" t="s">
        <v>882</v>
      </c>
    </row>
    <row r="140" spans="1:8" x14ac:dyDescent="0.25">
      <c r="A140" s="12">
        <v>138</v>
      </c>
      <c r="B140" s="13" t="s">
        <v>300</v>
      </c>
      <c r="C140" s="13" t="s">
        <v>161</v>
      </c>
      <c r="D140" s="13" t="s">
        <v>325</v>
      </c>
      <c r="E140" s="13" t="s">
        <v>22</v>
      </c>
      <c r="F140" s="13" t="s">
        <v>4</v>
      </c>
      <c r="G140" s="13" t="s">
        <v>18</v>
      </c>
      <c r="H140" s="14" t="s">
        <v>883</v>
      </c>
    </row>
    <row r="141" spans="1:8" ht="30" x14ac:dyDescent="0.25">
      <c r="A141" s="12">
        <v>139</v>
      </c>
      <c r="B141" s="13" t="s">
        <v>300</v>
      </c>
      <c r="C141" s="13" t="s">
        <v>162</v>
      </c>
      <c r="D141" s="13" t="s">
        <v>164</v>
      </c>
      <c r="E141" s="13" t="s">
        <v>22</v>
      </c>
      <c r="F141" s="13" t="s">
        <v>37</v>
      </c>
      <c r="G141" s="13" t="s">
        <v>37</v>
      </c>
      <c r="H141" s="14" t="s">
        <v>884</v>
      </c>
    </row>
    <row r="142" spans="1:8" ht="30" x14ac:dyDescent="0.25">
      <c r="A142" s="12">
        <v>140</v>
      </c>
      <c r="B142" s="13" t="s">
        <v>300</v>
      </c>
      <c r="C142" s="13" t="s">
        <v>166</v>
      </c>
      <c r="D142" s="13" t="s">
        <v>169</v>
      </c>
      <c r="E142" s="13" t="s">
        <v>22</v>
      </c>
      <c r="F142" s="13" t="s">
        <v>37</v>
      </c>
      <c r="G142" s="13" t="s">
        <v>5</v>
      </c>
      <c r="H142" s="14" t="s">
        <v>885</v>
      </c>
    </row>
    <row r="143" spans="1:8" ht="30" x14ac:dyDescent="0.25">
      <c r="A143" s="12">
        <v>141</v>
      </c>
      <c r="B143" s="13" t="s">
        <v>300</v>
      </c>
      <c r="C143" s="13" t="s">
        <v>169</v>
      </c>
      <c r="D143" s="13" t="s">
        <v>170</v>
      </c>
      <c r="E143" s="13" t="s">
        <v>22</v>
      </c>
      <c r="F143" s="13" t="s">
        <v>37</v>
      </c>
      <c r="G143" s="13" t="s">
        <v>44</v>
      </c>
      <c r="H143" s="14" t="s">
        <v>886</v>
      </c>
    </row>
    <row r="144" spans="1:8" ht="30" x14ac:dyDescent="0.25">
      <c r="A144" s="12">
        <v>142</v>
      </c>
      <c r="B144" s="13" t="s">
        <v>300</v>
      </c>
      <c r="C144" s="13" t="s">
        <v>172</v>
      </c>
      <c r="D144" s="13" t="s">
        <v>330</v>
      </c>
      <c r="E144" s="13" t="s">
        <v>22</v>
      </c>
      <c r="F144" s="13" t="s">
        <v>37</v>
      </c>
      <c r="G144" s="13" t="s">
        <v>19</v>
      </c>
      <c r="H144" s="14" t="s">
        <v>887</v>
      </c>
    </row>
    <row r="145" spans="1:8" ht="30" x14ac:dyDescent="0.25">
      <c r="A145" s="12">
        <v>143</v>
      </c>
      <c r="B145" s="13" t="s">
        <v>300</v>
      </c>
      <c r="C145" s="13" t="s">
        <v>330</v>
      </c>
      <c r="D145" s="13" t="s">
        <v>176</v>
      </c>
      <c r="E145" s="13" t="s">
        <v>22</v>
      </c>
      <c r="F145" s="13" t="s">
        <v>37</v>
      </c>
      <c r="G145" s="13" t="s">
        <v>22</v>
      </c>
      <c r="H145" s="14" t="s">
        <v>888</v>
      </c>
    </row>
    <row r="146" spans="1:8" ht="45" x14ac:dyDescent="0.25">
      <c r="A146" s="12">
        <v>144</v>
      </c>
      <c r="B146" s="13" t="s">
        <v>300</v>
      </c>
      <c r="C146" s="13" t="s">
        <v>176</v>
      </c>
      <c r="D146" s="13" t="s">
        <v>333</v>
      </c>
      <c r="E146" s="13" t="s">
        <v>22</v>
      </c>
      <c r="F146" s="13" t="s">
        <v>37</v>
      </c>
      <c r="G146" s="13" t="s">
        <v>3</v>
      </c>
      <c r="H146" s="14" t="s">
        <v>889</v>
      </c>
    </row>
    <row r="147" spans="1:8" ht="45" x14ac:dyDescent="0.25">
      <c r="A147" s="12">
        <v>145</v>
      </c>
      <c r="B147" s="13" t="s">
        <v>300</v>
      </c>
      <c r="C147" s="13" t="s">
        <v>178</v>
      </c>
      <c r="D147" s="13" t="s">
        <v>76</v>
      </c>
      <c r="E147" s="13" t="s">
        <v>22</v>
      </c>
      <c r="F147" s="13" t="s">
        <v>37</v>
      </c>
      <c r="G147" s="13" t="s">
        <v>28</v>
      </c>
      <c r="H147" s="14" t="s">
        <v>890</v>
      </c>
    </row>
    <row r="148" spans="1:8" x14ac:dyDescent="0.25">
      <c r="A148" s="12">
        <v>146</v>
      </c>
      <c r="B148" s="13" t="s">
        <v>336</v>
      </c>
      <c r="C148" s="13" t="s">
        <v>16</v>
      </c>
      <c r="D148" s="13" t="s">
        <v>337</v>
      </c>
      <c r="E148" s="13" t="s">
        <v>18</v>
      </c>
      <c r="F148" s="13" t="s">
        <v>37</v>
      </c>
      <c r="G148" s="13" t="s">
        <v>28</v>
      </c>
      <c r="H148" s="14" t="s">
        <v>891</v>
      </c>
    </row>
    <row r="149" spans="1:8" x14ac:dyDescent="0.25">
      <c r="A149" s="12">
        <v>147</v>
      </c>
      <c r="B149" s="13" t="s">
        <v>336</v>
      </c>
      <c r="C149" s="13" t="s">
        <v>182</v>
      </c>
      <c r="D149" s="13" t="s">
        <v>184</v>
      </c>
      <c r="E149" s="13" t="s">
        <v>18</v>
      </c>
      <c r="F149" s="13" t="s">
        <v>37</v>
      </c>
      <c r="G149" s="13" t="s">
        <v>18</v>
      </c>
      <c r="H149" s="14" t="s">
        <v>892</v>
      </c>
    </row>
    <row r="150" spans="1:8" x14ac:dyDescent="0.25">
      <c r="A150" s="12">
        <v>148</v>
      </c>
      <c r="B150" s="13" t="s">
        <v>336</v>
      </c>
      <c r="C150" s="13" t="s">
        <v>184</v>
      </c>
      <c r="D150" s="13" t="s">
        <v>340</v>
      </c>
      <c r="E150" s="13" t="s">
        <v>18</v>
      </c>
      <c r="F150" s="13" t="s">
        <v>37</v>
      </c>
      <c r="G150" s="13" t="s">
        <v>4</v>
      </c>
      <c r="H150" s="14" t="s">
        <v>893</v>
      </c>
    </row>
    <row r="151" spans="1:8" ht="30" x14ac:dyDescent="0.25">
      <c r="A151" s="12">
        <v>149</v>
      </c>
      <c r="B151" s="13" t="s">
        <v>336</v>
      </c>
      <c r="C151" s="13" t="s">
        <v>189</v>
      </c>
      <c r="D151" s="13" t="s">
        <v>342</v>
      </c>
      <c r="E151" s="13" t="s">
        <v>18</v>
      </c>
      <c r="F151" s="13" t="s">
        <v>5</v>
      </c>
      <c r="G151" s="13" t="s">
        <v>5</v>
      </c>
      <c r="H151" s="14" t="s">
        <v>894</v>
      </c>
    </row>
    <row r="152" spans="1:8" ht="30" x14ac:dyDescent="0.25">
      <c r="A152" s="12">
        <v>150</v>
      </c>
      <c r="B152" s="13" t="s">
        <v>336</v>
      </c>
      <c r="C152" s="13" t="s">
        <v>190</v>
      </c>
      <c r="D152" s="13" t="s">
        <v>186</v>
      </c>
      <c r="E152" s="13" t="s">
        <v>18</v>
      </c>
      <c r="F152" s="13" t="s">
        <v>5</v>
      </c>
      <c r="G152" s="13" t="s">
        <v>44</v>
      </c>
      <c r="H152" s="14" t="s">
        <v>895</v>
      </c>
    </row>
    <row r="153" spans="1:8" ht="30" x14ac:dyDescent="0.25">
      <c r="A153" s="12">
        <v>151</v>
      </c>
      <c r="B153" s="13" t="s">
        <v>336</v>
      </c>
      <c r="C153" s="13" t="s">
        <v>186</v>
      </c>
      <c r="D153" s="13" t="s">
        <v>193</v>
      </c>
      <c r="E153" s="13" t="s">
        <v>18</v>
      </c>
      <c r="F153" s="13" t="s">
        <v>5</v>
      </c>
      <c r="G153" s="13" t="s">
        <v>19</v>
      </c>
      <c r="H153" s="14" t="s">
        <v>896</v>
      </c>
    </row>
    <row r="154" spans="1:8" ht="30" x14ac:dyDescent="0.25">
      <c r="A154" s="12">
        <v>152</v>
      </c>
      <c r="B154" s="13" t="s">
        <v>336</v>
      </c>
      <c r="C154" s="13" t="s">
        <v>193</v>
      </c>
      <c r="D154" s="13" t="s">
        <v>198</v>
      </c>
      <c r="E154" s="13" t="s">
        <v>18</v>
      </c>
      <c r="F154" s="13" t="s">
        <v>5</v>
      </c>
      <c r="G154" s="13" t="s">
        <v>22</v>
      </c>
      <c r="H154" s="14" t="s">
        <v>897</v>
      </c>
    </row>
    <row r="155" spans="1:8" x14ac:dyDescent="0.25">
      <c r="A155" s="12">
        <v>153</v>
      </c>
      <c r="B155" s="13" t="s">
        <v>336</v>
      </c>
      <c r="C155" s="13" t="s">
        <v>198</v>
      </c>
      <c r="D155" s="13" t="s">
        <v>347</v>
      </c>
      <c r="E155" s="13" t="s">
        <v>18</v>
      </c>
      <c r="F155" s="13" t="s">
        <v>5</v>
      </c>
      <c r="G155" s="13" t="s">
        <v>3</v>
      </c>
      <c r="H155" s="14" t="s">
        <v>898</v>
      </c>
    </row>
    <row r="156" spans="1:8" x14ac:dyDescent="0.25">
      <c r="A156" s="12">
        <v>154</v>
      </c>
      <c r="B156" s="13" t="s">
        <v>336</v>
      </c>
      <c r="C156" s="13" t="s">
        <v>349</v>
      </c>
      <c r="D156" s="13" t="s">
        <v>350</v>
      </c>
      <c r="E156" s="13" t="s">
        <v>18</v>
      </c>
      <c r="F156" s="13" t="s">
        <v>5</v>
      </c>
      <c r="G156" s="13" t="s">
        <v>28</v>
      </c>
      <c r="H156" s="14" t="s">
        <v>899</v>
      </c>
    </row>
    <row r="157" spans="1:8" ht="60" x14ac:dyDescent="0.25">
      <c r="A157" s="12">
        <v>155</v>
      </c>
      <c r="B157" s="13" t="s">
        <v>336</v>
      </c>
      <c r="C157" s="13" t="s">
        <v>352</v>
      </c>
      <c r="D157" s="13" t="s">
        <v>205</v>
      </c>
      <c r="E157" s="13" t="s">
        <v>18</v>
      </c>
      <c r="F157" s="13" t="s">
        <v>5</v>
      </c>
      <c r="G157" s="13" t="s">
        <v>18</v>
      </c>
      <c r="H157" s="14" t="s">
        <v>900</v>
      </c>
    </row>
    <row r="158" spans="1:8" ht="30" x14ac:dyDescent="0.25">
      <c r="A158" s="12">
        <v>156</v>
      </c>
      <c r="B158" s="13" t="s">
        <v>336</v>
      </c>
      <c r="C158" s="13" t="s">
        <v>207</v>
      </c>
      <c r="D158" s="13" t="s">
        <v>354</v>
      </c>
      <c r="E158" s="13" t="s">
        <v>18</v>
      </c>
      <c r="F158" s="13" t="s">
        <v>5</v>
      </c>
      <c r="G158" s="13" t="s">
        <v>4</v>
      </c>
      <c r="H158" s="14" t="s">
        <v>901</v>
      </c>
    </row>
    <row r="159" spans="1:8" x14ac:dyDescent="0.25">
      <c r="A159" s="12">
        <v>157</v>
      </c>
      <c r="B159" s="13" t="s">
        <v>336</v>
      </c>
      <c r="C159" s="13" t="s">
        <v>356</v>
      </c>
      <c r="D159" s="13" t="s">
        <v>210</v>
      </c>
      <c r="E159" s="13" t="s">
        <v>18</v>
      </c>
      <c r="F159" s="13" t="s">
        <v>5</v>
      </c>
      <c r="G159" s="13" t="s">
        <v>37</v>
      </c>
      <c r="H159" s="14" t="s">
        <v>902</v>
      </c>
    </row>
    <row r="160" spans="1:8" ht="30" x14ac:dyDescent="0.25">
      <c r="A160" s="12">
        <v>158</v>
      </c>
      <c r="B160" s="13" t="s">
        <v>336</v>
      </c>
      <c r="C160" s="13" t="s">
        <v>210</v>
      </c>
      <c r="D160" s="13" t="s">
        <v>358</v>
      </c>
      <c r="E160" s="13" t="s">
        <v>18</v>
      </c>
      <c r="F160" s="13" t="s">
        <v>44</v>
      </c>
      <c r="G160" s="13" t="s">
        <v>44</v>
      </c>
      <c r="H160" s="14" t="s">
        <v>903</v>
      </c>
    </row>
    <row r="161" spans="1:8" ht="30" x14ac:dyDescent="0.25">
      <c r="A161" s="12">
        <v>159</v>
      </c>
      <c r="B161" s="13" t="s">
        <v>336</v>
      </c>
      <c r="C161" s="13" t="s">
        <v>360</v>
      </c>
      <c r="D161" s="13" t="s">
        <v>361</v>
      </c>
      <c r="E161" s="13" t="s">
        <v>18</v>
      </c>
      <c r="F161" s="13" t="s">
        <v>44</v>
      </c>
      <c r="G161" s="13" t="s">
        <v>19</v>
      </c>
      <c r="H161" s="14" t="s">
        <v>904</v>
      </c>
    </row>
    <row r="162" spans="1:8" ht="30" x14ac:dyDescent="0.25">
      <c r="A162" s="12">
        <v>160</v>
      </c>
      <c r="B162" s="13" t="s">
        <v>336</v>
      </c>
      <c r="C162" s="13" t="s">
        <v>361</v>
      </c>
      <c r="D162" s="13" t="s">
        <v>218</v>
      </c>
      <c r="E162" s="13" t="s">
        <v>18</v>
      </c>
      <c r="F162" s="13" t="s">
        <v>44</v>
      </c>
      <c r="G162" s="13" t="s">
        <v>22</v>
      </c>
      <c r="H162" s="14" t="s">
        <v>905</v>
      </c>
    </row>
    <row r="163" spans="1:8" ht="45" x14ac:dyDescent="0.25">
      <c r="A163" s="12">
        <v>161</v>
      </c>
      <c r="B163" s="13" t="s">
        <v>336</v>
      </c>
      <c r="C163" s="13" t="s">
        <v>364</v>
      </c>
      <c r="D163" s="13" t="s">
        <v>220</v>
      </c>
      <c r="E163" s="13" t="s">
        <v>18</v>
      </c>
      <c r="F163" s="13" t="s">
        <v>44</v>
      </c>
      <c r="G163" s="13" t="s">
        <v>3</v>
      </c>
      <c r="H163" s="14" t="s">
        <v>906</v>
      </c>
    </row>
    <row r="164" spans="1:8" ht="30" x14ac:dyDescent="0.25">
      <c r="A164" s="12">
        <v>162</v>
      </c>
      <c r="B164" s="13" t="s">
        <v>336</v>
      </c>
      <c r="C164" s="13" t="s">
        <v>220</v>
      </c>
      <c r="D164" s="13" t="s">
        <v>117</v>
      </c>
      <c r="E164" s="13" t="s">
        <v>18</v>
      </c>
      <c r="F164" s="13" t="s">
        <v>44</v>
      </c>
      <c r="G164" s="13" t="s">
        <v>28</v>
      </c>
      <c r="H164" s="14" t="s">
        <v>907</v>
      </c>
    </row>
    <row r="165" spans="1:8" ht="30" x14ac:dyDescent="0.25">
      <c r="A165" s="12">
        <v>163</v>
      </c>
      <c r="B165" s="13" t="s">
        <v>336</v>
      </c>
      <c r="C165" s="13" t="s">
        <v>290</v>
      </c>
      <c r="D165" s="13" t="s">
        <v>121</v>
      </c>
      <c r="E165" s="13" t="s">
        <v>18</v>
      </c>
      <c r="F165" s="13" t="s">
        <v>44</v>
      </c>
      <c r="G165" s="13" t="s">
        <v>18</v>
      </c>
      <c r="H165" s="14" t="s">
        <v>908</v>
      </c>
    </row>
    <row r="166" spans="1:8" x14ac:dyDescent="0.25">
      <c r="A166" s="12">
        <v>164</v>
      </c>
      <c r="B166" s="13" t="s">
        <v>336</v>
      </c>
      <c r="C166" s="13" t="s">
        <v>121</v>
      </c>
      <c r="D166" s="13" t="s">
        <v>124</v>
      </c>
      <c r="E166" s="13" t="s">
        <v>18</v>
      </c>
      <c r="F166" s="13" t="s">
        <v>44</v>
      </c>
      <c r="G166" s="13" t="s">
        <v>4</v>
      </c>
      <c r="H166" s="14" t="s">
        <v>909</v>
      </c>
    </row>
    <row r="167" spans="1:8" ht="45" x14ac:dyDescent="0.25">
      <c r="A167" s="12">
        <v>165</v>
      </c>
      <c r="B167" s="13" t="s">
        <v>336</v>
      </c>
      <c r="C167" s="13" t="s">
        <v>122</v>
      </c>
      <c r="D167" s="13" t="s">
        <v>127</v>
      </c>
      <c r="E167" s="13" t="s">
        <v>18</v>
      </c>
      <c r="F167" s="13" t="s">
        <v>44</v>
      </c>
      <c r="G167" s="13" t="s">
        <v>37</v>
      </c>
      <c r="H167" s="14" t="s">
        <v>910</v>
      </c>
    </row>
    <row r="168" spans="1:8" ht="45" x14ac:dyDescent="0.25">
      <c r="A168" s="12">
        <v>166</v>
      </c>
      <c r="B168" s="13" t="s">
        <v>336</v>
      </c>
      <c r="C168" s="13" t="s">
        <v>127</v>
      </c>
      <c r="D168" s="13" t="s">
        <v>76</v>
      </c>
      <c r="E168" s="13" t="s">
        <v>18</v>
      </c>
      <c r="F168" s="13" t="s">
        <v>44</v>
      </c>
      <c r="G168" s="13" t="s">
        <v>5</v>
      </c>
      <c r="H168" s="14" t="s">
        <v>911</v>
      </c>
    </row>
    <row r="169" spans="1:8" ht="30" x14ac:dyDescent="0.25">
      <c r="A169" s="12">
        <v>167</v>
      </c>
      <c r="B169" s="13" t="s">
        <v>371</v>
      </c>
      <c r="C169" s="13" t="s">
        <v>16</v>
      </c>
      <c r="D169" s="13" t="s">
        <v>372</v>
      </c>
      <c r="E169" s="13" t="s">
        <v>37</v>
      </c>
      <c r="F169" s="13" t="s">
        <v>19</v>
      </c>
      <c r="G169" s="13" t="s">
        <v>19</v>
      </c>
      <c r="H169" s="14" t="s">
        <v>912</v>
      </c>
    </row>
    <row r="170" spans="1:8" x14ac:dyDescent="0.25">
      <c r="A170" s="12">
        <v>168</v>
      </c>
      <c r="B170" s="13" t="s">
        <v>371</v>
      </c>
      <c r="C170" s="13" t="s">
        <v>374</v>
      </c>
      <c r="D170" s="13" t="s">
        <v>24</v>
      </c>
      <c r="E170" s="13" t="s">
        <v>37</v>
      </c>
      <c r="F170" s="13" t="s">
        <v>19</v>
      </c>
      <c r="G170" s="13" t="s">
        <v>22</v>
      </c>
      <c r="H170" s="14" t="s">
        <v>913</v>
      </c>
    </row>
    <row r="171" spans="1:8" x14ac:dyDescent="0.25">
      <c r="A171" s="12">
        <v>169</v>
      </c>
      <c r="B171" s="13" t="s">
        <v>371</v>
      </c>
      <c r="C171" s="13" t="s">
        <v>21</v>
      </c>
      <c r="D171" s="13" t="s">
        <v>233</v>
      </c>
      <c r="E171" s="13" t="s">
        <v>37</v>
      </c>
      <c r="F171" s="13" t="s">
        <v>19</v>
      </c>
      <c r="G171" s="13" t="s">
        <v>3</v>
      </c>
      <c r="H171" s="14" t="s">
        <v>914</v>
      </c>
    </row>
    <row r="172" spans="1:8" x14ac:dyDescent="0.25">
      <c r="A172" s="12">
        <v>170</v>
      </c>
      <c r="B172" s="13" t="s">
        <v>371</v>
      </c>
      <c r="C172" s="13" t="s">
        <v>377</v>
      </c>
      <c r="D172" s="13" t="s">
        <v>27</v>
      </c>
      <c r="E172" s="13" t="s">
        <v>37</v>
      </c>
      <c r="F172" s="13" t="s">
        <v>19</v>
      </c>
      <c r="G172" s="13" t="s">
        <v>28</v>
      </c>
      <c r="H172" s="14" t="s">
        <v>915</v>
      </c>
    </row>
    <row r="173" spans="1:8" x14ac:dyDescent="0.25">
      <c r="A173" s="12">
        <v>171</v>
      </c>
      <c r="B173" s="13" t="s">
        <v>371</v>
      </c>
      <c r="C173" s="13" t="s">
        <v>379</v>
      </c>
      <c r="D173" s="13" t="s">
        <v>380</v>
      </c>
      <c r="E173" s="13" t="s">
        <v>37</v>
      </c>
      <c r="F173" s="13" t="s">
        <v>19</v>
      </c>
      <c r="G173" s="13" t="s">
        <v>18</v>
      </c>
      <c r="H173" s="14" t="s">
        <v>916</v>
      </c>
    </row>
    <row r="174" spans="1:8" ht="30" x14ac:dyDescent="0.25">
      <c r="A174" s="12">
        <v>172</v>
      </c>
      <c r="B174" s="13" t="s">
        <v>371</v>
      </c>
      <c r="C174" s="13" t="s">
        <v>382</v>
      </c>
      <c r="D174" s="13" t="s">
        <v>35</v>
      </c>
      <c r="E174" s="13" t="s">
        <v>37</v>
      </c>
      <c r="F174" s="13" t="s">
        <v>19</v>
      </c>
      <c r="G174" s="13" t="s">
        <v>4</v>
      </c>
      <c r="H174" s="14" t="s">
        <v>917</v>
      </c>
    </row>
    <row r="175" spans="1:8" ht="30" x14ac:dyDescent="0.25">
      <c r="A175" s="12">
        <v>173</v>
      </c>
      <c r="B175" s="13" t="s">
        <v>371</v>
      </c>
      <c r="C175" s="13" t="s">
        <v>33</v>
      </c>
      <c r="D175" s="13" t="s">
        <v>36</v>
      </c>
      <c r="E175" s="13" t="s">
        <v>37</v>
      </c>
      <c r="F175" s="13" t="s">
        <v>19</v>
      </c>
      <c r="G175" s="13" t="s">
        <v>37</v>
      </c>
      <c r="H175" s="14" t="s">
        <v>918</v>
      </c>
    </row>
    <row r="176" spans="1:8" ht="30" x14ac:dyDescent="0.25">
      <c r="A176" s="12">
        <v>174</v>
      </c>
      <c r="B176" s="13" t="s">
        <v>371</v>
      </c>
      <c r="C176" s="13" t="s">
        <v>36</v>
      </c>
      <c r="D176" s="13" t="s">
        <v>40</v>
      </c>
      <c r="E176" s="13" t="s">
        <v>37</v>
      </c>
      <c r="F176" s="13" t="s">
        <v>19</v>
      </c>
      <c r="G176" s="13" t="s">
        <v>5</v>
      </c>
      <c r="H176" s="14" t="s">
        <v>919</v>
      </c>
    </row>
    <row r="177" spans="1:8" ht="30" x14ac:dyDescent="0.25">
      <c r="A177" s="12">
        <v>175</v>
      </c>
      <c r="B177" s="13" t="s">
        <v>371</v>
      </c>
      <c r="C177" s="13" t="s">
        <v>40</v>
      </c>
      <c r="D177" s="13" t="s">
        <v>386</v>
      </c>
      <c r="E177" s="13" t="s">
        <v>37</v>
      </c>
      <c r="F177" s="13" t="s">
        <v>19</v>
      </c>
      <c r="G177" s="13" t="s">
        <v>44</v>
      </c>
      <c r="H177" s="14" t="s">
        <v>920</v>
      </c>
    </row>
    <row r="178" spans="1:8" x14ac:dyDescent="0.25">
      <c r="A178" s="12">
        <v>176</v>
      </c>
      <c r="B178" s="13" t="s">
        <v>371</v>
      </c>
      <c r="C178" s="13" t="s">
        <v>43</v>
      </c>
      <c r="D178" s="13" t="s">
        <v>47</v>
      </c>
      <c r="E178" s="13" t="s">
        <v>37</v>
      </c>
      <c r="F178" s="13" t="s">
        <v>22</v>
      </c>
      <c r="G178" s="13" t="s">
        <v>22</v>
      </c>
      <c r="H178" s="14" t="s">
        <v>921</v>
      </c>
    </row>
    <row r="179" spans="1:8" x14ac:dyDescent="0.25">
      <c r="A179" s="12">
        <v>177</v>
      </c>
      <c r="B179" s="13" t="s">
        <v>371</v>
      </c>
      <c r="C179" s="13" t="s">
        <v>47</v>
      </c>
      <c r="D179" s="13" t="s">
        <v>52</v>
      </c>
      <c r="E179" s="13" t="s">
        <v>37</v>
      </c>
      <c r="F179" s="13" t="s">
        <v>22</v>
      </c>
      <c r="G179" s="13" t="s">
        <v>3</v>
      </c>
      <c r="H179" s="14" t="s">
        <v>922</v>
      </c>
    </row>
    <row r="180" spans="1:8" x14ac:dyDescent="0.25">
      <c r="A180" s="12">
        <v>178</v>
      </c>
      <c r="B180" s="13" t="s">
        <v>371</v>
      </c>
      <c r="C180" s="13" t="s">
        <v>52</v>
      </c>
      <c r="D180" s="13" t="s">
        <v>247</v>
      </c>
      <c r="E180" s="13" t="s">
        <v>37</v>
      </c>
      <c r="F180" s="13" t="s">
        <v>22</v>
      </c>
      <c r="G180" s="13" t="s">
        <v>28</v>
      </c>
      <c r="H180" s="14" t="s">
        <v>923</v>
      </c>
    </row>
    <row r="181" spans="1:8" ht="30" x14ac:dyDescent="0.25">
      <c r="A181" s="12">
        <v>179</v>
      </c>
      <c r="B181" s="13" t="s">
        <v>371</v>
      </c>
      <c r="C181" s="13" t="s">
        <v>247</v>
      </c>
      <c r="D181" s="13" t="s">
        <v>320</v>
      </c>
      <c r="E181" s="13" t="s">
        <v>37</v>
      </c>
      <c r="F181" s="13" t="s">
        <v>22</v>
      </c>
      <c r="G181" s="13" t="s">
        <v>18</v>
      </c>
      <c r="H181" s="14" t="s">
        <v>924</v>
      </c>
    </row>
    <row r="182" spans="1:8" ht="45" x14ac:dyDescent="0.25">
      <c r="A182" s="12">
        <v>180</v>
      </c>
      <c r="B182" s="13" t="s">
        <v>371</v>
      </c>
      <c r="C182" s="13" t="s">
        <v>56</v>
      </c>
      <c r="D182" s="13" t="s">
        <v>392</v>
      </c>
      <c r="E182" s="13" t="s">
        <v>37</v>
      </c>
      <c r="F182" s="13" t="s">
        <v>22</v>
      </c>
      <c r="G182" s="13" t="s">
        <v>4</v>
      </c>
      <c r="H182" s="14" t="s">
        <v>925</v>
      </c>
    </row>
    <row r="183" spans="1:8" ht="45" x14ac:dyDescent="0.25">
      <c r="A183" s="12">
        <v>181</v>
      </c>
      <c r="B183" s="13" t="s">
        <v>371</v>
      </c>
      <c r="C183" s="13" t="s">
        <v>58</v>
      </c>
      <c r="D183" s="13" t="s">
        <v>394</v>
      </c>
      <c r="E183" s="13" t="s">
        <v>37</v>
      </c>
      <c r="F183" s="13" t="s">
        <v>22</v>
      </c>
      <c r="G183" s="13" t="s">
        <v>37</v>
      </c>
      <c r="H183" s="14" t="s">
        <v>926</v>
      </c>
    </row>
    <row r="184" spans="1:8" ht="45" x14ac:dyDescent="0.25">
      <c r="A184" s="12">
        <v>182</v>
      </c>
      <c r="B184" s="13" t="s">
        <v>371</v>
      </c>
      <c r="C184" s="13" t="s">
        <v>61</v>
      </c>
      <c r="D184" s="13" t="s">
        <v>396</v>
      </c>
      <c r="E184" s="13" t="s">
        <v>37</v>
      </c>
      <c r="F184" s="13" t="s">
        <v>22</v>
      </c>
      <c r="G184" s="13" t="s">
        <v>5</v>
      </c>
      <c r="H184" s="14" t="s">
        <v>927</v>
      </c>
    </row>
    <row r="185" spans="1:8" ht="60" x14ac:dyDescent="0.25">
      <c r="A185" s="12">
        <v>183</v>
      </c>
      <c r="B185" s="13" t="s">
        <v>371</v>
      </c>
      <c r="C185" s="13" t="s">
        <v>253</v>
      </c>
      <c r="D185" s="13" t="s">
        <v>65</v>
      </c>
      <c r="E185" s="13" t="s">
        <v>37</v>
      </c>
      <c r="F185" s="13" t="s">
        <v>22</v>
      </c>
      <c r="G185" s="13" t="s">
        <v>44</v>
      </c>
      <c r="H185" s="14" t="s">
        <v>928</v>
      </c>
    </row>
    <row r="186" spans="1:8" ht="30" x14ac:dyDescent="0.25">
      <c r="A186" s="12">
        <v>184</v>
      </c>
      <c r="B186" s="13" t="s">
        <v>371</v>
      </c>
      <c r="C186" s="13" t="s">
        <v>399</v>
      </c>
      <c r="D186" s="13" t="s">
        <v>69</v>
      </c>
      <c r="E186" s="13" t="s">
        <v>37</v>
      </c>
      <c r="F186" s="13" t="s">
        <v>22</v>
      </c>
      <c r="G186" s="13" t="s">
        <v>19</v>
      </c>
      <c r="H186" s="14" t="s">
        <v>929</v>
      </c>
    </row>
    <row r="187" spans="1:8" ht="30" x14ac:dyDescent="0.25">
      <c r="A187" s="12">
        <v>185</v>
      </c>
      <c r="B187" s="13" t="s">
        <v>371</v>
      </c>
      <c r="C187" s="13" t="s">
        <v>401</v>
      </c>
      <c r="D187" s="13" t="s">
        <v>70</v>
      </c>
      <c r="E187" s="13" t="s">
        <v>37</v>
      </c>
      <c r="F187" s="13" t="s">
        <v>3</v>
      </c>
      <c r="G187" s="13" t="s">
        <v>3</v>
      </c>
      <c r="H187" s="14" t="s">
        <v>930</v>
      </c>
    </row>
    <row r="188" spans="1:8" x14ac:dyDescent="0.25">
      <c r="A188" s="12">
        <v>186</v>
      </c>
      <c r="B188" s="13" t="s">
        <v>371</v>
      </c>
      <c r="C188" s="13" t="s">
        <v>258</v>
      </c>
      <c r="D188" s="13" t="s">
        <v>259</v>
      </c>
      <c r="E188" s="13" t="s">
        <v>37</v>
      </c>
      <c r="F188" s="13" t="s">
        <v>3</v>
      </c>
      <c r="G188" s="13" t="s">
        <v>28</v>
      </c>
      <c r="H188" s="14" t="s">
        <v>931</v>
      </c>
    </row>
    <row r="189" spans="1:8" ht="30" x14ac:dyDescent="0.25">
      <c r="A189" s="12">
        <v>187</v>
      </c>
      <c r="B189" s="13" t="s">
        <v>371</v>
      </c>
      <c r="C189" s="13" t="s">
        <v>404</v>
      </c>
      <c r="D189" s="13" t="s">
        <v>261</v>
      </c>
      <c r="E189" s="13" t="s">
        <v>37</v>
      </c>
      <c r="F189" s="13" t="s">
        <v>3</v>
      </c>
      <c r="G189" s="13" t="s">
        <v>18</v>
      </c>
      <c r="H189" s="14" t="s">
        <v>932</v>
      </c>
    </row>
    <row r="190" spans="1:8" ht="30" x14ac:dyDescent="0.25">
      <c r="A190" s="12">
        <v>188</v>
      </c>
      <c r="B190" s="13" t="s">
        <v>371</v>
      </c>
      <c r="C190" s="13" t="s">
        <v>406</v>
      </c>
      <c r="D190" s="13" t="s">
        <v>76</v>
      </c>
      <c r="E190" s="13" t="s">
        <v>37</v>
      </c>
      <c r="F190" s="13" t="s">
        <v>3</v>
      </c>
      <c r="G190" s="13" t="s">
        <v>4</v>
      </c>
      <c r="H190" s="14" t="s">
        <v>933</v>
      </c>
    </row>
    <row r="191" spans="1:8" x14ac:dyDescent="0.25">
      <c r="A191" s="12">
        <v>189</v>
      </c>
      <c r="B191" s="13" t="s">
        <v>408</v>
      </c>
      <c r="C191" s="13" t="s">
        <v>16</v>
      </c>
      <c r="D191" s="13" t="s">
        <v>270</v>
      </c>
      <c r="E191" s="13" t="s">
        <v>5</v>
      </c>
      <c r="F191" s="13" t="s">
        <v>3</v>
      </c>
      <c r="G191" s="13" t="s">
        <v>4</v>
      </c>
      <c r="H191" s="14" t="s">
        <v>934</v>
      </c>
    </row>
    <row r="192" spans="1:8" ht="60" x14ac:dyDescent="0.25">
      <c r="A192" s="12">
        <v>190</v>
      </c>
      <c r="B192" s="13" t="s">
        <v>408</v>
      </c>
      <c r="C192" s="13" t="s">
        <v>270</v>
      </c>
      <c r="D192" s="13" t="s">
        <v>24</v>
      </c>
      <c r="E192" s="13" t="s">
        <v>5</v>
      </c>
      <c r="F192" s="13" t="s">
        <v>3</v>
      </c>
      <c r="G192" s="13" t="s">
        <v>37</v>
      </c>
      <c r="H192" s="14" t="s">
        <v>935</v>
      </c>
    </row>
    <row r="193" spans="1:8" ht="30" x14ac:dyDescent="0.25">
      <c r="A193" s="12">
        <v>191</v>
      </c>
      <c r="B193" s="13" t="s">
        <v>408</v>
      </c>
      <c r="C193" s="13" t="s">
        <v>21</v>
      </c>
      <c r="D193" s="13" t="s">
        <v>85</v>
      </c>
      <c r="E193" s="13" t="s">
        <v>5</v>
      </c>
      <c r="F193" s="13" t="s">
        <v>3</v>
      </c>
      <c r="G193" s="13" t="s">
        <v>5</v>
      </c>
      <c r="H193" s="14" t="s">
        <v>936</v>
      </c>
    </row>
    <row r="194" spans="1:8" ht="60" x14ac:dyDescent="0.25">
      <c r="A194" s="12">
        <v>192</v>
      </c>
      <c r="B194" s="13" t="s">
        <v>408</v>
      </c>
      <c r="C194" s="13" t="s">
        <v>85</v>
      </c>
      <c r="D194" s="13" t="s">
        <v>412</v>
      </c>
      <c r="E194" s="13" t="s">
        <v>5</v>
      </c>
      <c r="F194" s="13" t="s">
        <v>3</v>
      </c>
      <c r="G194" s="13" t="s">
        <v>44</v>
      </c>
      <c r="H194" s="14" t="s">
        <v>937</v>
      </c>
    </row>
    <row r="195" spans="1:8" ht="45" x14ac:dyDescent="0.25">
      <c r="A195" s="12">
        <v>193</v>
      </c>
      <c r="B195" s="13" t="s">
        <v>408</v>
      </c>
      <c r="C195" s="13" t="s">
        <v>86</v>
      </c>
      <c r="D195" s="13" t="s">
        <v>276</v>
      </c>
      <c r="E195" s="13" t="s">
        <v>5</v>
      </c>
      <c r="F195" s="13" t="s">
        <v>3</v>
      </c>
      <c r="G195" s="13" t="s">
        <v>19</v>
      </c>
      <c r="H195" s="14" t="s">
        <v>938</v>
      </c>
    </row>
    <row r="196" spans="1:8" ht="30" x14ac:dyDescent="0.25">
      <c r="A196" s="12">
        <v>194</v>
      </c>
      <c r="B196" s="13" t="s">
        <v>408</v>
      </c>
      <c r="C196" s="13" t="s">
        <v>274</v>
      </c>
      <c r="D196" s="13" t="s">
        <v>91</v>
      </c>
      <c r="E196" s="13" t="s">
        <v>5</v>
      </c>
      <c r="F196" s="13" t="s">
        <v>3</v>
      </c>
      <c r="G196" s="13" t="s">
        <v>22</v>
      </c>
      <c r="H196" s="14" t="s">
        <v>939</v>
      </c>
    </row>
    <row r="197" spans="1:8" ht="30" x14ac:dyDescent="0.25">
      <c r="A197" s="12">
        <v>195</v>
      </c>
      <c r="B197" s="13" t="s">
        <v>408</v>
      </c>
      <c r="C197" s="13" t="s">
        <v>91</v>
      </c>
      <c r="D197" s="13" t="s">
        <v>280</v>
      </c>
      <c r="E197" s="13" t="s">
        <v>5</v>
      </c>
      <c r="F197" s="13" t="s">
        <v>28</v>
      </c>
      <c r="G197" s="13" t="s">
        <v>28</v>
      </c>
      <c r="H197" s="14" t="s">
        <v>940</v>
      </c>
    </row>
    <row r="198" spans="1:8" ht="75" x14ac:dyDescent="0.25">
      <c r="A198" s="12">
        <v>196</v>
      </c>
      <c r="B198" s="13" t="s">
        <v>408</v>
      </c>
      <c r="C198" s="13" t="s">
        <v>95</v>
      </c>
      <c r="D198" s="13" t="s">
        <v>98</v>
      </c>
      <c r="E198" s="13" t="s">
        <v>5</v>
      </c>
      <c r="F198" s="13" t="s">
        <v>28</v>
      </c>
      <c r="G198" s="13" t="s">
        <v>18</v>
      </c>
      <c r="H198" s="14" t="s">
        <v>941</v>
      </c>
    </row>
    <row r="199" spans="1:8" ht="30" x14ac:dyDescent="0.25">
      <c r="A199" s="12">
        <v>197</v>
      </c>
      <c r="B199" s="13" t="s">
        <v>408</v>
      </c>
      <c r="C199" s="13" t="s">
        <v>418</v>
      </c>
      <c r="D199" s="13" t="s">
        <v>101</v>
      </c>
      <c r="E199" s="13" t="s">
        <v>5</v>
      </c>
      <c r="F199" s="13" t="s">
        <v>28</v>
      </c>
      <c r="G199" s="13" t="s">
        <v>4</v>
      </c>
      <c r="H199" s="14" t="s">
        <v>942</v>
      </c>
    </row>
    <row r="200" spans="1:8" ht="45" x14ac:dyDescent="0.25">
      <c r="A200" s="12">
        <v>198</v>
      </c>
      <c r="B200" s="13" t="s">
        <v>408</v>
      </c>
      <c r="C200" s="13" t="s">
        <v>99</v>
      </c>
      <c r="D200" s="13" t="s">
        <v>104</v>
      </c>
      <c r="E200" s="13" t="s">
        <v>5</v>
      </c>
      <c r="F200" s="13" t="s">
        <v>28</v>
      </c>
      <c r="G200" s="13" t="s">
        <v>37</v>
      </c>
      <c r="H200" s="14" t="s">
        <v>943</v>
      </c>
    </row>
    <row r="201" spans="1:8" ht="30" x14ac:dyDescent="0.25">
      <c r="A201" s="12"/>
      <c r="B201" s="13"/>
      <c r="C201" s="13"/>
      <c r="D201" s="13"/>
      <c r="E201" s="13"/>
      <c r="F201" s="13"/>
      <c r="G201" s="13"/>
      <c r="H201" s="14" t="s">
        <v>944</v>
      </c>
    </row>
    <row r="202" spans="1:8" ht="30" x14ac:dyDescent="0.25">
      <c r="A202" s="12">
        <v>199</v>
      </c>
      <c r="B202" s="13" t="s">
        <v>408</v>
      </c>
      <c r="C202" s="13" t="s">
        <v>422</v>
      </c>
      <c r="D202" s="13" t="s">
        <v>107</v>
      </c>
      <c r="E202" s="13" t="s">
        <v>5</v>
      </c>
      <c r="F202" s="13" t="s">
        <v>28</v>
      </c>
      <c r="G202" s="13" t="s">
        <v>5</v>
      </c>
      <c r="H202" s="14" t="s">
        <v>945</v>
      </c>
    </row>
    <row r="203" spans="1:8" ht="30" x14ac:dyDescent="0.25">
      <c r="A203" s="12">
        <v>200</v>
      </c>
      <c r="B203" s="13" t="s">
        <v>408</v>
      </c>
      <c r="C203" s="13" t="s">
        <v>424</v>
      </c>
      <c r="D203" s="13" t="s">
        <v>425</v>
      </c>
      <c r="E203" s="13" t="s">
        <v>5</v>
      </c>
      <c r="F203" s="13" t="s">
        <v>28</v>
      </c>
      <c r="G203" s="13" t="s">
        <v>44</v>
      </c>
      <c r="H203" s="14" t="s">
        <v>946</v>
      </c>
    </row>
    <row r="204" spans="1:8" ht="30" x14ac:dyDescent="0.25">
      <c r="A204" s="12">
        <v>201</v>
      </c>
      <c r="B204" s="13" t="s">
        <v>408</v>
      </c>
      <c r="C204" s="13" t="s">
        <v>427</v>
      </c>
      <c r="D204" s="13" t="s">
        <v>428</v>
      </c>
      <c r="E204" s="13" t="s">
        <v>5</v>
      </c>
      <c r="F204" s="13" t="s">
        <v>28</v>
      </c>
      <c r="G204" s="13" t="s">
        <v>19</v>
      </c>
      <c r="H204" s="14" t="s">
        <v>946</v>
      </c>
    </row>
    <row r="205" spans="1:8" ht="30" x14ac:dyDescent="0.25">
      <c r="A205" s="12">
        <v>202</v>
      </c>
      <c r="B205" s="13" t="s">
        <v>408</v>
      </c>
      <c r="C205" s="13" t="s">
        <v>428</v>
      </c>
      <c r="D205" s="13" t="s">
        <v>429</v>
      </c>
      <c r="E205" s="13" t="s">
        <v>5</v>
      </c>
      <c r="F205" s="13" t="s">
        <v>28</v>
      </c>
      <c r="G205" s="13" t="s">
        <v>22</v>
      </c>
      <c r="H205" s="14" t="s">
        <v>947</v>
      </c>
    </row>
    <row r="206" spans="1:8" ht="45" x14ac:dyDescent="0.25">
      <c r="A206" s="12">
        <v>203</v>
      </c>
      <c r="B206" s="13" t="s">
        <v>408</v>
      </c>
      <c r="C206" s="13" t="s">
        <v>114</v>
      </c>
      <c r="D206" s="13" t="s">
        <v>117</v>
      </c>
      <c r="E206" s="13" t="s">
        <v>5</v>
      </c>
      <c r="F206" s="13" t="s">
        <v>28</v>
      </c>
      <c r="G206" s="13" t="s">
        <v>3</v>
      </c>
      <c r="H206" s="14" t="s">
        <v>948</v>
      </c>
    </row>
    <row r="207" spans="1:8" ht="45" x14ac:dyDescent="0.25">
      <c r="A207" s="12">
        <v>204</v>
      </c>
      <c r="B207" s="13" t="s">
        <v>408</v>
      </c>
      <c r="C207" s="13" t="s">
        <v>117</v>
      </c>
      <c r="D207" s="13" t="s">
        <v>121</v>
      </c>
      <c r="E207" s="13" t="s">
        <v>5</v>
      </c>
      <c r="F207" s="13" t="s">
        <v>18</v>
      </c>
      <c r="G207" s="13" t="s">
        <v>18</v>
      </c>
      <c r="H207" s="14" t="s">
        <v>949</v>
      </c>
    </row>
    <row r="208" spans="1:8" ht="30" x14ac:dyDescent="0.25">
      <c r="A208" s="12">
        <v>205</v>
      </c>
      <c r="B208" s="13" t="s">
        <v>408</v>
      </c>
      <c r="C208" s="13" t="s">
        <v>121</v>
      </c>
      <c r="D208" s="13" t="s">
        <v>122</v>
      </c>
      <c r="E208" s="13" t="s">
        <v>5</v>
      </c>
      <c r="F208" s="13" t="s">
        <v>18</v>
      </c>
      <c r="G208" s="13" t="s">
        <v>4</v>
      </c>
      <c r="H208" s="14" t="s">
        <v>950</v>
      </c>
    </row>
    <row r="209" spans="1:8" ht="45" x14ac:dyDescent="0.25">
      <c r="A209" s="12">
        <v>206</v>
      </c>
      <c r="B209" s="13" t="s">
        <v>408</v>
      </c>
      <c r="C209" s="13" t="s">
        <v>124</v>
      </c>
      <c r="D209" s="13" t="s">
        <v>127</v>
      </c>
      <c r="E209" s="13" t="s">
        <v>5</v>
      </c>
      <c r="F209" s="13" t="s">
        <v>18</v>
      </c>
      <c r="G209" s="13" t="s">
        <v>37</v>
      </c>
      <c r="H209" s="14" t="s">
        <v>951</v>
      </c>
    </row>
    <row r="210" spans="1:8" ht="45" x14ac:dyDescent="0.25">
      <c r="A210" s="12">
        <v>207</v>
      </c>
      <c r="B210" s="13" t="s">
        <v>408</v>
      </c>
      <c r="C210" s="13" t="s">
        <v>127</v>
      </c>
      <c r="D210" s="13" t="s">
        <v>76</v>
      </c>
      <c r="E210" s="13" t="s">
        <v>5</v>
      </c>
      <c r="F210" s="13" t="s">
        <v>18</v>
      </c>
      <c r="G210" s="13" t="s">
        <v>5</v>
      </c>
      <c r="H210" s="14" t="s">
        <v>952</v>
      </c>
    </row>
    <row r="211" spans="1:8" ht="30" x14ac:dyDescent="0.25">
      <c r="A211" s="12">
        <v>208</v>
      </c>
      <c r="B211" s="13" t="s">
        <v>436</v>
      </c>
      <c r="C211" s="13" t="s">
        <v>266</v>
      </c>
      <c r="D211" s="13" t="s">
        <v>131</v>
      </c>
      <c r="E211" s="13" t="s">
        <v>5</v>
      </c>
      <c r="F211" s="13" t="s">
        <v>18</v>
      </c>
      <c r="G211" s="13" t="s">
        <v>44</v>
      </c>
      <c r="H211" s="14" t="s">
        <v>953</v>
      </c>
    </row>
    <row r="212" spans="1:8" ht="30" x14ac:dyDescent="0.25">
      <c r="A212" s="12">
        <v>209</v>
      </c>
      <c r="B212" s="13" t="s">
        <v>436</v>
      </c>
      <c r="C212" s="13" t="s">
        <v>131</v>
      </c>
      <c r="D212" s="13" t="s">
        <v>135</v>
      </c>
      <c r="E212" s="13" t="s">
        <v>5</v>
      </c>
      <c r="F212" s="13" t="s">
        <v>18</v>
      </c>
      <c r="G212" s="13" t="s">
        <v>19</v>
      </c>
      <c r="H212" s="14" t="s">
        <v>954</v>
      </c>
    </row>
    <row r="213" spans="1:8" x14ac:dyDescent="0.25">
      <c r="A213" s="12">
        <v>210</v>
      </c>
      <c r="B213" s="13" t="s">
        <v>436</v>
      </c>
      <c r="C213" s="13" t="s">
        <v>135</v>
      </c>
      <c r="D213" s="13" t="s">
        <v>136</v>
      </c>
      <c r="E213" s="13" t="s">
        <v>5</v>
      </c>
      <c r="F213" s="13" t="s">
        <v>18</v>
      </c>
      <c r="G213" s="13" t="s">
        <v>22</v>
      </c>
      <c r="H213" s="14" t="s">
        <v>955</v>
      </c>
    </row>
    <row r="214" spans="1:8" ht="30" x14ac:dyDescent="0.25">
      <c r="A214" s="12">
        <v>211</v>
      </c>
      <c r="B214" s="13" t="s">
        <v>436</v>
      </c>
      <c r="C214" s="13" t="s">
        <v>440</v>
      </c>
      <c r="D214" s="13" t="s">
        <v>140</v>
      </c>
      <c r="E214" s="13" t="s">
        <v>5</v>
      </c>
      <c r="F214" s="13" t="s">
        <v>18</v>
      </c>
      <c r="G214" s="13" t="s">
        <v>3</v>
      </c>
      <c r="H214" s="14" t="s">
        <v>956</v>
      </c>
    </row>
    <row r="215" spans="1:8" ht="30" x14ac:dyDescent="0.25">
      <c r="A215" s="12">
        <v>212</v>
      </c>
      <c r="B215" s="13" t="s">
        <v>436</v>
      </c>
      <c r="C215" s="13" t="s">
        <v>31</v>
      </c>
      <c r="D215" s="13" t="s">
        <v>442</v>
      </c>
      <c r="E215" s="13" t="s">
        <v>5</v>
      </c>
      <c r="F215" s="13" t="s">
        <v>18</v>
      </c>
      <c r="G215" s="13" t="s">
        <v>28</v>
      </c>
      <c r="H215" s="14" t="s">
        <v>957</v>
      </c>
    </row>
    <row r="216" spans="1:8" ht="45" x14ac:dyDescent="0.25">
      <c r="A216" s="12">
        <v>213</v>
      </c>
      <c r="B216" s="13" t="s">
        <v>436</v>
      </c>
      <c r="C216" s="13" t="s">
        <v>442</v>
      </c>
      <c r="D216" s="13" t="s">
        <v>143</v>
      </c>
      <c r="E216" s="13" t="s">
        <v>5</v>
      </c>
      <c r="F216" s="13" t="s">
        <v>4</v>
      </c>
      <c r="G216" s="13" t="s">
        <v>4</v>
      </c>
      <c r="H216" s="14" t="s">
        <v>958</v>
      </c>
    </row>
    <row r="217" spans="1:8" ht="30" x14ac:dyDescent="0.25">
      <c r="A217" s="12">
        <v>214</v>
      </c>
      <c r="B217" s="13" t="s">
        <v>436</v>
      </c>
      <c r="C217" s="13" t="s">
        <v>145</v>
      </c>
      <c r="D217" s="13" t="s">
        <v>146</v>
      </c>
      <c r="E217" s="13" t="s">
        <v>5</v>
      </c>
      <c r="F217" s="13" t="s">
        <v>4</v>
      </c>
      <c r="G217" s="13" t="s">
        <v>37</v>
      </c>
      <c r="H217" s="14" t="s">
        <v>959</v>
      </c>
    </row>
    <row r="218" spans="1:8" ht="30" x14ac:dyDescent="0.25">
      <c r="A218" s="12">
        <v>215</v>
      </c>
      <c r="B218" s="13" t="s">
        <v>436</v>
      </c>
      <c r="C218" s="13" t="s">
        <v>146</v>
      </c>
      <c r="D218" s="13" t="s">
        <v>446</v>
      </c>
      <c r="E218" s="13" t="s">
        <v>5</v>
      </c>
      <c r="F218" s="13" t="s">
        <v>4</v>
      </c>
      <c r="G218" s="13" t="s">
        <v>5</v>
      </c>
      <c r="H218" s="14" t="s">
        <v>960</v>
      </c>
    </row>
    <row r="219" spans="1:8" x14ac:dyDescent="0.25">
      <c r="A219" s="12">
        <v>216</v>
      </c>
      <c r="B219" s="13" t="s">
        <v>436</v>
      </c>
      <c r="C219" s="13" t="s">
        <v>314</v>
      </c>
      <c r="D219" s="13" t="s">
        <v>151</v>
      </c>
      <c r="E219" s="13" t="s">
        <v>5</v>
      </c>
      <c r="F219" s="13" t="s">
        <v>4</v>
      </c>
      <c r="G219" s="13" t="s">
        <v>44</v>
      </c>
      <c r="H219" s="14" t="s">
        <v>961</v>
      </c>
    </row>
    <row r="220" spans="1:8" x14ac:dyDescent="0.25">
      <c r="A220" s="12">
        <v>217</v>
      </c>
      <c r="B220" s="13" t="s">
        <v>436</v>
      </c>
      <c r="C220" s="13" t="s">
        <v>317</v>
      </c>
      <c r="D220" s="13" t="s">
        <v>153</v>
      </c>
      <c r="E220" s="13" t="s">
        <v>5</v>
      </c>
      <c r="F220" s="13" t="s">
        <v>4</v>
      </c>
      <c r="G220" s="13" t="s">
        <v>19</v>
      </c>
      <c r="H220" s="14" t="s">
        <v>962</v>
      </c>
    </row>
    <row r="221" spans="1:8" x14ac:dyDescent="0.25">
      <c r="A221" s="12">
        <v>218</v>
      </c>
      <c r="B221" s="13" t="s">
        <v>436</v>
      </c>
      <c r="C221" s="13" t="s">
        <v>153</v>
      </c>
      <c r="D221" s="13" t="s">
        <v>155</v>
      </c>
      <c r="E221" s="13" t="s">
        <v>5</v>
      </c>
      <c r="F221" s="13" t="s">
        <v>4</v>
      </c>
      <c r="G221" s="13" t="s">
        <v>22</v>
      </c>
      <c r="H221" s="14" t="s">
        <v>963</v>
      </c>
    </row>
    <row r="222" spans="1:8" ht="30" x14ac:dyDescent="0.25">
      <c r="A222" s="12">
        <v>219</v>
      </c>
      <c r="B222" s="13" t="s">
        <v>436</v>
      </c>
      <c r="C222" s="13" t="s">
        <v>155</v>
      </c>
      <c r="D222" s="13" t="s">
        <v>56</v>
      </c>
      <c r="E222" s="13" t="s">
        <v>5</v>
      </c>
      <c r="F222" s="13" t="s">
        <v>4</v>
      </c>
      <c r="G222" s="13" t="s">
        <v>3</v>
      </c>
      <c r="H222" s="14" t="s">
        <v>964</v>
      </c>
    </row>
    <row r="223" spans="1:8" x14ac:dyDescent="0.25">
      <c r="A223" s="12">
        <v>220</v>
      </c>
      <c r="B223" s="13" t="s">
        <v>436</v>
      </c>
      <c r="C223" s="13" t="s">
        <v>320</v>
      </c>
      <c r="D223" s="13" t="s">
        <v>161</v>
      </c>
      <c r="E223" s="13" t="s">
        <v>5</v>
      </c>
      <c r="F223" s="13" t="s">
        <v>4</v>
      </c>
      <c r="G223" s="13" t="s">
        <v>28</v>
      </c>
      <c r="H223" s="14" t="s">
        <v>965</v>
      </c>
    </row>
    <row r="224" spans="1:8" ht="30" x14ac:dyDescent="0.25">
      <c r="A224" s="12">
        <v>221</v>
      </c>
      <c r="B224" s="13" t="s">
        <v>436</v>
      </c>
      <c r="C224" s="13" t="s">
        <v>159</v>
      </c>
      <c r="D224" s="13" t="s">
        <v>325</v>
      </c>
      <c r="E224" s="13" t="s">
        <v>5</v>
      </c>
      <c r="F224" s="13" t="s">
        <v>4</v>
      </c>
      <c r="G224" s="13" t="s">
        <v>18</v>
      </c>
      <c r="H224" s="14" t="s">
        <v>966</v>
      </c>
    </row>
    <row r="225" spans="1:8" ht="30" x14ac:dyDescent="0.25">
      <c r="A225" s="12">
        <v>222</v>
      </c>
      <c r="B225" s="13" t="s">
        <v>436</v>
      </c>
      <c r="C225" s="13" t="s">
        <v>325</v>
      </c>
      <c r="D225" s="13" t="s">
        <v>166</v>
      </c>
      <c r="E225" s="13" t="s">
        <v>5</v>
      </c>
      <c r="F225" s="13" t="s">
        <v>37</v>
      </c>
      <c r="G225" s="13" t="s">
        <v>37</v>
      </c>
      <c r="H225" s="14" t="s">
        <v>967</v>
      </c>
    </row>
    <row r="226" spans="1:8" ht="30" x14ac:dyDescent="0.25">
      <c r="A226" s="12">
        <v>223</v>
      </c>
      <c r="B226" s="13" t="s">
        <v>436</v>
      </c>
      <c r="C226" s="13" t="s">
        <v>455</v>
      </c>
      <c r="D226" s="13" t="s">
        <v>169</v>
      </c>
      <c r="E226" s="13" t="s">
        <v>5</v>
      </c>
      <c r="F226" s="13" t="s">
        <v>37</v>
      </c>
      <c r="G226" s="13" t="s">
        <v>5</v>
      </c>
      <c r="H226" s="14" t="s">
        <v>968</v>
      </c>
    </row>
    <row r="227" spans="1:8" ht="30" x14ac:dyDescent="0.25">
      <c r="A227" s="12">
        <v>224</v>
      </c>
      <c r="B227" s="13" t="s">
        <v>436</v>
      </c>
      <c r="C227" s="13" t="s">
        <v>457</v>
      </c>
      <c r="D227" s="13" t="s">
        <v>172</v>
      </c>
      <c r="E227" s="13" t="s">
        <v>5</v>
      </c>
      <c r="F227" s="13" t="s">
        <v>37</v>
      </c>
      <c r="G227" s="13" t="s">
        <v>44</v>
      </c>
      <c r="H227" s="14" t="s">
        <v>969</v>
      </c>
    </row>
    <row r="228" spans="1:8" ht="30" x14ac:dyDescent="0.25">
      <c r="A228" s="12">
        <v>225</v>
      </c>
      <c r="B228" s="13" t="s">
        <v>436</v>
      </c>
      <c r="C228" s="13" t="s">
        <v>172</v>
      </c>
      <c r="D228" s="13" t="s">
        <v>330</v>
      </c>
      <c r="E228" s="13" t="s">
        <v>5</v>
      </c>
      <c r="F228" s="13" t="s">
        <v>37</v>
      </c>
      <c r="G228" s="13" t="s">
        <v>19</v>
      </c>
      <c r="H228" s="14" t="s">
        <v>970</v>
      </c>
    </row>
    <row r="229" spans="1:8" ht="30" x14ac:dyDescent="0.25">
      <c r="A229" s="12">
        <v>226</v>
      </c>
      <c r="B229" s="13" t="s">
        <v>436</v>
      </c>
      <c r="C229" s="13" t="s">
        <v>173</v>
      </c>
      <c r="D229" s="13" t="s">
        <v>176</v>
      </c>
      <c r="E229" s="13" t="s">
        <v>5</v>
      </c>
      <c r="F229" s="13" t="s">
        <v>37</v>
      </c>
      <c r="G229" s="13" t="s">
        <v>22</v>
      </c>
      <c r="H229" s="14" t="s">
        <v>971</v>
      </c>
    </row>
    <row r="230" spans="1:8" ht="30" x14ac:dyDescent="0.25">
      <c r="A230" s="12">
        <v>227</v>
      </c>
      <c r="B230" s="13" t="s">
        <v>436</v>
      </c>
      <c r="C230" s="13" t="s">
        <v>176</v>
      </c>
      <c r="D230" s="13" t="s">
        <v>178</v>
      </c>
      <c r="E230" s="13" t="s">
        <v>5</v>
      </c>
      <c r="F230" s="13" t="s">
        <v>37</v>
      </c>
      <c r="G230" s="13" t="s">
        <v>3</v>
      </c>
      <c r="H230" s="14" t="s">
        <v>972</v>
      </c>
    </row>
    <row r="231" spans="1:8" x14ac:dyDescent="0.25">
      <c r="A231" s="12">
        <v>228</v>
      </c>
      <c r="B231" s="13" t="s">
        <v>436</v>
      </c>
      <c r="C231" s="13" t="s">
        <v>462</v>
      </c>
      <c r="D231" s="13" t="s">
        <v>76</v>
      </c>
      <c r="E231" s="13" t="s">
        <v>5</v>
      </c>
      <c r="F231" s="13" t="s">
        <v>37</v>
      </c>
      <c r="G231" s="13" t="s">
        <v>28</v>
      </c>
      <c r="H231" s="14" t="s">
        <v>973</v>
      </c>
    </row>
    <row r="232" spans="1:8" x14ac:dyDescent="0.25">
      <c r="A232" s="12">
        <v>229</v>
      </c>
      <c r="B232" s="13" t="s">
        <v>464</v>
      </c>
      <c r="C232" s="13" t="s">
        <v>16</v>
      </c>
      <c r="D232" s="13" t="s">
        <v>182</v>
      </c>
      <c r="E232" s="13" t="s">
        <v>37</v>
      </c>
      <c r="F232" s="13" t="s">
        <v>37</v>
      </c>
      <c r="G232" s="13" t="s">
        <v>28</v>
      </c>
      <c r="H232" s="14" t="s">
        <v>974</v>
      </c>
    </row>
    <row r="233" spans="1:8" x14ac:dyDescent="0.25">
      <c r="A233" s="12">
        <v>230</v>
      </c>
      <c r="B233" s="13" t="s">
        <v>464</v>
      </c>
      <c r="C233" s="13" t="s">
        <v>182</v>
      </c>
      <c r="D233" s="13" t="s">
        <v>184</v>
      </c>
      <c r="E233" s="13" t="s">
        <v>37</v>
      </c>
      <c r="F233" s="13" t="s">
        <v>37</v>
      </c>
      <c r="G233" s="13" t="s">
        <v>18</v>
      </c>
      <c r="H233" s="14" t="s">
        <v>975</v>
      </c>
    </row>
    <row r="234" spans="1:8" ht="30" x14ac:dyDescent="0.25">
      <c r="A234" s="12">
        <v>231</v>
      </c>
      <c r="B234" s="13" t="s">
        <v>464</v>
      </c>
      <c r="C234" s="13" t="s">
        <v>184</v>
      </c>
      <c r="D234" s="13" t="s">
        <v>340</v>
      </c>
      <c r="E234" s="13" t="s">
        <v>37</v>
      </c>
      <c r="F234" s="13" t="s">
        <v>37</v>
      </c>
      <c r="G234" s="13" t="s">
        <v>4</v>
      </c>
      <c r="H234" s="14" t="s">
        <v>976</v>
      </c>
    </row>
    <row r="235" spans="1:8" x14ac:dyDescent="0.25">
      <c r="A235" s="12">
        <v>232</v>
      </c>
      <c r="B235" s="13" t="s">
        <v>464</v>
      </c>
      <c r="C235" s="13" t="s">
        <v>189</v>
      </c>
      <c r="D235" s="13" t="s">
        <v>190</v>
      </c>
      <c r="E235" s="13" t="s">
        <v>37</v>
      </c>
      <c r="F235" s="13" t="s">
        <v>5</v>
      </c>
      <c r="G235" s="13" t="s">
        <v>5</v>
      </c>
      <c r="H235" s="14" t="s">
        <v>977</v>
      </c>
    </row>
    <row r="236" spans="1:8" x14ac:dyDescent="0.25">
      <c r="A236" s="12">
        <v>233</v>
      </c>
      <c r="B236" s="13" t="s">
        <v>464</v>
      </c>
      <c r="C236" s="13" t="s">
        <v>469</v>
      </c>
      <c r="D236" s="13" t="s">
        <v>186</v>
      </c>
      <c r="E236" s="13" t="s">
        <v>37</v>
      </c>
      <c r="F236" s="13" t="s">
        <v>5</v>
      </c>
      <c r="G236" s="13" t="s">
        <v>44</v>
      </c>
      <c r="H236" s="14" t="s">
        <v>978</v>
      </c>
    </row>
    <row r="237" spans="1:8" ht="45" x14ac:dyDescent="0.25">
      <c r="A237" s="12">
        <v>234</v>
      </c>
      <c r="B237" s="13" t="s">
        <v>464</v>
      </c>
      <c r="C237" s="13" t="s">
        <v>471</v>
      </c>
      <c r="D237" s="13" t="s">
        <v>195</v>
      </c>
      <c r="E237" s="13" t="s">
        <v>37</v>
      </c>
      <c r="F237" s="13" t="s">
        <v>5</v>
      </c>
      <c r="G237" s="13" t="s">
        <v>19</v>
      </c>
      <c r="H237" s="14" t="s">
        <v>979</v>
      </c>
    </row>
    <row r="238" spans="1:8" ht="30" x14ac:dyDescent="0.25">
      <c r="A238" s="12">
        <v>235</v>
      </c>
      <c r="B238" s="13" t="s">
        <v>464</v>
      </c>
      <c r="C238" s="13" t="s">
        <v>195</v>
      </c>
      <c r="D238" s="13" t="s">
        <v>473</v>
      </c>
      <c r="E238" s="13" t="s">
        <v>37</v>
      </c>
      <c r="F238" s="13" t="s">
        <v>5</v>
      </c>
      <c r="G238" s="13" t="s">
        <v>22</v>
      </c>
      <c r="H238" s="14" t="s">
        <v>980</v>
      </c>
    </row>
    <row r="239" spans="1:8" ht="30" x14ac:dyDescent="0.25">
      <c r="A239" s="12">
        <v>236</v>
      </c>
      <c r="B239" s="13" t="s">
        <v>464</v>
      </c>
      <c r="C239" s="13" t="s">
        <v>198</v>
      </c>
      <c r="D239" s="13" t="s">
        <v>349</v>
      </c>
      <c r="E239" s="13" t="s">
        <v>37</v>
      </c>
      <c r="F239" s="13" t="s">
        <v>5</v>
      </c>
      <c r="G239" s="13" t="s">
        <v>3</v>
      </c>
      <c r="H239" s="14" t="s">
        <v>981</v>
      </c>
    </row>
    <row r="240" spans="1:8" ht="30" x14ac:dyDescent="0.25">
      <c r="A240" s="12">
        <v>237</v>
      </c>
      <c r="B240" s="13" t="s">
        <v>464</v>
      </c>
      <c r="C240" s="13" t="s">
        <v>349</v>
      </c>
      <c r="D240" s="13" t="s">
        <v>350</v>
      </c>
      <c r="E240" s="13" t="s">
        <v>37</v>
      </c>
      <c r="F240" s="13" t="s">
        <v>5</v>
      </c>
      <c r="G240" s="13" t="s">
        <v>28</v>
      </c>
      <c r="H240" s="14" t="s">
        <v>982</v>
      </c>
    </row>
    <row r="241" spans="1:8" x14ac:dyDescent="0.25">
      <c r="A241" s="12">
        <v>238</v>
      </c>
      <c r="B241" s="13" t="s">
        <v>464</v>
      </c>
      <c r="C241" s="13" t="s">
        <v>350</v>
      </c>
      <c r="D241" s="13" t="s">
        <v>477</v>
      </c>
      <c r="E241" s="13" t="s">
        <v>37</v>
      </c>
      <c r="F241" s="13" t="s">
        <v>5</v>
      </c>
      <c r="G241" s="13" t="s">
        <v>18</v>
      </c>
      <c r="H241" s="14" t="s">
        <v>983</v>
      </c>
    </row>
    <row r="242" spans="1:8" ht="30" x14ac:dyDescent="0.25">
      <c r="A242" s="12">
        <v>239</v>
      </c>
      <c r="B242" s="13" t="s">
        <v>464</v>
      </c>
      <c r="C242" s="13" t="s">
        <v>207</v>
      </c>
      <c r="D242" s="13" t="s">
        <v>208</v>
      </c>
      <c r="E242" s="13" t="s">
        <v>37</v>
      </c>
      <c r="F242" s="13" t="s">
        <v>5</v>
      </c>
      <c r="G242" s="13" t="s">
        <v>4</v>
      </c>
      <c r="H242" s="14" t="s">
        <v>984</v>
      </c>
    </row>
    <row r="243" spans="1:8" ht="45" x14ac:dyDescent="0.25">
      <c r="A243" s="12">
        <v>240</v>
      </c>
      <c r="B243" s="13" t="s">
        <v>464</v>
      </c>
      <c r="C243" s="13" t="s">
        <v>354</v>
      </c>
      <c r="D243" s="13" t="s">
        <v>480</v>
      </c>
      <c r="E243" s="13" t="s">
        <v>37</v>
      </c>
      <c r="F243" s="13" t="s">
        <v>5</v>
      </c>
      <c r="G243" s="13" t="s">
        <v>37</v>
      </c>
      <c r="H243" s="14" t="s">
        <v>985</v>
      </c>
    </row>
    <row r="244" spans="1:8" ht="45" x14ac:dyDescent="0.25">
      <c r="A244" s="12">
        <v>241</v>
      </c>
      <c r="B244" s="13" t="s">
        <v>464</v>
      </c>
      <c r="C244" s="13" t="s">
        <v>210</v>
      </c>
      <c r="D244" s="13" t="s">
        <v>358</v>
      </c>
      <c r="E244" s="13" t="s">
        <v>37</v>
      </c>
      <c r="F244" s="13" t="s">
        <v>44</v>
      </c>
      <c r="G244" s="13" t="s">
        <v>44</v>
      </c>
      <c r="H244" s="14" t="s">
        <v>986</v>
      </c>
    </row>
    <row r="245" spans="1:8" ht="30" x14ac:dyDescent="0.25">
      <c r="A245" s="12">
        <v>242</v>
      </c>
      <c r="B245" s="13" t="s">
        <v>464</v>
      </c>
      <c r="C245" s="13" t="s">
        <v>360</v>
      </c>
      <c r="D245" s="13" t="s">
        <v>361</v>
      </c>
      <c r="E245" s="13" t="s">
        <v>37</v>
      </c>
      <c r="F245" s="13" t="s">
        <v>44</v>
      </c>
      <c r="G245" s="13" t="s">
        <v>19</v>
      </c>
      <c r="H245" s="14" t="s">
        <v>987</v>
      </c>
    </row>
    <row r="246" spans="1:8" ht="60" x14ac:dyDescent="0.25">
      <c r="A246" s="12">
        <v>243</v>
      </c>
      <c r="B246" s="13" t="s">
        <v>464</v>
      </c>
      <c r="C246" s="13" t="s">
        <v>361</v>
      </c>
      <c r="D246" s="13" t="s">
        <v>484</v>
      </c>
      <c r="E246" s="13" t="s">
        <v>37</v>
      </c>
      <c r="F246" s="13" t="s">
        <v>44</v>
      </c>
      <c r="G246" s="13" t="s">
        <v>22</v>
      </c>
      <c r="H246" s="14" t="s">
        <v>988</v>
      </c>
    </row>
    <row r="247" spans="1:8" ht="30" x14ac:dyDescent="0.25">
      <c r="A247" s="12">
        <v>244</v>
      </c>
      <c r="B247" s="13" t="s">
        <v>464</v>
      </c>
      <c r="C247" s="13" t="s">
        <v>364</v>
      </c>
      <c r="D247" s="13" t="s">
        <v>486</v>
      </c>
      <c r="E247" s="13" t="s">
        <v>37</v>
      </c>
      <c r="F247" s="13" t="s">
        <v>44</v>
      </c>
      <c r="G247" s="13" t="s">
        <v>3</v>
      </c>
      <c r="H247" s="14" t="s">
        <v>989</v>
      </c>
    </row>
    <row r="248" spans="1:8" x14ac:dyDescent="0.25">
      <c r="A248" s="12">
        <v>245</v>
      </c>
      <c r="B248" s="13" t="s">
        <v>464</v>
      </c>
      <c r="C248" s="13" t="s">
        <v>486</v>
      </c>
      <c r="D248" s="13" t="s">
        <v>290</v>
      </c>
      <c r="E248" s="13" t="s">
        <v>37</v>
      </c>
      <c r="F248" s="13" t="s">
        <v>44</v>
      </c>
      <c r="G248" s="13" t="s">
        <v>28</v>
      </c>
      <c r="H248" s="14" t="s">
        <v>990</v>
      </c>
    </row>
    <row r="249" spans="1:8" ht="45" x14ac:dyDescent="0.25">
      <c r="A249" s="12">
        <v>246</v>
      </c>
      <c r="B249" s="13" t="s">
        <v>464</v>
      </c>
      <c r="C249" s="13" t="s">
        <v>290</v>
      </c>
      <c r="D249" s="13" t="s">
        <v>224</v>
      </c>
      <c r="E249" s="13" t="s">
        <v>37</v>
      </c>
      <c r="F249" s="13" t="s">
        <v>44</v>
      </c>
      <c r="G249" s="13" t="s">
        <v>18</v>
      </c>
      <c r="H249" s="14" t="s">
        <v>991</v>
      </c>
    </row>
    <row r="250" spans="1:8" ht="45" x14ac:dyDescent="0.25">
      <c r="A250" s="12">
        <v>247</v>
      </c>
      <c r="B250" s="13" t="s">
        <v>464</v>
      </c>
      <c r="C250" s="13" t="s">
        <v>121</v>
      </c>
      <c r="D250" s="13" t="s">
        <v>490</v>
      </c>
      <c r="E250" s="13" t="s">
        <v>992</v>
      </c>
      <c r="F250" s="13" t="s">
        <v>44</v>
      </c>
      <c r="G250" s="13" t="s">
        <v>4</v>
      </c>
      <c r="H250" s="14" t="s">
        <v>993</v>
      </c>
    </row>
    <row r="251" spans="1:8" ht="75" x14ac:dyDescent="0.25">
      <c r="A251" s="12">
        <v>248</v>
      </c>
      <c r="B251" s="13" t="s">
        <v>464</v>
      </c>
      <c r="C251" s="13" t="s">
        <v>122</v>
      </c>
      <c r="D251" s="13" t="s">
        <v>127</v>
      </c>
      <c r="E251" s="13" t="s">
        <v>37</v>
      </c>
      <c r="F251" s="13" t="s">
        <v>44</v>
      </c>
      <c r="G251" s="13" t="s">
        <v>492</v>
      </c>
      <c r="H251" s="14" t="s">
        <v>994</v>
      </c>
    </row>
    <row r="252" spans="1:8" ht="45" x14ac:dyDescent="0.25">
      <c r="A252" s="12">
        <v>249</v>
      </c>
      <c r="B252" s="13" t="s">
        <v>464</v>
      </c>
      <c r="C252" s="13" t="s">
        <v>494</v>
      </c>
      <c r="D252" s="13" t="s">
        <v>128</v>
      </c>
      <c r="E252" s="13" t="s">
        <v>37</v>
      </c>
      <c r="F252" s="13" t="s">
        <v>44</v>
      </c>
      <c r="G252" s="13" t="s">
        <v>5</v>
      </c>
      <c r="H252" s="14" t="s">
        <v>995</v>
      </c>
    </row>
  </sheetData>
  <mergeCells count="1">
    <mergeCell ref="C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92A26-46B0-460C-9EF8-779FBC6BDF7C}">
  <dimension ref="A1:A38"/>
  <sheetViews>
    <sheetView workbookViewId="0">
      <selection activeCell="A3" sqref="A3"/>
    </sheetView>
  </sheetViews>
  <sheetFormatPr defaultRowHeight="15" x14ac:dyDescent="0.25"/>
  <cols>
    <col min="1" max="1" width="89.85546875" style="16" customWidth="1"/>
  </cols>
  <sheetData>
    <row r="1" spans="1:1" x14ac:dyDescent="0.25">
      <c r="A1" s="29" t="s">
        <v>996</v>
      </c>
    </row>
    <row r="3" spans="1:1" x14ac:dyDescent="0.25">
      <c r="A3" s="16" t="s">
        <v>997</v>
      </c>
    </row>
    <row r="5" spans="1:1" ht="45" x14ac:dyDescent="0.25">
      <c r="A5" s="16" t="s">
        <v>998</v>
      </c>
    </row>
    <row r="7" spans="1:1" ht="30" x14ac:dyDescent="0.25">
      <c r="A7" s="16" t="s">
        <v>999</v>
      </c>
    </row>
    <row r="9" spans="1:1" ht="30" x14ac:dyDescent="0.25">
      <c r="A9" s="16" t="s">
        <v>1000</v>
      </c>
    </row>
    <row r="11" spans="1:1" x14ac:dyDescent="0.25">
      <c r="A11" s="16" t="s">
        <v>1001</v>
      </c>
    </row>
    <row r="13" spans="1:1" x14ac:dyDescent="0.25">
      <c r="A13" s="16" t="s">
        <v>1002</v>
      </c>
    </row>
    <row r="15" spans="1:1" ht="30" x14ac:dyDescent="0.25">
      <c r="A15" s="16" t="s">
        <v>1003</v>
      </c>
    </row>
    <row r="17" spans="1:1" x14ac:dyDescent="0.25">
      <c r="A17" s="16" t="s">
        <v>1004</v>
      </c>
    </row>
    <row r="19" spans="1:1" x14ac:dyDescent="0.25">
      <c r="A19" s="16" t="s">
        <v>1005</v>
      </c>
    </row>
    <row r="21" spans="1:1" x14ac:dyDescent="0.25">
      <c r="A21" s="16" t="s">
        <v>1006</v>
      </c>
    </row>
    <row r="23" spans="1:1" x14ac:dyDescent="0.25">
      <c r="A23" s="16" t="s">
        <v>1007</v>
      </c>
    </row>
    <row r="25" spans="1:1" x14ac:dyDescent="0.25">
      <c r="A25" s="16" t="s">
        <v>1008</v>
      </c>
    </row>
    <row r="27" spans="1:1" ht="30" x14ac:dyDescent="0.25">
      <c r="A27" s="16" t="s">
        <v>1009</v>
      </c>
    </row>
    <row r="29" spans="1:1" x14ac:dyDescent="0.25">
      <c r="A29" s="16" t="s">
        <v>1010</v>
      </c>
    </row>
    <row r="31" spans="1:1" ht="30" x14ac:dyDescent="0.25">
      <c r="A31" s="16" t="s">
        <v>1011</v>
      </c>
    </row>
    <row r="33" spans="1:1" x14ac:dyDescent="0.25">
      <c r="A33" s="16" t="s">
        <v>1012</v>
      </c>
    </row>
    <row r="34" spans="1:1" ht="30" x14ac:dyDescent="0.25">
      <c r="A34" s="16" t="s">
        <v>1013</v>
      </c>
    </row>
    <row r="35" spans="1:1" ht="45" x14ac:dyDescent="0.25">
      <c r="A35" s="16" t="s">
        <v>1014</v>
      </c>
    </row>
    <row r="37" spans="1:1" x14ac:dyDescent="0.25">
      <c r="A37" s="16" t="s">
        <v>1015</v>
      </c>
    </row>
    <row r="38" spans="1:1" x14ac:dyDescent="0.25">
      <c r="A38" s="16" t="s">
        <v>1016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8475-A629-40CC-AF3C-681C610539DF}">
  <dimension ref="A1:B13"/>
  <sheetViews>
    <sheetView topLeftCell="A13" workbookViewId="0">
      <selection activeCell="B13" sqref="B13"/>
    </sheetView>
  </sheetViews>
  <sheetFormatPr defaultColWidth="133.7109375" defaultRowHeight="21" x14ac:dyDescent="0.35"/>
  <cols>
    <col min="1" max="1" width="9.140625" style="18" bestFit="1" customWidth="1"/>
    <col min="2" max="2" width="165.5703125" style="18" customWidth="1"/>
    <col min="3" max="16384" width="133.7109375" style="18"/>
  </cols>
  <sheetData>
    <row r="1" spans="1:2" x14ac:dyDescent="0.35">
      <c r="A1" s="17" t="s">
        <v>1017</v>
      </c>
      <c r="B1" s="17" t="s">
        <v>1018</v>
      </c>
    </row>
    <row r="2" spans="1:2" ht="126" x14ac:dyDescent="0.35">
      <c r="A2" s="19">
        <v>1</v>
      </c>
      <c r="B2" s="20" t="s">
        <v>1019</v>
      </c>
    </row>
    <row r="3" spans="1:2" ht="189" x14ac:dyDescent="0.35">
      <c r="A3" s="19">
        <v>2</v>
      </c>
      <c r="B3" s="20" t="s">
        <v>1020</v>
      </c>
    </row>
    <row r="4" spans="1:2" ht="147" x14ac:dyDescent="0.35">
      <c r="A4" s="19">
        <v>3</v>
      </c>
      <c r="B4" s="20" t="s">
        <v>1021</v>
      </c>
    </row>
    <row r="5" spans="1:2" ht="84" x14ac:dyDescent="0.35">
      <c r="A5" s="19">
        <v>4</v>
      </c>
      <c r="B5" s="20" t="s">
        <v>1022</v>
      </c>
    </row>
    <row r="6" spans="1:2" ht="126" x14ac:dyDescent="0.35">
      <c r="A6" s="19">
        <v>5</v>
      </c>
      <c r="B6" s="20" t="s">
        <v>1023</v>
      </c>
    </row>
    <row r="7" spans="1:2" ht="126" x14ac:dyDescent="0.35">
      <c r="A7" s="19">
        <v>6</v>
      </c>
      <c r="B7" s="20" t="s">
        <v>1024</v>
      </c>
    </row>
    <row r="8" spans="1:2" ht="84" x14ac:dyDescent="0.35">
      <c r="A8" s="19">
        <v>7</v>
      </c>
      <c r="B8" s="20" t="s">
        <v>1025</v>
      </c>
    </row>
    <row r="9" spans="1:2" ht="168" x14ac:dyDescent="0.35">
      <c r="A9" s="19">
        <v>8</v>
      </c>
      <c r="B9" s="20" t="s">
        <v>1026</v>
      </c>
    </row>
    <row r="10" spans="1:2" ht="189" x14ac:dyDescent="0.35">
      <c r="A10" s="19">
        <v>9</v>
      </c>
      <c r="B10" s="20" t="s">
        <v>1027</v>
      </c>
    </row>
    <row r="11" spans="1:2" ht="189" x14ac:dyDescent="0.35">
      <c r="A11" s="19">
        <v>10</v>
      </c>
      <c r="B11" s="20" t="s">
        <v>1028</v>
      </c>
    </row>
    <row r="12" spans="1:2" ht="273" x14ac:dyDescent="0.35">
      <c r="A12" s="19">
        <v>11</v>
      </c>
      <c r="B12" s="20" t="s">
        <v>1029</v>
      </c>
    </row>
    <row r="13" spans="1:2" ht="336" x14ac:dyDescent="0.35">
      <c r="A13" s="19">
        <v>12</v>
      </c>
      <c r="B13" s="20" t="s">
        <v>1030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8FB18-01D6-4261-9A65-5FC9CCA777FC}">
  <dimension ref="A1:K252"/>
  <sheetViews>
    <sheetView workbookViewId="0">
      <selection activeCell="I6" sqref="I6"/>
    </sheetView>
  </sheetViews>
  <sheetFormatPr defaultColWidth="8.85546875" defaultRowHeight="15" x14ac:dyDescent="0.25"/>
  <cols>
    <col min="1" max="1" width="11.5703125" style="23" customWidth="1"/>
    <col min="2" max="2" width="16.28515625" style="23" customWidth="1"/>
    <col min="3" max="3" width="19.28515625" style="23" customWidth="1"/>
    <col min="4" max="4" width="20.42578125" style="23" customWidth="1"/>
    <col min="5" max="5" width="18.28515625" style="23" customWidth="1"/>
    <col min="6" max="8" width="16.28515625" style="23" customWidth="1"/>
    <col min="9" max="9" width="8.85546875" style="23"/>
    <col min="10" max="11" width="15.42578125" style="23" bestFit="1" customWidth="1"/>
    <col min="12" max="16384" width="8.85546875" style="23"/>
  </cols>
  <sheetData>
    <row r="1" spans="1:11" ht="31.5" x14ac:dyDescent="0.25">
      <c r="A1" s="205" t="s">
        <v>1031</v>
      </c>
      <c r="B1" s="205"/>
      <c r="C1" s="205"/>
      <c r="D1" s="205"/>
      <c r="E1" s="205"/>
      <c r="F1" s="205"/>
      <c r="G1" s="205"/>
      <c r="H1" s="205"/>
      <c r="I1" s="27">
        <v>27</v>
      </c>
      <c r="J1" s="27" t="s">
        <v>1282</v>
      </c>
    </row>
    <row r="2" spans="1:11" ht="31.5" x14ac:dyDescent="0.25">
      <c r="A2" s="206" t="s">
        <v>1032</v>
      </c>
      <c r="B2" s="206"/>
      <c r="C2" s="206"/>
      <c r="D2" s="206"/>
      <c r="E2" s="206"/>
      <c r="F2" s="206"/>
      <c r="G2" s="206"/>
      <c r="H2" s="206"/>
      <c r="I2" s="27">
        <v>9</v>
      </c>
      <c r="J2" s="27" t="s">
        <v>1283</v>
      </c>
    </row>
    <row r="3" spans="1:11" ht="31.5" x14ac:dyDescent="0.25">
      <c r="A3" s="30" t="s">
        <v>1033</v>
      </c>
      <c r="B3" s="30" t="s">
        <v>1034</v>
      </c>
      <c r="C3" s="30" t="s">
        <v>1035</v>
      </c>
      <c r="D3" s="30" t="s">
        <v>1036</v>
      </c>
      <c r="E3" s="30" t="s">
        <v>1037</v>
      </c>
      <c r="F3" s="30" t="s">
        <v>1038</v>
      </c>
      <c r="G3" s="30" t="s">
        <v>1039</v>
      </c>
      <c r="H3" s="30" t="s">
        <v>1040</v>
      </c>
      <c r="I3" s="27">
        <f>9*27</f>
        <v>243</v>
      </c>
      <c r="J3" s="27"/>
    </row>
    <row r="4" spans="1:11" ht="33.75" x14ac:dyDescent="0.25">
      <c r="A4" s="31">
        <v>1</v>
      </c>
      <c r="B4" s="30" t="s">
        <v>1041</v>
      </c>
      <c r="C4" s="30" t="s">
        <v>1042</v>
      </c>
      <c r="D4" s="30" t="s">
        <v>1043</v>
      </c>
      <c r="E4" s="30" t="s">
        <v>1044</v>
      </c>
      <c r="F4" s="30" t="s">
        <v>1045</v>
      </c>
      <c r="G4" s="30" t="s">
        <v>1046</v>
      </c>
      <c r="H4" s="30" t="s">
        <v>1046</v>
      </c>
      <c r="I4" s="27">
        <v>3</v>
      </c>
      <c r="J4" s="27" t="s">
        <v>37</v>
      </c>
      <c r="K4" s="33"/>
    </row>
    <row r="5" spans="1:11" ht="31.5" x14ac:dyDescent="0.25">
      <c r="A5" s="31">
        <v>2</v>
      </c>
      <c r="B5" s="30" t="s">
        <v>1041</v>
      </c>
      <c r="C5" s="30" t="s">
        <v>1042</v>
      </c>
      <c r="D5" s="30" t="s">
        <v>1044</v>
      </c>
      <c r="E5" s="30" t="s">
        <v>1047</v>
      </c>
      <c r="F5" s="30" t="s">
        <v>1045</v>
      </c>
      <c r="G5" s="30" t="s">
        <v>1046</v>
      </c>
      <c r="H5" s="30" t="s">
        <v>1048</v>
      </c>
      <c r="I5" s="27">
        <v>3</v>
      </c>
      <c r="J5" s="27" t="s">
        <v>3</v>
      </c>
    </row>
    <row r="6" spans="1:11" ht="31.5" x14ac:dyDescent="0.25">
      <c r="A6" s="31">
        <v>3</v>
      </c>
      <c r="B6" s="30" t="s">
        <v>1041</v>
      </c>
      <c r="C6" s="30" t="s">
        <v>1042</v>
      </c>
      <c r="D6" s="30" t="s">
        <v>1049</v>
      </c>
      <c r="E6" s="30" t="s">
        <v>1050</v>
      </c>
      <c r="F6" s="30" t="s">
        <v>1045</v>
      </c>
      <c r="G6" s="30" t="s">
        <v>1046</v>
      </c>
      <c r="H6" s="30" t="s">
        <v>1051</v>
      </c>
      <c r="I6" s="27">
        <f>I3+I4+I5</f>
        <v>249</v>
      </c>
      <c r="J6" s="27"/>
    </row>
    <row r="7" spans="1:11" ht="15.75" x14ac:dyDescent="0.25">
      <c r="A7" s="31">
        <v>4</v>
      </c>
      <c r="B7" s="30" t="s">
        <v>1041</v>
      </c>
      <c r="C7" s="30" t="s">
        <v>1042</v>
      </c>
      <c r="D7" s="30" t="s">
        <v>1052</v>
      </c>
      <c r="E7" s="30" t="s">
        <v>1053</v>
      </c>
      <c r="F7" s="30" t="s">
        <v>1045</v>
      </c>
      <c r="G7" s="30" t="s">
        <v>1046</v>
      </c>
      <c r="H7" s="30" t="s">
        <v>1054</v>
      </c>
    </row>
    <row r="8" spans="1:11" ht="15.75" x14ac:dyDescent="0.25">
      <c r="A8" s="31">
        <v>5</v>
      </c>
      <c r="B8" s="30" t="s">
        <v>1041</v>
      </c>
      <c r="C8" s="30" t="s">
        <v>1042</v>
      </c>
      <c r="D8" s="30" t="s">
        <v>1055</v>
      </c>
      <c r="E8" s="30" t="s">
        <v>1056</v>
      </c>
      <c r="F8" s="30" t="s">
        <v>1045</v>
      </c>
      <c r="G8" s="30" t="s">
        <v>1046</v>
      </c>
      <c r="H8" s="30" t="s">
        <v>1045</v>
      </c>
    </row>
    <row r="9" spans="1:11" ht="15.75" x14ac:dyDescent="0.25">
      <c r="A9" s="31">
        <v>6</v>
      </c>
      <c r="B9" s="30" t="s">
        <v>1041</v>
      </c>
      <c r="C9" s="30" t="s">
        <v>1042</v>
      </c>
      <c r="D9" s="30" t="s">
        <v>1057</v>
      </c>
      <c r="E9" s="30" t="s">
        <v>1058</v>
      </c>
      <c r="F9" s="30" t="s">
        <v>1045</v>
      </c>
      <c r="G9" s="30" t="s">
        <v>1046</v>
      </c>
      <c r="H9" s="30" t="s">
        <v>1059</v>
      </c>
    </row>
    <row r="10" spans="1:11" ht="15.75" x14ac:dyDescent="0.25">
      <c r="A10" s="31">
        <v>7</v>
      </c>
      <c r="B10" s="30" t="s">
        <v>1041</v>
      </c>
      <c r="C10" s="30" t="s">
        <v>1042</v>
      </c>
      <c r="D10" s="30" t="s">
        <v>1060</v>
      </c>
      <c r="E10" s="30" t="s">
        <v>1061</v>
      </c>
      <c r="F10" s="30" t="s">
        <v>1045</v>
      </c>
      <c r="G10" s="30" t="s">
        <v>1046</v>
      </c>
      <c r="H10" s="30" t="s">
        <v>1062</v>
      </c>
    </row>
    <row r="11" spans="1:11" ht="15.75" x14ac:dyDescent="0.25">
      <c r="A11" s="31">
        <v>8</v>
      </c>
      <c r="B11" s="30" t="s">
        <v>1041</v>
      </c>
      <c r="C11" s="30" t="s">
        <v>1042</v>
      </c>
      <c r="D11" s="30" t="s">
        <v>1063</v>
      </c>
      <c r="E11" s="30" t="s">
        <v>1064</v>
      </c>
      <c r="F11" s="30" t="s">
        <v>1045</v>
      </c>
      <c r="G11" s="30" t="s">
        <v>1046</v>
      </c>
      <c r="H11" s="30" t="s">
        <v>1065</v>
      </c>
    </row>
    <row r="12" spans="1:11" ht="15.75" x14ac:dyDescent="0.25">
      <c r="A12" s="31">
        <v>9</v>
      </c>
      <c r="B12" s="30" t="s">
        <v>1041</v>
      </c>
      <c r="C12" s="30" t="s">
        <v>1042</v>
      </c>
      <c r="D12" s="30" t="s">
        <v>1066</v>
      </c>
      <c r="E12" s="30" t="s">
        <v>1067</v>
      </c>
      <c r="F12" s="30" t="s">
        <v>1045</v>
      </c>
      <c r="G12" s="30" t="s">
        <v>1046</v>
      </c>
      <c r="H12" s="30" t="s">
        <v>1068</v>
      </c>
    </row>
    <row r="13" spans="1:11" ht="15.75" x14ac:dyDescent="0.25">
      <c r="A13" s="31">
        <v>10</v>
      </c>
      <c r="B13" s="30" t="s">
        <v>1041</v>
      </c>
      <c r="C13" s="30" t="s">
        <v>1069</v>
      </c>
      <c r="D13" s="30" t="s">
        <v>1070</v>
      </c>
      <c r="E13" s="30" t="s">
        <v>1071</v>
      </c>
      <c r="F13" s="30" t="s">
        <v>1045</v>
      </c>
      <c r="G13" s="30" t="s">
        <v>1048</v>
      </c>
      <c r="H13" s="30" t="s">
        <v>1048</v>
      </c>
    </row>
    <row r="14" spans="1:11" ht="15.75" x14ac:dyDescent="0.25">
      <c r="A14" s="31">
        <v>11</v>
      </c>
      <c r="B14" s="30" t="s">
        <v>1041</v>
      </c>
      <c r="C14" s="30" t="s">
        <v>1069</v>
      </c>
      <c r="D14" s="30" t="s">
        <v>1072</v>
      </c>
      <c r="E14" s="30" t="s">
        <v>1073</v>
      </c>
      <c r="F14" s="30" t="s">
        <v>1045</v>
      </c>
      <c r="G14" s="30" t="s">
        <v>1048</v>
      </c>
      <c r="H14" s="30" t="s">
        <v>1051</v>
      </c>
    </row>
    <row r="15" spans="1:11" ht="15.75" x14ac:dyDescent="0.25">
      <c r="A15" s="31">
        <v>12</v>
      </c>
      <c r="B15" s="30" t="s">
        <v>1041</v>
      </c>
      <c r="C15" s="30" t="s">
        <v>1069</v>
      </c>
      <c r="D15" s="30" t="s">
        <v>1074</v>
      </c>
      <c r="E15" s="30" t="s">
        <v>1075</v>
      </c>
      <c r="F15" s="30" t="s">
        <v>1045</v>
      </c>
      <c r="G15" s="30" t="s">
        <v>1048</v>
      </c>
      <c r="H15" s="30" t="s">
        <v>1054</v>
      </c>
    </row>
    <row r="16" spans="1:11" ht="15.75" x14ac:dyDescent="0.25">
      <c r="A16" s="31">
        <v>13</v>
      </c>
      <c r="B16" s="30" t="s">
        <v>1041</v>
      </c>
      <c r="C16" s="30" t="s">
        <v>1069</v>
      </c>
      <c r="D16" s="30" t="s">
        <v>1075</v>
      </c>
      <c r="E16" s="30" t="s">
        <v>1076</v>
      </c>
      <c r="F16" s="30" t="s">
        <v>1045</v>
      </c>
      <c r="G16" s="30" t="s">
        <v>1048</v>
      </c>
      <c r="H16" s="30" t="s">
        <v>1045</v>
      </c>
    </row>
    <row r="17" spans="1:8" ht="15.75" x14ac:dyDescent="0.25">
      <c r="A17" s="31">
        <v>14</v>
      </c>
      <c r="B17" s="30" t="s">
        <v>1041</v>
      </c>
      <c r="C17" s="30" t="s">
        <v>1069</v>
      </c>
      <c r="D17" s="30" t="s">
        <v>1076</v>
      </c>
      <c r="E17" s="30" t="s">
        <v>1077</v>
      </c>
      <c r="F17" s="30" t="s">
        <v>1045</v>
      </c>
      <c r="G17" s="30" t="s">
        <v>1048</v>
      </c>
      <c r="H17" s="30" t="s">
        <v>1059</v>
      </c>
    </row>
    <row r="18" spans="1:8" ht="15.75" x14ac:dyDescent="0.25">
      <c r="A18" s="31">
        <v>15</v>
      </c>
      <c r="B18" s="30" t="s">
        <v>1041</v>
      </c>
      <c r="C18" s="30" t="s">
        <v>1069</v>
      </c>
      <c r="D18" s="30" t="s">
        <v>1077</v>
      </c>
      <c r="E18" s="30" t="s">
        <v>1078</v>
      </c>
      <c r="F18" s="30" t="s">
        <v>1045</v>
      </c>
      <c r="G18" s="30" t="s">
        <v>1048</v>
      </c>
      <c r="H18" s="30" t="s">
        <v>1062</v>
      </c>
    </row>
    <row r="19" spans="1:8" ht="15.75" x14ac:dyDescent="0.25">
      <c r="A19" s="31">
        <v>16</v>
      </c>
      <c r="B19" s="30" t="s">
        <v>1041</v>
      </c>
      <c r="C19" s="30" t="s">
        <v>1069</v>
      </c>
      <c r="D19" s="30" t="s">
        <v>1078</v>
      </c>
      <c r="E19" s="30" t="s">
        <v>1079</v>
      </c>
      <c r="F19" s="30" t="s">
        <v>1045</v>
      </c>
      <c r="G19" s="30" t="s">
        <v>1048</v>
      </c>
      <c r="H19" s="30" t="s">
        <v>1065</v>
      </c>
    </row>
    <row r="20" spans="1:8" ht="15.75" x14ac:dyDescent="0.25">
      <c r="A20" s="31">
        <v>17</v>
      </c>
      <c r="B20" s="30" t="s">
        <v>1041</v>
      </c>
      <c r="C20" s="30" t="s">
        <v>1069</v>
      </c>
      <c r="D20" s="30" t="s">
        <v>1079</v>
      </c>
      <c r="E20" s="30" t="s">
        <v>1080</v>
      </c>
      <c r="F20" s="30" t="s">
        <v>1045</v>
      </c>
      <c r="G20" s="30" t="s">
        <v>1048</v>
      </c>
      <c r="H20" s="30" t="s">
        <v>1068</v>
      </c>
    </row>
    <row r="21" spans="1:8" ht="15.75" x14ac:dyDescent="0.25">
      <c r="A21" s="31">
        <v>18</v>
      </c>
      <c r="B21" s="30" t="s">
        <v>1041</v>
      </c>
      <c r="C21" s="30" t="s">
        <v>1069</v>
      </c>
      <c r="D21" s="30" t="s">
        <v>1080</v>
      </c>
      <c r="E21" s="30" t="s">
        <v>1081</v>
      </c>
      <c r="F21" s="30" t="s">
        <v>1045</v>
      </c>
      <c r="G21" s="30" t="s">
        <v>1048</v>
      </c>
      <c r="H21" s="30" t="s">
        <v>1046</v>
      </c>
    </row>
    <row r="22" spans="1:8" ht="15.75" x14ac:dyDescent="0.25">
      <c r="A22" s="31">
        <v>19</v>
      </c>
      <c r="B22" s="30" t="s">
        <v>1041</v>
      </c>
      <c r="C22" s="30" t="s">
        <v>1082</v>
      </c>
      <c r="D22" s="30" t="s">
        <v>1083</v>
      </c>
      <c r="E22" s="30" t="s">
        <v>1084</v>
      </c>
      <c r="F22" s="30" t="s">
        <v>1045</v>
      </c>
      <c r="G22" s="30" t="s">
        <v>1051</v>
      </c>
      <c r="H22" s="30" t="s">
        <v>1051</v>
      </c>
    </row>
    <row r="23" spans="1:8" ht="15.75" x14ac:dyDescent="0.25">
      <c r="A23" s="31">
        <v>20</v>
      </c>
      <c r="B23" s="30" t="s">
        <v>1041</v>
      </c>
      <c r="C23" s="30" t="s">
        <v>1082</v>
      </c>
      <c r="D23" s="30" t="s">
        <v>1085</v>
      </c>
      <c r="E23" s="30" t="s">
        <v>1086</v>
      </c>
      <c r="F23" s="30" t="s">
        <v>1045</v>
      </c>
      <c r="G23" s="30" t="s">
        <v>1051</v>
      </c>
      <c r="H23" s="30" t="s">
        <v>1054</v>
      </c>
    </row>
    <row r="24" spans="1:8" ht="15.75" x14ac:dyDescent="0.25">
      <c r="A24" s="31">
        <v>21</v>
      </c>
      <c r="B24" s="30" t="s">
        <v>1041</v>
      </c>
      <c r="C24" s="30" t="s">
        <v>1082</v>
      </c>
      <c r="D24" s="30" t="s">
        <v>1086</v>
      </c>
      <c r="E24" s="30" t="s">
        <v>1087</v>
      </c>
      <c r="F24" s="30" t="s">
        <v>1045</v>
      </c>
      <c r="G24" s="30" t="s">
        <v>1051</v>
      </c>
      <c r="H24" s="30" t="s">
        <v>1045</v>
      </c>
    </row>
    <row r="25" spans="1:8" s="26" customFormat="1" ht="15.75" x14ac:dyDescent="0.25">
      <c r="A25" s="24">
        <v>22</v>
      </c>
      <c r="B25" s="25" t="s">
        <v>1041</v>
      </c>
      <c r="C25" s="25" t="s">
        <v>1082</v>
      </c>
      <c r="D25" s="25" t="s">
        <v>1087</v>
      </c>
      <c r="E25" s="25" t="s">
        <v>1088</v>
      </c>
      <c r="F25" s="25" t="s">
        <v>1045</v>
      </c>
      <c r="G25" s="25" t="s">
        <v>1051</v>
      </c>
      <c r="H25" s="25" t="s">
        <v>1059</v>
      </c>
    </row>
    <row r="26" spans="1:8" s="26" customFormat="1" ht="15.75" x14ac:dyDescent="0.25">
      <c r="A26" s="34">
        <v>23</v>
      </c>
      <c r="B26" s="35" t="s">
        <v>1089</v>
      </c>
      <c r="C26" s="35" t="s">
        <v>1082</v>
      </c>
      <c r="D26" s="35" t="s">
        <v>1090</v>
      </c>
      <c r="E26" s="35" t="s">
        <v>1091</v>
      </c>
      <c r="F26" s="35" t="s">
        <v>1048</v>
      </c>
      <c r="G26" s="35" t="s">
        <v>1051</v>
      </c>
      <c r="H26" s="35" t="s">
        <v>1059</v>
      </c>
    </row>
    <row r="27" spans="1:8" ht="15.75" x14ac:dyDescent="0.25">
      <c r="A27" s="31">
        <v>24</v>
      </c>
      <c r="B27" s="30" t="s">
        <v>1089</v>
      </c>
      <c r="C27" s="30" t="s">
        <v>1082</v>
      </c>
      <c r="D27" s="30" t="s">
        <v>1091</v>
      </c>
      <c r="E27" s="30" t="s">
        <v>1092</v>
      </c>
      <c r="F27" s="30" t="s">
        <v>1048</v>
      </c>
      <c r="G27" s="30" t="s">
        <v>1051</v>
      </c>
      <c r="H27" s="30" t="s">
        <v>1062</v>
      </c>
    </row>
    <row r="28" spans="1:8" ht="15.75" x14ac:dyDescent="0.25">
      <c r="A28" s="31">
        <v>25</v>
      </c>
      <c r="B28" s="30" t="s">
        <v>1089</v>
      </c>
      <c r="C28" s="30" t="s">
        <v>1082</v>
      </c>
      <c r="D28" s="30" t="s">
        <v>1093</v>
      </c>
      <c r="E28" s="30" t="s">
        <v>1094</v>
      </c>
      <c r="F28" s="30" t="s">
        <v>1048</v>
      </c>
      <c r="G28" s="30" t="s">
        <v>1051</v>
      </c>
      <c r="H28" s="30" t="s">
        <v>1065</v>
      </c>
    </row>
    <row r="29" spans="1:8" ht="15.75" x14ac:dyDescent="0.25">
      <c r="A29" s="31">
        <v>26</v>
      </c>
      <c r="B29" s="30" t="s">
        <v>1089</v>
      </c>
      <c r="C29" s="30" t="s">
        <v>1082</v>
      </c>
      <c r="D29" s="30" t="s">
        <v>1094</v>
      </c>
      <c r="E29" s="30" t="s">
        <v>1095</v>
      </c>
      <c r="F29" s="30" t="s">
        <v>1048</v>
      </c>
      <c r="G29" s="30" t="s">
        <v>1051</v>
      </c>
      <c r="H29" s="30" t="s">
        <v>1068</v>
      </c>
    </row>
    <row r="30" spans="1:8" ht="15.75" x14ac:dyDescent="0.25">
      <c r="A30" s="31">
        <v>27</v>
      </c>
      <c r="B30" s="30" t="s">
        <v>1089</v>
      </c>
      <c r="C30" s="30" t="s">
        <v>1082</v>
      </c>
      <c r="D30" s="30" t="s">
        <v>1095</v>
      </c>
      <c r="E30" s="30" t="s">
        <v>1096</v>
      </c>
      <c r="F30" s="30" t="s">
        <v>1048</v>
      </c>
      <c r="G30" s="30" t="s">
        <v>1051</v>
      </c>
      <c r="H30" s="30" t="s">
        <v>1046</v>
      </c>
    </row>
    <row r="31" spans="1:8" ht="15.75" x14ac:dyDescent="0.25">
      <c r="A31" s="31">
        <v>28</v>
      </c>
      <c r="B31" s="32" t="s">
        <v>1089</v>
      </c>
      <c r="C31" s="30" t="s">
        <v>1082</v>
      </c>
      <c r="D31" s="32" t="s">
        <v>1097</v>
      </c>
      <c r="E31" s="32" t="s">
        <v>1098</v>
      </c>
      <c r="F31" s="32" t="s">
        <v>1048</v>
      </c>
      <c r="G31" s="32" t="s">
        <v>1051</v>
      </c>
      <c r="H31" s="32" t="s">
        <v>1048</v>
      </c>
    </row>
    <row r="32" spans="1:8" ht="15.75" x14ac:dyDescent="0.25">
      <c r="A32" s="31">
        <v>29</v>
      </c>
      <c r="B32" s="30" t="s">
        <v>1089</v>
      </c>
      <c r="C32" s="30" t="s">
        <v>1099</v>
      </c>
      <c r="D32" s="30" t="s">
        <v>1100</v>
      </c>
      <c r="E32" s="30" t="s">
        <v>1101</v>
      </c>
      <c r="F32" s="30" t="s">
        <v>1048</v>
      </c>
      <c r="G32" s="30" t="s">
        <v>1054</v>
      </c>
      <c r="H32" s="30" t="s">
        <v>1054</v>
      </c>
    </row>
    <row r="33" spans="1:8" ht="15.75" x14ac:dyDescent="0.25">
      <c r="A33" s="31">
        <v>30</v>
      </c>
      <c r="B33" s="30" t="s">
        <v>1089</v>
      </c>
      <c r="C33" s="30" t="s">
        <v>1099</v>
      </c>
      <c r="D33" s="30" t="s">
        <v>1102</v>
      </c>
      <c r="E33" s="30" t="s">
        <v>1103</v>
      </c>
      <c r="F33" s="30" t="s">
        <v>1048</v>
      </c>
      <c r="G33" s="30" t="s">
        <v>1054</v>
      </c>
      <c r="H33" s="30" t="s">
        <v>1045</v>
      </c>
    </row>
    <row r="34" spans="1:8" ht="15.75" x14ac:dyDescent="0.25">
      <c r="A34" s="31">
        <v>31</v>
      </c>
      <c r="B34" s="30" t="s">
        <v>1089</v>
      </c>
      <c r="C34" s="30" t="s">
        <v>1099</v>
      </c>
      <c r="D34" s="30" t="s">
        <v>1103</v>
      </c>
      <c r="E34" s="30" t="s">
        <v>1104</v>
      </c>
      <c r="F34" s="30" t="s">
        <v>1048</v>
      </c>
      <c r="G34" s="30" t="s">
        <v>1054</v>
      </c>
      <c r="H34" s="30" t="s">
        <v>1059</v>
      </c>
    </row>
    <row r="35" spans="1:8" ht="15.75" x14ac:dyDescent="0.25">
      <c r="A35" s="31">
        <v>32</v>
      </c>
      <c r="B35" s="30" t="s">
        <v>1089</v>
      </c>
      <c r="C35" s="30" t="s">
        <v>1099</v>
      </c>
      <c r="D35" s="30" t="s">
        <v>1104</v>
      </c>
      <c r="E35" s="30" t="s">
        <v>1105</v>
      </c>
      <c r="F35" s="30" t="s">
        <v>1048</v>
      </c>
      <c r="G35" s="30" t="s">
        <v>1054</v>
      </c>
      <c r="H35" s="30" t="s">
        <v>1062</v>
      </c>
    </row>
    <row r="36" spans="1:8" ht="15.75" x14ac:dyDescent="0.25">
      <c r="A36" s="31">
        <v>33</v>
      </c>
      <c r="B36" s="30" t="s">
        <v>1089</v>
      </c>
      <c r="C36" s="30" t="s">
        <v>1099</v>
      </c>
      <c r="D36" s="30" t="s">
        <v>1105</v>
      </c>
      <c r="E36" s="30" t="s">
        <v>1106</v>
      </c>
      <c r="F36" s="30" t="s">
        <v>1048</v>
      </c>
      <c r="G36" s="30" t="s">
        <v>1054</v>
      </c>
      <c r="H36" s="30" t="s">
        <v>1065</v>
      </c>
    </row>
    <row r="37" spans="1:8" ht="15.75" x14ac:dyDescent="0.25">
      <c r="A37" s="31">
        <v>34</v>
      </c>
      <c r="B37" s="30" t="s">
        <v>1089</v>
      </c>
      <c r="C37" s="30" t="s">
        <v>1099</v>
      </c>
      <c r="D37" s="30" t="s">
        <v>1106</v>
      </c>
      <c r="E37" s="30" t="s">
        <v>1107</v>
      </c>
      <c r="F37" s="30" t="s">
        <v>1048</v>
      </c>
      <c r="G37" s="30" t="s">
        <v>1054</v>
      </c>
      <c r="H37" s="30" t="s">
        <v>1068</v>
      </c>
    </row>
    <row r="38" spans="1:8" ht="15.75" x14ac:dyDescent="0.25">
      <c r="A38" s="31">
        <v>35</v>
      </c>
      <c r="B38" s="30" t="s">
        <v>1089</v>
      </c>
      <c r="C38" s="30" t="s">
        <v>1099</v>
      </c>
      <c r="D38" s="30" t="s">
        <v>1107</v>
      </c>
      <c r="E38" s="30" t="s">
        <v>1108</v>
      </c>
      <c r="F38" s="30" t="s">
        <v>1048</v>
      </c>
      <c r="G38" s="30" t="s">
        <v>1054</v>
      </c>
      <c r="H38" s="30" t="s">
        <v>1046</v>
      </c>
    </row>
    <row r="39" spans="1:8" ht="15.75" x14ac:dyDescent="0.25">
      <c r="A39" s="31">
        <v>36</v>
      </c>
      <c r="B39" s="30" t="s">
        <v>1089</v>
      </c>
      <c r="C39" s="30" t="s">
        <v>1099</v>
      </c>
      <c r="D39" s="30" t="s">
        <v>1108</v>
      </c>
      <c r="E39" s="30" t="s">
        <v>1109</v>
      </c>
      <c r="F39" s="30" t="s">
        <v>1048</v>
      </c>
      <c r="G39" s="30" t="s">
        <v>1054</v>
      </c>
      <c r="H39" s="30" t="s">
        <v>1048</v>
      </c>
    </row>
    <row r="40" spans="1:8" ht="15.75" x14ac:dyDescent="0.25">
      <c r="A40" s="31">
        <v>37</v>
      </c>
      <c r="B40" s="30" t="s">
        <v>1089</v>
      </c>
      <c r="C40" s="30" t="s">
        <v>1099</v>
      </c>
      <c r="D40" s="30" t="s">
        <v>1109</v>
      </c>
      <c r="E40" s="30" t="s">
        <v>1110</v>
      </c>
      <c r="F40" s="30" t="s">
        <v>1048</v>
      </c>
      <c r="G40" s="30" t="s">
        <v>1054</v>
      </c>
      <c r="H40" s="30" t="s">
        <v>1051</v>
      </c>
    </row>
    <row r="41" spans="1:8" ht="15.75" x14ac:dyDescent="0.25">
      <c r="A41" s="31">
        <v>38</v>
      </c>
      <c r="B41" s="30" t="s">
        <v>1089</v>
      </c>
      <c r="C41" s="30" t="s">
        <v>1111</v>
      </c>
      <c r="D41" s="30" t="s">
        <v>1110</v>
      </c>
      <c r="E41" s="30" t="s">
        <v>1112</v>
      </c>
      <c r="F41" s="30" t="s">
        <v>1048</v>
      </c>
      <c r="G41" s="30" t="s">
        <v>1045</v>
      </c>
      <c r="H41" s="30" t="s">
        <v>1045</v>
      </c>
    </row>
    <row r="42" spans="1:8" ht="15.75" x14ac:dyDescent="0.25">
      <c r="A42" s="31">
        <v>39</v>
      </c>
      <c r="B42" s="30" t="s">
        <v>1089</v>
      </c>
      <c r="C42" s="30" t="s">
        <v>1111</v>
      </c>
      <c r="D42" s="30" t="s">
        <v>1113</v>
      </c>
      <c r="E42" s="30" t="s">
        <v>1114</v>
      </c>
      <c r="F42" s="30" t="s">
        <v>1048</v>
      </c>
      <c r="G42" s="30" t="s">
        <v>1045</v>
      </c>
      <c r="H42" s="30" t="s">
        <v>1059</v>
      </c>
    </row>
    <row r="43" spans="1:8" ht="15.75" x14ac:dyDescent="0.25">
      <c r="A43" s="31">
        <v>40</v>
      </c>
      <c r="B43" s="30" t="s">
        <v>1089</v>
      </c>
      <c r="C43" s="30" t="s">
        <v>1111</v>
      </c>
      <c r="D43" s="30" t="s">
        <v>1114</v>
      </c>
      <c r="E43" s="30" t="s">
        <v>1115</v>
      </c>
      <c r="F43" s="30" t="s">
        <v>1048</v>
      </c>
      <c r="G43" s="30" t="s">
        <v>1045</v>
      </c>
      <c r="H43" s="30" t="s">
        <v>1062</v>
      </c>
    </row>
    <row r="44" spans="1:8" ht="15.75" x14ac:dyDescent="0.25">
      <c r="A44" s="31">
        <v>41</v>
      </c>
      <c r="B44" s="30" t="s">
        <v>1089</v>
      </c>
      <c r="C44" s="30" t="s">
        <v>1111</v>
      </c>
      <c r="D44" s="30" t="s">
        <v>1115</v>
      </c>
      <c r="E44" s="30" t="s">
        <v>1088</v>
      </c>
      <c r="F44" s="30" t="s">
        <v>1048</v>
      </c>
      <c r="G44" s="30" t="s">
        <v>1045</v>
      </c>
      <c r="H44" s="30" t="s">
        <v>1065</v>
      </c>
    </row>
    <row r="45" spans="1:8" ht="15.75" x14ac:dyDescent="0.25">
      <c r="A45" s="31">
        <v>42</v>
      </c>
      <c r="B45" s="30" t="s">
        <v>1116</v>
      </c>
      <c r="C45" s="30" t="s">
        <v>1111</v>
      </c>
      <c r="D45" s="30" t="s">
        <v>1090</v>
      </c>
      <c r="E45" s="30" t="s">
        <v>1117</v>
      </c>
      <c r="F45" s="30" t="s">
        <v>1068</v>
      </c>
      <c r="G45" s="30" t="s">
        <v>1045</v>
      </c>
      <c r="H45" s="30" t="s">
        <v>1068</v>
      </c>
    </row>
    <row r="46" spans="1:8" ht="15.75" x14ac:dyDescent="0.25">
      <c r="A46" s="31">
        <v>43</v>
      </c>
      <c r="B46" s="30" t="s">
        <v>1116</v>
      </c>
      <c r="C46" s="30" t="s">
        <v>1111</v>
      </c>
      <c r="D46" s="30" t="s">
        <v>1117</v>
      </c>
      <c r="E46" s="30" t="s">
        <v>1118</v>
      </c>
      <c r="F46" s="30" t="s">
        <v>1068</v>
      </c>
      <c r="G46" s="30" t="s">
        <v>1045</v>
      </c>
      <c r="H46" s="30" t="s">
        <v>1046</v>
      </c>
    </row>
    <row r="47" spans="1:8" ht="15.75" x14ac:dyDescent="0.25">
      <c r="A47" s="31">
        <v>44</v>
      </c>
      <c r="B47" s="30" t="s">
        <v>1116</v>
      </c>
      <c r="C47" s="30" t="s">
        <v>1111</v>
      </c>
      <c r="D47" s="30" t="s">
        <v>1118</v>
      </c>
      <c r="E47" s="30" t="s">
        <v>1119</v>
      </c>
      <c r="F47" s="30" t="s">
        <v>1068</v>
      </c>
      <c r="G47" s="30" t="s">
        <v>1045</v>
      </c>
      <c r="H47" s="30" t="s">
        <v>1048</v>
      </c>
    </row>
    <row r="48" spans="1:8" ht="15.75" x14ac:dyDescent="0.25">
      <c r="A48" s="31">
        <v>45</v>
      </c>
      <c r="B48" s="30" t="s">
        <v>1116</v>
      </c>
      <c r="C48" s="30" t="s">
        <v>1111</v>
      </c>
      <c r="D48" s="30" t="s">
        <v>1119</v>
      </c>
      <c r="E48" s="30" t="s">
        <v>1056</v>
      </c>
      <c r="F48" s="30" t="s">
        <v>1068</v>
      </c>
      <c r="G48" s="30" t="s">
        <v>1045</v>
      </c>
      <c r="H48" s="30" t="s">
        <v>1051</v>
      </c>
    </row>
    <row r="49" spans="1:8" ht="15.75" x14ac:dyDescent="0.25">
      <c r="A49" s="31">
        <v>46</v>
      </c>
      <c r="B49" s="30" t="s">
        <v>1116</v>
      </c>
      <c r="C49" s="30" t="s">
        <v>1111</v>
      </c>
      <c r="D49" s="30" t="s">
        <v>1056</v>
      </c>
      <c r="E49" s="30" t="s">
        <v>1120</v>
      </c>
      <c r="F49" s="30" t="s">
        <v>1068</v>
      </c>
      <c r="G49" s="30" t="s">
        <v>1045</v>
      </c>
      <c r="H49" s="30" t="s">
        <v>1054</v>
      </c>
    </row>
    <row r="50" spans="1:8" ht="15.75" x14ac:dyDescent="0.25">
      <c r="A50" s="31">
        <v>47</v>
      </c>
      <c r="B50" s="30" t="s">
        <v>1116</v>
      </c>
      <c r="C50" s="30" t="s">
        <v>1121</v>
      </c>
      <c r="D50" s="30" t="s">
        <v>1120</v>
      </c>
      <c r="E50" s="30" t="s">
        <v>1122</v>
      </c>
      <c r="F50" s="30" t="s">
        <v>1068</v>
      </c>
      <c r="G50" s="30" t="s">
        <v>1059</v>
      </c>
      <c r="H50" s="30" t="s">
        <v>1059</v>
      </c>
    </row>
    <row r="51" spans="1:8" ht="15.75" x14ac:dyDescent="0.25">
      <c r="A51" s="31">
        <v>48</v>
      </c>
      <c r="B51" s="30" t="s">
        <v>1116</v>
      </c>
      <c r="C51" s="30" t="s">
        <v>1121</v>
      </c>
      <c r="D51" s="30" t="s">
        <v>1122</v>
      </c>
      <c r="E51" s="30" t="s">
        <v>1123</v>
      </c>
      <c r="F51" s="30" t="s">
        <v>1068</v>
      </c>
      <c r="G51" s="30" t="s">
        <v>1059</v>
      </c>
      <c r="H51" s="30" t="s">
        <v>1062</v>
      </c>
    </row>
    <row r="52" spans="1:8" ht="15.75" x14ac:dyDescent="0.25">
      <c r="A52" s="31">
        <v>49</v>
      </c>
      <c r="B52" s="30" t="s">
        <v>1116</v>
      </c>
      <c r="C52" s="30" t="s">
        <v>1121</v>
      </c>
      <c r="D52" s="30" t="s">
        <v>1123</v>
      </c>
      <c r="E52" s="30" t="s">
        <v>1124</v>
      </c>
      <c r="F52" s="30" t="s">
        <v>1068</v>
      </c>
      <c r="G52" s="30" t="s">
        <v>1059</v>
      </c>
      <c r="H52" s="30" t="s">
        <v>1065</v>
      </c>
    </row>
    <row r="53" spans="1:8" ht="15.75" x14ac:dyDescent="0.25">
      <c r="A53" s="31">
        <v>50</v>
      </c>
      <c r="B53" s="30" t="s">
        <v>1116</v>
      </c>
      <c r="C53" s="30" t="s">
        <v>1121</v>
      </c>
      <c r="D53" s="30" t="s">
        <v>1125</v>
      </c>
      <c r="E53" s="30" t="s">
        <v>1126</v>
      </c>
      <c r="F53" s="30" t="s">
        <v>1068</v>
      </c>
      <c r="G53" s="30" t="s">
        <v>1059</v>
      </c>
      <c r="H53" s="30" t="s">
        <v>1068</v>
      </c>
    </row>
    <row r="54" spans="1:8" ht="15.75" x14ac:dyDescent="0.25">
      <c r="A54" s="31">
        <v>51</v>
      </c>
      <c r="B54" s="30" t="s">
        <v>1116</v>
      </c>
      <c r="C54" s="30" t="s">
        <v>1121</v>
      </c>
      <c r="D54" s="30" t="s">
        <v>1126</v>
      </c>
      <c r="E54" s="30" t="s">
        <v>1127</v>
      </c>
      <c r="F54" s="30" t="s">
        <v>1068</v>
      </c>
      <c r="G54" s="30" t="s">
        <v>1059</v>
      </c>
      <c r="H54" s="30" t="s">
        <v>1046</v>
      </c>
    </row>
    <row r="55" spans="1:8" ht="15.75" x14ac:dyDescent="0.25">
      <c r="A55" s="31">
        <v>52</v>
      </c>
      <c r="B55" s="30" t="s">
        <v>1116</v>
      </c>
      <c r="C55" s="30" t="s">
        <v>1121</v>
      </c>
      <c r="D55" s="30" t="s">
        <v>1127</v>
      </c>
      <c r="E55" s="30" t="s">
        <v>1128</v>
      </c>
      <c r="F55" s="30" t="s">
        <v>1068</v>
      </c>
      <c r="G55" s="30" t="s">
        <v>1059</v>
      </c>
      <c r="H55" s="30" t="s">
        <v>1048</v>
      </c>
    </row>
    <row r="56" spans="1:8" ht="15.75" x14ac:dyDescent="0.25">
      <c r="A56" s="31">
        <v>53</v>
      </c>
      <c r="B56" s="30" t="s">
        <v>1116</v>
      </c>
      <c r="C56" s="30" t="s">
        <v>1121</v>
      </c>
      <c r="D56" s="30" t="s">
        <v>1128</v>
      </c>
      <c r="E56" s="30" t="s">
        <v>1076</v>
      </c>
      <c r="F56" s="30" t="s">
        <v>1068</v>
      </c>
      <c r="G56" s="30" t="s">
        <v>1059</v>
      </c>
      <c r="H56" s="30" t="s">
        <v>1051</v>
      </c>
    </row>
    <row r="57" spans="1:8" ht="15.75" x14ac:dyDescent="0.25">
      <c r="A57" s="31">
        <v>54</v>
      </c>
      <c r="B57" s="30" t="s">
        <v>1116</v>
      </c>
      <c r="C57" s="30" t="s">
        <v>1121</v>
      </c>
      <c r="D57" s="30" t="s">
        <v>1076</v>
      </c>
      <c r="E57" s="30" t="s">
        <v>1129</v>
      </c>
      <c r="F57" s="30" t="s">
        <v>1068</v>
      </c>
      <c r="G57" s="30" t="s">
        <v>1059</v>
      </c>
      <c r="H57" s="30" t="s">
        <v>1054</v>
      </c>
    </row>
    <row r="58" spans="1:8" ht="15.75" x14ac:dyDescent="0.25">
      <c r="A58" s="31">
        <v>55</v>
      </c>
      <c r="B58" s="30" t="s">
        <v>1116</v>
      </c>
      <c r="C58" s="30" t="s">
        <v>1121</v>
      </c>
      <c r="D58" s="30" t="s">
        <v>1129</v>
      </c>
      <c r="E58" s="30" t="s">
        <v>1130</v>
      </c>
      <c r="F58" s="30" t="s">
        <v>1068</v>
      </c>
      <c r="G58" s="30" t="s">
        <v>1059</v>
      </c>
      <c r="H58" s="30" t="s">
        <v>1045</v>
      </c>
    </row>
    <row r="59" spans="1:8" ht="15.75" x14ac:dyDescent="0.25">
      <c r="A59" s="31">
        <v>56</v>
      </c>
      <c r="B59" s="30" t="s">
        <v>1116</v>
      </c>
      <c r="C59" s="30" t="s">
        <v>1131</v>
      </c>
      <c r="D59" s="30" t="s">
        <v>1130</v>
      </c>
      <c r="E59" s="30" t="s">
        <v>1132</v>
      </c>
      <c r="F59" s="30" t="s">
        <v>1068</v>
      </c>
      <c r="G59" s="30" t="s">
        <v>1062</v>
      </c>
      <c r="H59" s="30" t="s">
        <v>1062</v>
      </c>
    </row>
    <row r="60" spans="1:8" ht="15.75" x14ac:dyDescent="0.25">
      <c r="A60" s="31">
        <v>57</v>
      </c>
      <c r="B60" s="30" t="s">
        <v>1116</v>
      </c>
      <c r="C60" s="30" t="s">
        <v>1131</v>
      </c>
      <c r="D60" s="30" t="s">
        <v>1132</v>
      </c>
      <c r="E60" s="30" t="s">
        <v>1133</v>
      </c>
      <c r="F60" s="30" t="s">
        <v>1068</v>
      </c>
      <c r="G60" s="30" t="s">
        <v>1062</v>
      </c>
      <c r="H60" s="30" t="s">
        <v>1065</v>
      </c>
    </row>
    <row r="61" spans="1:8" ht="15.75" x14ac:dyDescent="0.25">
      <c r="A61" s="31">
        <v>58</v>
      </c>
      <c r="B61" s="30" t="s">
        <v>1116</v>
      </c>
      <c r="C61" s="30" t="s">
        <v>1131</v>
      </c>
      <c r="D61" s="30" t="s">
        <v>1133</v>
      </c>
      <c r="E61" s="30" t="s">
        <v>1134</v>
      </c>
      <c r="F61" s="30" t="s">
        <v>1068</v>
      </c>
      <c r="G61" s="30" t="s">
        <v>1062</v>
      </c>
      <c r="H61" s="30" t="s">
        <v>1068</v>
      </c>
    </row>
    <row r="62" spans="1:8" ht="15.75" x14ac:dyDescent="0.25">
      <c r="A62" s="31">
        <v>59</v>
      </c>
      <c r="B62" s="32" t="s">
        <v>1116</v>
      </c>
      <c r="C62" s="30" t="s">
        <v>1131</v>
      </c>
      <c r="D62" s="32" t="s">
        <v>1134</v>
      </c>
      <c r="E62" s="32" t="s">
        <v>1135</v>
      </c>
      <c r="F62" s="32" t="s">
        <v>1068</v>
      </c>
      <c r="G62" s="32" t="s">
        <v>1062</v>
      </c>
      <c r="H62" s="32" t="s">
        <v>1046</v>
      </c>
    </row>
    <row r="63" spans="1:8" ht="15.75" x14ac:dyDescent="0.25">
      <c r="A63" s="31">
        <v>60</v>
      </c>
      <c r="B63" s="30" t="s">
        <v>1116</v>
      </c>
      <c r="C63" s="30" t="s">
        <v>1131</v>
      </c>
      <c r="D63" s="30" t="s">
        <v>1135</v>
      </c>
      <c r="E63" s="30" t="s">
        <v>1136</v>
      </c>
      <c r="F63" s="30" t="s">
        <v>1068</v>
      </c>
      <c r="G63" s="30" t="s">
        <v>1062</v>
      </c>
      <c r="H63" s="30" t="s">
        <v>1048</v>
      </c>
    </row>
    <row r="64" spans="1:8" ht="15.75" x14ac:dyDescent="0.25">
      <c r="A64" s="31">
        <v>61</v>
      </c>
      <c r="B64" s="30" t="s">
        <v>1116</v>
      </c>
      <c r="C64" s="30" t="s">
        <v>1131</v>
      </c>
      <c r="D64" s="30" t="s">
        <v>1136</v>
      </c>
      <c r="E64" s="30" t="s">
        <v>1137</v>
      </c>
      <c r="F64" s="30" t="s">
        <v>1068</v>
      </c>
      <c r="G64" s="30" t="s">
        <v>1062</v>
      </c>
      <c r="H64" s="30" t="s">
        <v>1051</v>
      </c>
    </row>
    <row r="65" spans="1:8" ht="15.75" x14ac:dyDescent="0.25">
      <c r="A65" s="24">
        <v>62</v>
      </c>
      <c r="B65" s="25" t="s">
        <v>1116</v>
      </c>
      <c r="C65" s="25" t="s">
        <v>1131</v>
      </c>
      <c r="D65" s="25" t="s">
        <v>1137</v>
      </c>
      <c r="E65" s="25" t="s">
        <v>1088</v>
      </c>
      <c r="F65" s="25" t="s">
        <v>1068</v>
      </c>
      <c r="G65" s="25" t="s">
        <v>1062</v>
      </c>
      <c r="H65" s="25" t="s">
        <v>1054</v>
      </c>
    </row>
    <row r="66" spans="1:8" ht="15.75" x14ac:dyDescent="0.25">
      <c r="A66" s="195">
        <v>63</v>
      </c>
      <c r="B66" s="196" t="s">
        <v>1138</v>
      </c>
      <c r="C66" s="196" t="s">
        <v>1131</v>
      </c>
      <c r="D66" s="196" t="s">
        <v>1090</v>
      </c>
      <c r="E66" s="196" t="s">
        <v>1139</v>
      </c>
      <c r="F66" s="196" t="s">
        <v>1054</v>
      </c>
      <c r="G66" s="196" t="s">
        <v>1062</v>
      </c>
      <c r="H66" s="196" t="s">
        <v>1054</v>
      </c>
    </row>
    <row r="67" spans="1:8" ht="15.75" x14ac:dyDescent="0.25">
      <c r="A67" s="31">
        <v>64</v>
      </c>
      <c r="B67" s="30" t="s">
        <v>1138</v>
      </c>
      <c r="C67" s="30" t="s">
        <v>1131</v>
      </c>
      <c r="D67" s="30" t="s">
        <v>1139</v>
      </c>
      <c r="E67" s="30" t="s">
        <v>1140</v>
      </c>
      <c r="F67" s="30" t="s">
        <v>1054</v>
      </c>
      <c r="G67" s="30" t="s">
        <v>1062</v>
      </c>
      <c r="H67" s="30" t="s">
        <v>1045</v>
      </c>
    </row>
    <row r="68" spans="1:8" ht="15.75" x14ac:dyDescent="0.25">
      <c r="A68" s="31">
        <v>65</v>
      </c>
      <c r="B68" s="30" t="s">
        <v>1138</v>
      </c>
      <c r="C68" s="30" t="s">
        <v>1131</v>
      </c>
      <c r="D68" s="30" t="s">
        <v>1140</v>
      </c>
      <c r="E68" s="30" t="s">
        <v>1141</v>
      </c>
      <c r="F68" s="30" t="s">
        <v>1054</v>
      </c>
      <c r="G68" s="30" t="s">
        <v>1062</v>
      </c>
      <c r="H68" s="30" t="s">
        <v>1059</v>
      </c>
    </row>
    <row r="69" spans="1:8" ht="15.75" x14ac:dyDescent="0.25">
      <c r="A69" s="31">
        <v>66</v>
      </c>
      <c r="B69" s="30" t="s">
        <v>1138</v>
      </c>
      <c r="C69" s="30" t="s">
        <v>1142</v>
      </c>
      <c r="D69" s="30" t="s">
        <v>1141</v>
      </c>
      <c r="E69" s="30" t="s">
        <v>1143</v>
      </c>
      <c r="F69" s="30" t="s">
        <v>1054</v>
      </c>
      <c r="G69" s="30" t="s">
        <v>1065</v>
      </c>
      <c r="H69" s="30" t="s">
        <v>1065</v>
      </c>
    </row>
    <row r="70" spans="1:8" ht="15.75" x14ac:dyDescent="0.25">
      <c r="A70" s="31">
        <v>67</v>
      </c>
      <c r="B70" s="30" t="s">
        <v>1138</v>
      </c>
      <c r="C70" s="30" t="s">
        <v>1142</v>
      </c>
      <c r="D70" s="30" t="s">
        <v>1143</v>
      </c>
      <c r="E70" s="30" t="s">
        <v>1144</v>
      </c>
      <c r="F70" s="30" t="s">
        <v>1054</v>
      </c>
      <c r="G70" s="30" t="s">
        <v>1065</v>
      </c>
      <c r="H70" s="30" t="s">
        <v>1068</v>
      </c>
    </row>
    <row r="71" spans="1:8" ht="15.75" x14ac:dyDescent="0.25">
      <c r="A71" s="31">
        <v>68</v>
      </c>
      <c r="B71" s="30" t="s">
        <v>1138</v>
      </c>
      <c r="C71" s="30" t="s">
        <v>1142</v>
      </c>
      <c r="D71" s="30" t="s">
        <v>1144</v>
      </c>
      <c r="E71" s="30" t="s">
        <v>1145</v>
      </c>
      <c r="F71" s="30" t="s">
        <v>1054</v>
      </c>
      <c r="G71" s="30" t="s">
        <v>1065</v>
      </c>
      <c r="H71" s="30" t="s">
        <v>1046</v>
      </c>
    </row>
    <row r="72" spans="1:8" ht="15.75" x14ac:dyDescent="0.25">
      <c r="A72" s="31">
        <v>69</v>
      </c>
      <c r="B72" s="30" t="s">
        <v>1138</v>
      </c>
      <c r="C72" s="30" t="s">
        <v>1142</v>
      </c>
      <c r="D72" s="30" t="s">
        <v>1145</v>
      </c>
      <c r="E72" s="30" t="s">
        <v>1146</v>
      </c>
      <c r="F72" s="30" t="s">
        <v>1054</v>
      </c>
      <c r="G72" s="30" t="s">
        <v>1065</v>
      </c>
      <c r="H72" s="30" t="s">
        <v>1048</v>
      </c>
    </row>
    <row r="73" spans="1:8" ht="15.75" x14ac:dyDescent="0.25">
      <c r="A73" s="31">
        <v>70</v>
      </c>
      <c r="B73" s="30" t="s">
        <v>1138</v>
      </c>
      <c r="C73" s="30" t="s">
        <v>1142</v>
      </c>
      <c r="D73" s="30" t="s">
        <v>1146</v>
      </c>
      <c r="E73" s="30" t="s">
        <v>1147</v>
      </c>
      <c r="F73" s="30" t="s">
        <v>1054</v>
      </c>
      <c r="G73" s="30" t="s">
        <v>1065</v>
      </c>
      <c r="H73" s="30" t="s">
        <v>1051</v>
      </c>
    </row>
    <row r="74" spans="1:8" ht="15.75" x14ac:dyDescent="0.25">
      <c r="A74" s="31">
        <v>71</v>
      </c>
      <c r="B74" s="30" t="s">
        <v>1138</v>
      </c>
      <c r="C74" s="30" t="s">
        <v>1142</v>
      </c>
      <c r="D74" s="30" t="s">
        <v>1147</v>
      </c>
      <c r="E74" s="30" t="s">
        <v>1148</v>
      </c>
      <c r="F74" s="30" t="s">
        <v>1054</v>
      </c>
      <c r="G74" s="30" t="s">
        <v>1065</v>
      </c>
      <c r="H74" s="30" t="s">
        <v>1054</v>
      </c>
    </row>
    <row r="75" spans="1:8" ht="15.75" x14ac:dyDescent="0.25">
      <c r="A75" s="31">
        <v>72</v>
      </c>
      <c r="B75" s="30" t="s">
        <v>1138</v>
      </c>
      <c r="C75" s="30" t="s">
        <v>1142</v>
      </c>
      <c r="D75" s="30" t="s">
        <v>1148</v>
      </c>
      <c r="E75" s="30" t="s">
        <v>1149</v>
      </c>
      <c r="F75" s="30" t="s">
        <v>1054</v>
      </c>
      <c r="G75" s="30" t="s">
        <v>1065</v>
      </c>
      <c r="H75" s="30" t="s">
        <v>1045</v>
      </c>
    </row>
    <row r="76" spans="1:8" ht="15.75" x14ac:dyDescent="0.25">
      <c r="A76" s="31">
        <v>73</v>
      </c>
      <c r="B76" s="30" t="s">
        <v>1138</v>
      </c>
      <c r="C76" s="30" t="s">
        <v>1142</v>
      </c>
      <c r="D76" s="30" t="s">
        <v>1149</v>
      </c>
      <c r="E76" s="30" t="s">
        <v>1150</v>
      </c>
      <c r="F76" s="30" t="s">
        <v>1054</v>
      </c>
      <c r="G76" s="30" t="s">
        <v>1065</v>
      </c>
      <c r="H76" s="30" t="s">
        <v>1059</v>
      </c>
    </row>
    <row r="77" spans="1:8" ht="15.75" x14ac:dyDescent="0.25">
      <c r="A77" s="31">
        <v>74</v>
      </c>
      <c r="B77" s="30" t="s">
        <v>1138</v>
      </c>
      <c r="C77" s="30" t="s">
        <v>1142</v>
      </c>
      <c r="D77" s="30" t="s">
        <v>1150</v>
      </c>
      <c r="E77" s="30" t="s">
        <v>1151</v>
      </c>
      <c r="F77" s="30" t="s">
        <v>1054</v>
      </c>
      <c r="G77" s="30" t="s">
        <v>1065</v>
      </c>
      <c r="H77" s="30" t="s">
        <v>1062</v>
      </c>
    </row>
    <row r="78" spans="1:8" ht="15.75" x14ac:dyDescent="0.25">
      <c r="A78" s="31">
        <v>75</v>
      </c>
      <c r="B78" s="30" t="s">
        <v>1138</v>
      </c>
      <c r="C78" s="30" t="s">
        <v>1152</v>
      </c>
      <c r="D78" s="30" t="s">
        <v>1151</v>
      </c>
      <c r="E78" s="30" t="s">
        <v>1153</v>
      </c>
      <c r="F78" s="30" t="s">
        <v>1054</v>
      </c>
      <c r="G78" s="30" t="s">
        <v>1068</v>
      </c>
      <c r="H78" s="30" t="s">
        <v>1068</v>
      </c>
    </row>
    <row r="79" spans="1:8" ht="15.75" x14ac:dyDescent="0.25">
      <c r="A79" s="31">
        <v>76</v>
      </c>
      <c r="B79" s="30" t="s">
        <v>1138</v>
      </c>
      <c r="C79" s="30" t="s">
        <v>1152</v>
      </c>
      <c r="D79" s="30" t="s">
        <v>1153</v>
      </c>
      <c r="E79" s="30" t="s">
        <v>1154</v>
      </c>
      <c r="F79" s="30" t="s">
        <v>1054</v>
      </c>
      <c r="G79" s="30" t="s">
        <v>1068</v>
      </c>
      <c r="H79" s="30" t="s">
        <v>1046</v>
      </c>
    </row>
    <row r="80" spans="1:8" ht="15.75" x14ac:dyDescent="0.25">
      <c r="A80" s="31">
        <v>77</v>
      </c>
      <c r="B80" s="30" t="s">
        <v>1138</v>
      </c>
      <c r="C80" s="30" t="s">
        <v>1152</v>
      </c>
      <c r="D80" s="30" t="s">
        <v>1154</v>
      </c>
      <c r="E80" s="30" t="s">
        <v>1155</v>
      </c>
      <c r="F80" s="30" t="s">
        <v>1054</v>
      </c>
      <c r="G80" s="30" t="s">
        <v>1068</v>
      </c>
      <c r="H80" s="30" t="s">
        <v>1048</v>
      </c>
    </row>
    <row r="81" spans="1:8" ht="15.75" x14ac:dyDescent="0.25">
      <c r="A81" s="31">
        <v>78</v>
      </c>
      <c r="B81" s="30" t="s">
        <v>1138</v>
      </c>
      <c r="C81" s="30" t="s">
        <v>1152</v>
      </c>
      <c r="D81" s="30" t="s">
        <v>1155</v>
      </c>
      <c r="E81" s="30" t="s">
        <v>1156</v>
      </c>
      <c r="F81" s="30" t="s">
        <v>1054</v>
      </c>
      <c r="G81" s="30" t="s">
        <v>1068</v>
      </c>
      <c r="H81" s="30" t="s">
        <v>1051</v>
      </c>
    </row>
    <row r="82" spans="1:8" ht="15.75" x14ac:dyDescent="0.25">
      <c r="A82" s="31">
        <v>79</v>
      </c>
      <c r="B82" s="30" t="s">
        <v>1138</v>
      </c>
      <c r="C82" s="30" t="s">
        <v>1152</v>
      </c>
      <c r="D82" s="30" t="s">
        <v>1156</v>
      </c>
      <c r="E82" s="30" t="s">
        <v>1157</v>
      </c>
      <c r="F82" s="30" t="s">
        <v>1054</v>
      </c>
      <c r="G82" s="30" t="s">
        <v>1068</v>
      </c>
      <c r="H82" s="30" t="s">
        <v>1054</v>
      </c>
    </row>
    <row r="83" spans="1:8" ht="15.75" x14ac:dyDescent="0.25">
      <c r="A83" s="31">
        <v>80</v>
      </c>
      <c r="B83" s="30" t="s">
        <v>1138</v>
      </c>
      <c r="C83" s="30" t="s">
        <v>1152</v>
      </c>
      <c r="D83" s="30" t="s">
        <v>1157</v>
      </c>
      <c r="E83" s="30" t="s">
        <v>1113</v>
      </c>
      <c r="F83" s="30" t="s">
        <v>1054</v>
      </c>
      <c r="G83" s="30" t="s">
        <v>1068</v>
      </c>
      <c r="H83" s="30" t="s">
        <v>1045</v>
      </c>
    </row>
    <row r="84" spans="1:8" ht="15.75" x14ac:dyDescent="0.25">
      <c r="A84" s="31">
        <v>81</v>
      </c>
      <c r="B84" s="30" t="s">
        <v>1138</v>
      </c>
      <c r="C84" s="30" t="s">
        <v>1152</v>
      </c>
      <c r="D84" s="30" t="s">
        <v>1113</v>
      </c>
      <c r="E84" s="30" t="s">
        <v>1114</v>
      </c>
      <c r="F84" s="30" t="s">
        <v>1054</v>
      </c>
      <c r="G84" s="30" t="s">
        <v>1068</v>
      </c>
      <c r="H84" s="30" t="s">
        <v>1059</v>
      </c>
    </row>
    <row r="85" spans="1:8" ht="15.75" x14ac:dyDescent="0.25">
      <c r="A85" s="31">
        <v>82</v>
      </c>
      <c r="B85" s="30" t="s">
        <v>1138</v>
      </c>
      <c r="C85" s="30" t="s">
        <v>1152</v>
      </c>
      <c r="D85" s="30" t="s">
        <v>1114</v>
      </c>
      <c r="E85" s="30" t="s">
        <v>1115</v>
      </c>
      <c r="F85" s="30" t="s">
        <v>1054</v>
      </c>
      <c r="G85" s="30" t="s">
        <v>1068</v>
      </c>
      <c r="H85" s="30" t="s">
        <v>1062</v>
      </c>
    </row>
    <row r="86" spans="1:8" ht="15.75" x14ac:dyDescent="0.25">
      <c r="A86" s="31">
        <v>83</v>
      </c>
      <c r="B86" s="30" t="s">
        <v>1138</v>
      </c>
      <c r="C86" s="30" t="s">
        <v>1152</v>
      </c>
      <c r="D86" s="30" t="s">
        <v>1115</v>
      </c>
      <c r="E86" s="30" t="s">
        <v>1088</v>
      </c>
      <c r="F86" s="30" t="s">
        <v>1054</v>
      </c>
      <c r="G86" s="30" t="s">
        <v>1068</v>
      </c>
      <c r="H86" s="30" t="s">
        <v>1065</v>
      </c>
    </row>
    <row r="87" spans="1:8" ht="15.75" x14ac:dyDescent="0.25">
      <c r="A87" s="31">
        <v>84</v>
      </c>
      <c r="B87" s="30" t="s">
        <v>1158</v>
      </c>
      <c r="C87" s="30" t="s">
        <v>1159</v>
      </c>
      <c r="D87" s="30" t="s">
        <v>1090</v>
      </c>
      <c r="E87" s="30" t="s">
        <v>1160</v>
      </c>
      <c r="F87" s="30" t="s">
        <v>1051</v>
      </c>
      <c r="G87" s="30" t="s">
        <v>1046</v>
      </c>
      <c r="H87" s="30" t="s">
        <v>1046</v>
      </c>
    </row>
    <row r="88" spans="1:8" ht="15.75" x14ac:dyDescent="0.25">
      <c r="A88" s="31">
        <v>85</v>
      </c>
      <c r="B88" s="30" t="s">
        <v>1158</v>
      </c>
      <c r="C88" s="30" t="s">
        <v>1159</v>
      </c>
      <c r="D88" s="30" t="s">
        <v>1160</v>
      </c>
      <c r="E88" s="30" t="s">
        <v>1093</v>
      </c>
      <c r="F88" s="30" t="s">
        <v>1051</v>
      </c>
      <c r="G88" s="30" t="s">
        <v>1046</v>
      </c>
      <c r="H88" s="30" t="s">
        <v>1048</v>
      </c>
    </row>
    <row r="89" spans="1:8" ht="15.75" x14ac:dyDescent="0.25">
      <c r="A89" s="31">
        <v>86</v>
      </c>
      <c r="B89" s="30" t="s">
        <v>1158</v>
      </c>
      <c r="C89" s="30" t="s">
        <v>1159</v>
      </c>
      <c r="D89" s="30" t="s">
        <v>1093</v>
      </c>
      <c r="E89" s="30" t="s">
        <v>1161</v>
      </c>
      <c r="F89" s="30" t="s">
        <v>1051</v>
      </c>
      <c r="G89" s="30" t="s">
        <v>1046</v>
      </c>
      <c r="H89" s="30" t="s">
        <v>1051</v>
      </c>
    </row>
    <row r="90" spans="1:8" ht="15.75" x14ac:dyDescent="0.25">
      <c r="A90" s="31">
        <v>87</v>
      </c>
      <c r="B90" s="30" t="s">
        <v>1158</v>
      </c>
      <c r="C90" s="30" t="s">
        <v>1159</v>
      </c>
      <c r="D90" s="30" t="s">
        <v>1161</v>
      </c>
      <c r="E90" s="30" t="s">
        <v>1162</v>
      </c>
      <c r="F90" s="30" t="s">
        <v>1051</v>
      </c>
      <c r="G90" s="30" t="s">
        <v>1046</v>
      </c>
      <c r="H90" s="30" t="s">
        <v>1054</v>
      </c>
    </row>
    <row r="91" spans="1:8" ht="15.75" x14ac:dyDescent="0.25">
      <c r="A91" s="31">
        <v>88</v>
      </c>
      <c r="B91" s="30" t="s">
        <v>1158</v>
      </c>
      <c r="C91" s="30" t="s">
        <v>1159</v>
      </c>
      <c r="D91" s="30" t="s">
        <v>1162</v>
      </c>
      <c r="E91" s="30" t="s">
        <v>1056</v>
      </c>
      <c r="F91" s="30" t="s">
        <v>1051</v>
      </c>
      <c r="G91" s="30" t="s">
        <v>1046</v>
      </c>
      <c r="H91" s="30" t="s">
        <v>1045</v>
      </c>
    </row>
    <row r="92" spans="1:8" ht="15.75" x14ac:dyDescent="0.25">
      <c r="A92" s="31">
        <v>89</v>
      </c>
      <c r="B92" s="30" t="s">
        <v>1158</v>
      </c>
      <c r="C92" s="30" t="s">
        <v>1159</v>
      </c>
      <c r="D92" s="30" t="s">
        <v>1056</v>
      </c>
      <c r="E92" s="30" t="s">
        <v>1058</v>
      </c>
      <c r="F92" s="30" t="s">
        <v>1051</v>
      </c>
      <c r="G92" s="30" t="s">
        <v>1046</v>
      </c>
      <c r="H92" s="30" t="s">
        <v>1059</v>
      </c>
    </row>
    <row r="93" spans="1:8" ht="15.75" x14ac:dyDescent="0.25">
      <c r="A93" s="31">
        <v>90</v>
      </c>
      <c r="B93" s="32" t="s">
        <v>1158</v>
      </c>
      <c r="C93" s="30" t="s">
        <v>1159</v>
      </c>
      <c r="D93" s="32" t="s">
        <v>1058</v>
      </c>
      <c r="E93" s="32" t="s">
        <v>1061</v>
      </c>
      <c r="F93" s="32" t="s">
        <v>1051</v>
      </c>
      <c r="G93" s="32" t="s">
        <v>1046</v>
      </c>
      <c r="H93" s="32" t="s">
        <v>1062</v>
      </c>
    </row>
    <row r="94" spans="1:8" ht="15.75" x14ac:dyDescent="0.25">
      <c r="A94" s="31">
        <v>91</v>
      </c>
      <c r="B94" s="30" t="s">
        <v>1158</v>
      </c>
      <c r="C94" s="30" t="s">
        <v>1159</v>
      </c>
      <c r="D94" s="30" t="s">
        <v>1061</v>
      </c>
      <c r="E94" s="30" t="s">
        <v>1064</v>
      </c>
      <c r="F94" s="30" t="s">
        <v>1051</v>
      </c>
      <c r="G94" s="30" t="s">
        <v>1046</v>
      </c>
      <c r="H94" s="30" t="s">
        <v>1065</v>
      </c>
    </row>
    <row r="95" spans="1:8" ht="15.75" x14ac:dyDescent="0.25">
      <c r="A95" s="31">
        <v>92</v>
      </c>
      <c r="B95" s="30" t="s">
        <v>1158</v>
      </c>
      <c r="C95" s="30" t="s">
        <v>1159</v>
      </c>
      <c r="D95" s="30" t="s">
        <v>1064</v>
      </c>
      <c r="E95" s="30" t="s">
        <v>1067</v>
      </c>
      <c r="F95" s="30" t="s">
        <v>1051</v>
      </c>
      <c r="G95" s="30" t="s">
        <v>1046</v>
      </c>
      <c r="H95" s="30" t="s">
        <v>1068</v>
      </c>
    </row>
    <row r="96" spans="1:8" ht="15.75" x14ac:dyDescent="0.25">
      <c r="A96" s="31">
        <v>93</v>
      </c>
      <c r="B96" s="30" t="s">
        <v>1158</v>
      </c>
      <c r="C96" s="30" t="s">
        <v>1163</v>
      </c>
      <c r="D96" s="30" t="s">
        <v>1067</v>
      </c>
      <c r="E96" s="30" t="s">
        <v>1164</v>
      </c>
      <c r="F96" s="30" t="s">
        <v>1051</v>
      </c>
      <c r="G96" s="30" t="s">
        <v>1048</v>
      </c>
      <c r="H96" s="30" t="s">
        <v>1048</v>
      </c>
    </row>
    <row r="97" spans="1:8" ht="15.75" x14ac:dyDescent="0.25">
      <c r="A97" s="31">
        <v>94</v>
      </c>
      <c r="B97" s="30" t="s">
        <v>1158</v>
      </c>
      <c r="C97" s="30" t="s">
        <v>1163</v>
      </c>
      <c r="D97" s="30" t="s">
        <v>1164</v>
      </c>
      <c r="E97" s="30" t="s">
        <v>1074</v>
      </c>
      <c r="F97" s="30" t="s">
        <v>1051</v>
      </c>
      <c r="G97" s="30" t="s">
        <v>1048</v>
      </c>
      <c r="H97" s="30" t="s">
        <v>1051</v>
      </c>
    </row>
    <row r="98" spans="1:8" ht="15.75" x14ac:dyDescent="0.25">
      <c r="A98" s="31">
        <v>95</v>
      </c>
      <c r="B98" s="30" t="s">
        <v>1158</v>
      </c>
      <c r="C98" s="30" t="s">
        <v>1163</v>
      </c>
      <c r="D98" s="30" t="s">
        <v>1074</v>
      </c>
      <c r="E98" s="30" t="s">
        <v>1075</v>
      </c>
      <c r="F98" s="30" t="s">
        <v>1051</v>
      </c>
      <c r="G98" s="30" t="s">
        <v>1048</v>
      </c>
      <c r="H98" s="30" t="s">
        <v>1054</v>
      </c>
    </row>
    <row r="99" spans="1:8" ht="15.75" x14ac:dyDescent="0.25">
      <c r="A99" s="31">
        <v>96</v>
      </c>
      <c r="B99" s="30" t="s">
        <v>1158</v>
      </c>
      <c r="C99" s="30" t="s">
        <v>1163</v>
      </c>
      <c r="D99" s="30" t="s">
        <v>1075</v>
      </c>
      <c r="E99" s="30" t="s">
        <v>1076</v>
      </c>
      <c r="F99" s="30" t="s">
        <v>1051</v>
      </c>
      <c r="G99" s="30" t="s">
        <v>1048</v>
      </c>
      <c r="H99" s="30" t="s">
        <v>1045</v>
      </c>
    </row>
    <row r="100" spans="1:8" ht="15.75" x14ac:dyDescent="0.25">
      <c r="A100" s="31">
        <v>97</v>
      </c>
      <c r="B100" s="30" t="s">
        <v>1158</v>
      </c>
      <c r="C100" s="30" t="s">
        <v>1163</v>
      </c>
      <c r="D100" s="30" t="s">
        <v>1076</v>
      </c>
      <c r="E100" s="30" t="s">
        <v>1077</v>
      </c>
      <c r="F100" s="30" t="s">
        <v>1051</v>
      </c>
      <c r="G100" s="30" t="s">
        <v>1048</v>
      </c>
      <c r="H100" s="30" t="s">
        <v>1059</v>
      </c>
    </row>
    <row r="101" spans="1:8" ht="15.75" x14ac:dyDescent="0.25">
      <c r="A101" s="31">
        <v>98</v>
      </c>
      <c r="B101" s="30" t="s">
        <v>1158</v>
      </c>
      <c r="C101" s="30" t="s">
        <v>1163</v>
      </c>
      <c r="D101" s="30" t="s">
        <v>1077</v>
      </c>
      <c r="E101" s="30" t="s">
        <v>1078</v>
      </c>
      <c r="F101" s="30" t="s">
        <v>1051</v>
      </c>
      <c r="G101" s="30" t="s">
        <v>1048</v>
      </c>
      <c r="H101" s="30" t="s">
        <v>1062</v>
      </c>
    </row>
    <row r="102" spans="1:8" ht="15.75" x14ac:dyDescent="0.25">
      <c r="A102" s="31">
        <v>99</v>
      </c>
      <c r="B102" s="30" t="s">
        <v>1158</v>
      </c>
      <c r="C102" s="30" t="s">
        <v>1163</v>
      </c>
      <c r="D102" s="30" t="s">
        <v>1078</v>
      </c>
      <c r="E102" s="30" t="s">
        <v>1079</v>
      </c>
      <c r="F102" s="30" t="s">
        <v>1051</v>
      </c>
      <c r="G102" s="30" t="s">
        <v>1048</v>
      </c>
      <c r="H102" s="30" t="s">
        <v>1065</v>
      </c>
    </row>
    <row r="103" spans="1:8" ht="15.75" x14ac:dyDescent="0.25">
      <c r="A103" s="31">
        <v>100</v>
      </c>
      <c r="B103" s="30" t="s">
        <v>1158</v>
      </c>
      <c r="C103" s="30" t="s">
        <v>1163</v>
      </c>
      <c r="D103" s="30" t="s">
        <v>1079</v>
      </c>
      <c r="E103" s="30" t="s">
        <v>1080</v>
      </c>
      <c r="F103" s="30" t="s">
        <v>1051</v>
      </c>
      <c r="G103" s="30" t="s">
        <v>1048</v>
      </c>
      <c r="H103" s="30" t="s">
        <v>1068</v>
      </c>
    </row>
    <row r="104" spans="1:8" ht="15.75" x14ac:dyDescent="0.25">
      <c r="A104" s="31">
        <v>101</v>
      </c>
      <c r="B104" s="30" t="s">
        <v>1158</v>
      </c>
      <c r="C104" s="30" t="s">
        <v>1163</v>
      </c>
      <c r="D104" s="30" t="s">
        <v>1080</v>
      </c>
      <c r="E104" s="30" t="s">
        <v>1081</v>
      </c>
      <c r="F104" s="30" t="s">
        <v>1051</v>
      </c>
      <c r="G104" s="30" t="s">
        <v>1048</v>
      </c>
      <c r="H104" s="30" t="s">
        <v>1046</v>
      </c>
    </row>
    <row r="105" spans="1:8" ht="15.75" x14ac:dyDescent="0.25">
      <c r="A105" s="31">
        <v>102</v>
      </c>
      <c r="B105" s="30" t="s">
        <v>1158</v>
      </c>
      <c r="C105" s="30" t="s">
        <v>1165</v>
      </c>
      <c r="D105" s="30" t="s">
        <v>1081</v>
      </c>
      <c r="E105" s="30" t="s">
        <v>1085</v>
      </c>
      <c r="F105" s="30" t="s">
        <v>1051</v>
      </c>
      <c r="G105" s="30" t="s">
        <v>1051</v>
      </c>
      <c r="H105" s="30" t="s">
        <v>1051</v>
      </c>
    </row>
    <row r="106" spans="1:8" ht="15.75" x14ac:dyDescent="0.25">
      <c r="A106" s="31">
        <v>103</v>
      </c>
      <c r="B106" s="30" t="s">
        <v>1158</v>
      </c>
      <c r="C106" s="30" t="s">
        <v>1165</v>
      </c>
      <c r="D106" s="30" t="s">
        <v>1085</v>
      </c>
      <c r="E106" s="30" t="s">
        <v>1086</v>
      </c>
      <c r="F106" s="30" t="s">
        <v>1051</v>
      </c>
      <c r="G106" s="30" t="s">
        <v>1051</v>
      </c>
      <c r="H106" s="30" t="s">
        <v>1054</v>
      </c>
    </row>
    <row r="107" spans="1:8" ht="15.75" x14ac:dyDescent="0.25">
      <c r="A107" s="31">
        <v>104</v>
      </c>
      <c r="B107" s="30" t="s">
        <v>1158</v>
      </c>
      <c r="C107" s="30" t="s">
        <v>1165</v>
      </c>
      <c r="D107" s="30" t="s">
        <v>1086</v>
      </c>
      <c r="E107" s="30" t="s">
        <v>1087</v>
      </c>
      <c r="F107" s="30" t="s">
        <v>1051</v>
      </c>
      <c r="G107" s="30" t="s">
        <v>1051</v>
      </c>
      <c r="H107" s="30" t="s">
        <v>1045</v>
      </c>
    </row>
    <row r="108" spans="1:8" ht="15.75" x14ac:dyDescent="0.25">
      <c r="A108" s="31">
        <v>105</v>
      </c>
      <c r="B108" s="30" t="s">
        <v>1158</v>
      </c>
      <c r="C108" s="30" t="s">
        <v>1165</v>
      </c>
      <c r="D108" s="30" t="s">
        <v>1087</v>
      </c>
      <c r="E108" s="30" t="s">
        <v>1088</v>
      </c>
      <c r="F108" s="30" t="s">
        <v>1051</v>
      </c>
      <c r="G108" s="30" t="s">
        <v>1051</v>
      </c>
      <c r="H108" s="30" t="s">
        <v>1059</v>
      </c>
    </row>
    <row r="109" spans="1:8" ht="15.75" x14ac:dyDescent="0.25">
      <c r="A109" s="31">
        <v>106</v>
      </c>
      <c r="B109" s="30" t="s">
        <v>1166</v>
      </c>
      <c r="C109" s="30" t="s">
        <v>1165</v>
      </c>
      <c r="D109" s="30" t="s">
        <v>1090</v>
      </c>
      <c r="E109" s="30" t="s">
        <v>1091</v>
      </c>
      <c r="F109" s="30" t="s">
        <v>1068</v>
      </c>
      <c r="G109" s="30" t="s">
        <v>1051</v>
      </c>
      <c r="H109" s="30" t="s">
        <v>1059</v>
      </c>
    </row>
    <row r="110" spans="1:8" ht="15.75" x14ac:dyDescent="0.25">
      <c r="A110" s="31">
        <v>107</v>
      </c>
      <c r="B110" s="30" t="s">
        <v>1166</v>
      </c>
      <c r="C110" s="30" t="s">
        <v>1165</v>
      </c>
      <c r="D110" s="30" t="s">
        <v>1091</v>
      </c>
      <c r="E110" s="30" t="s">
        <v>1093</v>
      </c>
      <c r="F110" s="30" t="s">
        <v>1068</v>
      </c>
      <c r="G110" s="30" t="s">
        <v>1051</v>
      </c>
      <c r="H110" s="30" t="s">
        <v>1062</v>
      </c>
    </row>
    <row r="111" spans="1:8" ht="15.75" x14ac:dyDescent="0.25">
      <c r="A111" s="31">
        <v>108</v>
      </c>
      <c r="B111" s="30" t="s">
        <v>1166</v>
      </c>
      <c r="C111" s="30" t="s">
        <v>1165</v>
      </c>
      <c r="D111" s="30" t="s">
        <v>1093</v>
      </c>
      <c r="E111" s="30" t="s">
        <v>1094</v>
      </c>
      <c r="F111" s="30" t="s">
        <v>1068</v>
      </c>
      <c r="G111" s="30" t="s">
        <v>1051</v>
      </c>
      <c r="H111" s="30" t="s">
        <v>1065</v>
      </c>
    </row>
    <row r="112" spans="1:8" ht="15.75" x14ac:dyDescent="0.25">
      <c r="A112" s="31">
        <v>109</v>
      </c>
      <c r="B112" s="30" t="s">
        <v>1166</v>
      </c>
      <c r="C112" s="30" t="s">
        <v>1165</v>
      </c>
      <c r="D112" s="30" t="s">
        <v>1094</v>
      </c>
      <c r="E112" s="30" t="s">
        <v>1095</v>
      </c>
      <c r="F112" s="30" t="s">
        <v>1068</v>
      </c>
      <c r="G112" s="30" t="s">
        <v>1051</v>
      </c>
      <c r="H112" s="30" t="s">
        <v>1068</v>
      </c>
    </row>
    <row r="113" spans="1:8" ht="15.75" x14ac:dyDescent="0.25">
      <c r="A113" s="31">
        <v>110</v>
      </c>
      <c r="B113" s="30" t="s">
        <v>1166</v>
      </c>
      <c r="C113" s="30" t="s">
        <v>1165</v>
      </c>
      <c r="D113" s="30" t="s">
        <v>1095</v>
      </c>
      <c r="E113" s="30" t="s">
        <v>1096</v>
      </c>
      <c r="F113" s="30" t="s">
        <v>1068</v>
      </c>
      <c r="G113" s="30" t="s">
        <v>1051</v>
      </c>
      <c r="H113" s="30" t="s">
        <v>1046</v>
      </c>
    </row>
    <row r="114" spans="1:8" ht="15.75" x14ac:dyDescent="0.25">
      <c r="A114" s="31">
        <v>111</v>
      </c>
      <c r="B114" s="30" t="s">
        <v>1166</v>
      </c>
      <c r="C114" s="30" t="s">
        <v>1165</v>
      </c>
      <c r="D114" s="30" t="s">
        <v>1096</v>
      </c>
      <c r="E114" s="30" t="s">
        <v>1098</v>
      </c>
      <c r="F114" s="30" t="s">
        <v>1068</v>
      </c>
      <c r="G114" s="30" t="s">
        <v>1051</v>
      </c>
      <c r="H114" s="30" t="s">
        <v>1048</v>
      </c>
    </row>
    <row r="115" spans="1:8" ht="15.75" x14ac:dyDescent="0.25">
      <c r="A115" s="31">
        <v>112</v>
      </c>
      <c r="B115" s="30" t="s">
        <v>1166</v>
      </c>
      <c r="C115" s="30" t="s">
        <v>1167</v>
      </c>
      <c r="D115" s="30" t="s">
        <v>1098</v>
      </c>
      <c r="E115" s="30" t="s">
        <v>1102</v>
      </c>
      <c r="F115" s="30" t="s">
        <v>1068</v>
      </c>
      <c r="G115" s="30" t="s">
        <v>1054</v>
      </c>
      <c r="H115" s="30" t="s">
        <v>1054</v>
      </c>
    </row>
    <row r="116" spans="1:8" ht="15.75" x14ac:dyDescent="0.25">
      <c r="A116" s="31">
        <v>113</v>
      </c>
      <c r="B116" s="30" t="s">
        <v>1166</v>
      </c>
      <c r="C116" s="30" t="s">
        <v>1167</v>
      </c>
      <c r="D116" s="30" t="s">
        <v>1102</v>
      </c>
      <c r="E116" s="30" t="s">
        <v>1103</v>
      </c>
      <c r="F116" s="30" t="s">
        <v>1068</v>
      </c>
      <c r="G116" s="30" t="s">
        <v>1054</v>
      </c>
      <c r="H116" s="30" t="s">
        <v>1045</v>
      </c>
    </row>
    <row r="117" spans="1:8" ht="15.75" x14ac:dyDescent="0.25">
      <c r="A117" s="31">
        <v>114</v>
      </c>
      <c r="B117" s="30" t="s">
        <v>1166</v>
      </c>
      <c r="C117" s="30" t="s">
        <v>1167</v>
      </c>
      <c r="D117" s="30" t="s">
        <v>1103</v>
      </c>
      <c r="E117" s="30" t="s">
        <v>1104</v>
      </c>
      <c r="F117" s="30" t="s">
        <v>1068</v>
      </c>
      <c r="G117" s="30" t="s">
        <v>1054</v>
      </c>
      <c r="H117" s="30" t="s">
        <v>1059</v>
      </c>
    </row>
    <row r="118" spans="1:8" ht="15.75" x14ac:dyDescent="0.25">
      <c r="A118" s="31">
        <v>115</v>
      </c>
      <c r="B118" s="30" t="s">
        <v>1166</v>
      </c>
      <c r="C118" s="30" t="s">
        <v>1167</v>
      </c>
      <c r="D118" s="30" t="s">
        <v>1104</v>
      </c>
      <c r="E118" s="30" t="s">
        <v>1105</v>
      </c>
      <c r="F118" s="30" t="s">
        <v>1068</v>
      </c>
      <c r="G118" s="30" t="s">
        <v>1054</v>
      </c>
      <c r="H118" s="30" t="s">
        <v>1062</v>
      </c>
    </row>
    <row r="119" spans="1:8" ht="15.75" x14ac:dyDescent="0.25">
      <c r="A119" s="31">
        <v>116</v>
      </c>
      <c r="B119" s="30" t="s">
        <v>1166</v>
      </c>
      <c r="C119" s="30" t="s">
        <v>1167</v>
      </c>
      <c r="D119" s="30" t="s">
        <v>1105</v>
      </c>
      <c r="E119" s="30" t="s">
        <v>1106</v>
      </c>
      <c r="F119" s="30" t="s">
        <v>1068</v>
      </c>
      <c r="G119" s="30" t="s">
        <v>1054</v>
      </c>
      <c r="H119" s="30" t="s">
        <v>1065</v>
      </c>
    </row>
    <row r="120" spans="1:8" ht="15.75" x14ac:dyDescent="0.25">
      <c r="A120" s="31">
        <v>117</v>
      </c>
      <c r="B120" s="30" t="s">
        <v>1166</v>
      </c>
      <c r="C120" s="30" t="s">
        <v>1167</v>
      </c>
      <c r="D120" s="30" t="s">
        <v>1106</v>
      </c>
      <c r="E120" s="30" t="s">
        <v>1107</v>
      </c>
      <c r="F120" s="30" t="s">
        <v>1068</v>
      </c>
      <c r="G120" s="30" t="s">
        <v>1054</v>
      </c>
      <c r="H120" s="30" t="s">
        <v>1068</v>
      </c>
    </row>
    <row r="121" spans="1:8" ht="15.75" x14ac:dyDescent="0.25">
      <c r="A121" s="31">
        <v>118</v>
      </c>
      <c r="B121" s="30" t="s">
        <v>1166</v>
      </c>
      <c r="C121" s="30" t="s">
        <v>1167</v>
      </c>
      <c r="D121" s="30" t="s">
        <v>1107</v>
      </c>
      <c r="E121" s="30" t="s">
        <v>1108</v>
      </c>
      <c r="F121" s="30" t="s">
        <v>1068</v>
      </c>
      <c r="G121" s="30" t="s">
        <v>1054</v>
      </c>
      <c r="H121" s="30" t="s">
        <v>1046</v>
      </c>
    </row>
    <row r="122" spans="1:8" ht="15.75" x14ac:dyDescent="0.25">
      <c r="A122" s="31">
        <v>119</v>
      </c>
      <c r="B122" s="30" t="s">
        <v>1166</v>
      </c>
      <c r="C122" s="30" t="s">
        <v>1167</v>
      </c>
      <c r="D122" s="30" t="s">
        <v>1108</v>
      </c>
      <c r="E122" s="30" t="s">
        <v>1109</v>
      </c>
      <c r="F122" s="30" t="s">
        <v>1068</v>
      </c>
      <c r="G122" s="30" t="s">
        <v>1054</v>
      </c>
      <c r="H122" s="30" t="s">
        <v>1048</v>
      </c>
    </row>
    <row r="123" spans="1:8" ht="15.75" x14ac:dyDescent="0.25">
      <c r="A123" s="31">
        <v>120</v>
      </c>
      <c r="B123" s="30" t="s">
        <v>1166</v>
      </c>
      <c r="C123" s="30" t="s">
        <v>1167</v>
      </c>
      <c r="D123" s="30" t="s">
        <v>1109</v>
      </c>
      <c r="E123" s="30" t="s">
        <v>1110</v>
      </c>
      <c r="F123" s="30" t="s">
        <v>1068</v>
      </c>
      <c r="G123" s="30" t="s">
        <v>1054</v>
      </c>
      <c r="H123" s="30" t="s">
        <v>1051</v>
      </c>
    </row>
    <row r="124" spans="1:8" ht="15.75" x14ac:dyDescent="0.25">
      <c r="A124" s="31">
        <v>121</v>
      </c>
      <c r="B124" s="32" t="s">
        <v>1166</v>
      </c>
      <c r="C124" s="30" t="s">
        <v>1168</v>
      </c>
      <c r="D124" s="32" t="s">
        <v>1110</v>
      </c>
      <c r="E124" s="32" t="s">
        <v>1113</v>
      </c>
      <c r="F124" s="32" t="s">
        <v>1068</v>
      </c>
      <c r="G124" s="32" t="s">
        <v>1045</v>
      </c>
      <c r="H124" s="32" t="s">
        <v>1045</v>
      </c>
    </row>
    <row r="125" spans="1:8" ht="15.75" x14ac:dyDescent="0.25">
      <c r="A125" s="31">
        <v>122</v>
      </c>
      <c r="B125" s="30" t="s">
        <v>1166</v>
      </c>
      <c r="C125" s="30" t="s">
        <v>1168</v>
      </c>
      <c r="D125" s="30" t="s">
        <v>1113</v>
      </c>
      <c r="E125" s="30" t="s">
        <v>1114</v>
      </c>
      <c r="F125" s="30" t="s">
        <v>1068</v>
      </c>
      <c r="G125" s="30" t="s">
        <v>1045</v>
      </c>
      <c r="H125" s="30" t="s">
        <v>1059</v>
      </c>
    </row>
    <row r="126" spans="1:8" ht="15.75" x14ac:dyDescent="0.25">
      <c r="A126" s="31">
        <v>123</v>
      </c>
      <c r="B126" s="30" t="s">
        <v>1166</v>
      </c>
      <c r="C126" s="30" t="s">
        <v>1168</v>
      </c>
      <c r="D126" s="30" t="s">
        <v>1114</v>
      </c>
      <c r="E126" s="30" t="s">
        <v>1115</v>
      </c>
      <c r="F126" s="30" t="s">
        <v>1068</v>
      </c>
      <c r="G126" s="30" t="s">
        <v>1045</v>
      </c>
      <c r="H126" s="30" t="s">
        <v>1062</v>
      </c>
    </row>
    <row r="127" spans="1:8" ht="15.75" x14ac:dyDescent="0.25">
      <c r="A127" s="31">
        <v>124</v>
      </c>
      <c r="B127" s="30" t="s">
        <v>1166</v>
      </c>
      <c r="C127" s="30" t="s">
        <v>1168</v>
      </c>
      <c r="D127" s="30" t="s">
        <v>1115</v>
      </c>
      <c r="E127" s="30" t="s">
        <v>1088</v>
      </c>
      <c r="F127" s="30" t="s">
        <v>1068</v>
      </c>
      <c r="G127" s="30" t="s">
        <v>1045</v>
      </c>
      <c r="H127" s="30" t="s">
        <v>1065</v>
      </c>
    </row>
    <row r="128" spans="1:8" ht="15.75" x14ac:dyDescent="0.25">
      <c r="A128" s="31">
        <v>125</v>
      </c>
      <c r="B128" s="30" t="s">
        <v>1169</v>
      </c>
      <c r="C128" s="30" t="s">
        <v>1168</v>
      </c>
      <c r="D128" s="30" t="s">
        <v>1090</v>
      </c>
      <c r="E128" s="30" t="s">
        <v>1117</v>
      </c>
      <c r="F128" s="30" t="s">
        <v>1048</v>
      </c>
      <c r="G128" s="30" t="s">
        <v>1045</v>
      </c>
      <c r="H128" s="30" t="s">
        <v>1068</v>
      </c>
    </row>
    <row r="129" spans="1:8" ht="15.75" x14ac:dyDescent="0.25">
      <c r="A129" s="31">
        <v>126</v>
      </c>
      <c r="B129" s="30" t="s">
        <v>1169</v>
      </c>
      <c r="C129" s="30" t="s">
        <v>1168</v>
      </c>
      <c r="D129" s="30" t="s">
        <v>1117</v>
      </c>
      <c r="E129" s="30" t="s">
        <v>1118</v>
      </c>
      <c r="F129" s="30" t="s">
        <v>1048</v>
      </c>
      <c r="G129" s="30" t="s">
        <v>1045</v>
      </c>
      <c r="H129" s="30" t="s">
        <v>1046</v>
      </c>
    </row>
    <row r="130" spans="1:8" ht="15.75" x14ac:dyDescent="0.25">
      <c r="A130" s="31">
        <v>127</v>
      </c>
      <c r="B130" s="30" t="s">
        <v>1169</v>
      </c>
      <c r="C130" s="30" t="s">
        <v>1168</v>
      </c>
      <c r="D130" s="30" t="s">
        <v>1118</v>
      </c>
      <c r="E130" s="30" t="s">
        <v>1119</v>
      </c>
      <c r="F130" s="30" t="s">
        <v>1048</v>
      </c>
      <c r="G130" s="30" t="s">
        <v>1045</v>
      </c>
      <c r="H130" s="30" t="s">
        <v>1048</v>
      </c>
    </row>
    <row r="131" spans="1:8" ht="15.75" x14ac:dyDescent="0.25">
      <c r="A131" s="31">
        <v>128</v>
      </c>
      <c r="B131" s="30" t="s">
        <v>1169</v>
      </c>
      <c r="C131" s="30" t="s">
        <v>1168</v>
      </c>
      <c r="D131" s="30" t="s">
        <v>1119</v>
      </c>
      <c r="E131" s="30" t="s">
        <v>1056</v>
      </c>
      <c r="F131" s="30" t="s">
        <v>1048</v>
      </c>
      <c r="G131" s="30" t="s">
        <v>1045</v>
      </c>
      <c r="H131" s="30" t="s">
        <v>1051</v>
      </c>
    </row>
    <row r="132" spans="1:8" ht="15.75" x14ac:dyDescent="0.25">
      <c r="A132" s="31">
        <v>129</v>
      </c>
      <c r="B132" s="30" t="s">
        <v>1169</v>
      </c>
      <c r="C132" s="30" t="s">
        <v>1168</v>
      </c>
      <c r="D132" s="30" t="s">
        <v>1056</v>
      </c>
      <c r="E132" s="30" t="s">
        <v>1120</v>
      </c>
      <c r="F132" s="30" t="s">
        <v>1048</v>
      </c>
      <c r="G132" s="30" t="s">
        <v>1045</v>
      </c>
      <c r="H132" s="30" t="s">
        <v>1054</v>
      </c>
    </row>
    <row r="133" spans="1:8" ht="15.75" x14ac:dyDescent="0.25">
      <c r="A133" s="31">
        <v>130</v>
      </c>
      <c r="B133" s="30" t="s">
        <v>1169</v>
      </c>
      <c r="C133" s="30" t="s">
        <v>1170</v>
      </c>
      <c r="D133" s="30" t="s">
        <v>1120</v>
      </c>
      <c r="E133" s="30" t="s">
        <v>1171</v>
      </c>
      <c r="F133" s="30" t="s">
        <v>1048</v>
      </c>
      <c r="G133" s="30" t="s">
        <v>1059</v>
      </c>
      <c r="H133" s="30" t="s">
        <v>1059</v>
      </c>
    </row>
    <row r="134" spans="1:8" ht="15.75" x14ac:dyDescent="0.25">
      <c r="A134" s="31">
        <v>131</v>
      </c>
      <c r="B134" s="30" t="s">
        <v>1169</v>
      </c>
      <c r="C134" s="30" t="s">
        <v>1170</v>
      </c>
      <c r="D134" s="30" t="s">
        <v>1171</v>
      </c>
      <c r="E134" s="30" t="s">
        <v>1123</v>
      </c>
      <c r="F134" s="30" t="s">
        <v>1048</v>
      </c>
      <c r="G134" s="30" t="s">
        <v>1059</v>
      </c>
      <c r="H134" s="30" t="s">
        <v>1062</v>
      </c>
    </row>
    <row r="135" spans="1:8" ht="15.75" x14ac:dyDescent="0.25">
      <c r="A135" s="31">
        <v>132</v>
      </c>
      <c r="B135" s="30" t="s">
        <v>1169</v>
      </c>
      <c r="C135" s="30" t="s">
        <v>1170</v>
      </c>
      <c r="D135" s="30" t="s">
        <v>1123</v>
      </c>
      <c r="E135" s="30" t="s">
        <v>1124</v>
      </c>
      <c r="F135" s="30" t="s">
        <v>1048</v>
      </c>
      <c r="G135" s="30" t="s">
        <v>1059</v>
      </c>
      <c r="H135" s="30" t="s">
        <v>1065</v>
      </c>
    </row>
    <row r="136" spans="1:8" ht="15.75" x14ac:dyDescent="0.25">
      <c r="A136" s="31">
        <v>133</v>
      </c>
      <c r="B136" s="30" t="s">
        <v>1169</v>
      </c>
      <c r="C136" s="30" t="s">
        <v>1170</v>
      </c>
      <c r="D136" s="30" t="s">
        <v>1124</v>
      </c>
      <c r="E136" s="30" t="s">
        <v>1126</v>
      </c>
      <c r="F136" s="30" t="s">
        <v>1048</v>
      </c>
      <c r="G136" s="30" t="s">
        <v>1059</v>
      </c>
      <c r="H136" s="30" t="s">
        <v>1068</v>
      </c>
    </row>
    <row r="137" spans="1:8" ht="15.75" x14ac:dyDescent="0.25">
      <c r="A137" s="31">
        <v>134</v>
      </c>
      <c r="B137" s="30" t="s">
        <v>1169</v>
      </c>
      <c r="C137" s="30" t="s">
        <v>1170</v>
      </c>
      <c r="D137" s="30" t="s">
        <v>1126</v>
      </c>
      <c r="E137" s="30" t="s">
        <v>1127</v>
      </c>
      <c r="F137" s="30" t="s">
        <v>1048</v>
      </c>
      <c r="G137" s="30" t="s">
        <v>1059</v>
      </c>
      <c r="H137" s="30" t="s">
        <v>1046</v>
      </c>
    </row>
    <row r="138" spans="1:8" ht="15.75" x14ac:dyDescent="0.25">
      <c r="A138" s="31">
        <v>135</v>
      </c>
      <c r="B138" s="30" t="s">
        <v>1169</v>
      </c>
      <c r="C138" s="30" t="s">
        <v>1170</v>
      </c>
      <c r="D138" s="30" t="s">
        <v>1127</v>
      </c>
      <c r="E138" s="30" t="s">
        <v>1128</v>
      </c>
      <c r="F138" s="30" t="s">
        <v>1048</v>
      </c>
      <c r="G138" s="30" t="s">
        <v>1059</v>
      </c>
      <c r="H138" s="30" t="s">
        <v>1048</v>
      </c>
    </row>
    <row r="139" spans="1:8" ht="15.75" x14ac:dyDescent="0.25">
      <c r="A139" s="31">
        <v>136</v>
      </c>
      <c r="B139" s="30" t="s">
        <v>1169</v>
      </c>
      <c r="C139" s="30" t="s">
        <v>1170</v>
      </c>
      <c r="D139" s="30" t="s">
        <v>1128</v>
      </c>
      <c r="E139" s="30" t="s">
        <v>1076</v>
      </c>
      <c r="F139" s="30" t="s">
        <v>1048</v>
      </c>
      <c r="G139" s="30" t="s">
        <v>1059</v>
      </c>
      <c r="H139" s="30" t="s">
        <v>1051</v>
      </c>
    </row>
    <row r="140" spans="1:8" ht="15.75" x14ac:dyDescent="0.25">
      <c r="A140" s="31">
        <v>137</v>
      </c>
      <c r="B140" s="30" t="s">
        <v>1169</v>
      </c>
      <c r="C140" s="30" t="s">
        <v>1170</v>
      </c>
      <c r="D140" s="30" t="s">
        <v>1076</v>
      </c>
      <c r="E140" s="30" t="s">
        <v>1129</v>
      </c>
      <c r="F140" s="30" t="s">
        <v>1048</v>
      </c>
      <c r="G140" s="30" t="s">
        <v>1059</v>
      </c>
      <c r="H140" s="30" t="s">
        <v>1054</v>
      </c>
    </row>
    <row r="141" spans="1:8" ht="15.75" x14ac:dyDescent="0.25">
      <c r="A141" s="31">
        <v>138</v>
      </c>
      <c r="B141" s="30" t="s">
        <v>1169</v>
      </c>
      <c r="C141" s="30" t="s">
        <v>1170</v>
      </c>
      <c r="D141" s="30" t="s">
        <v>1129</v>
      </c>
      <c r="E141" s="30" t="s">
        <v>1130</v>
      </c>
      <c r="F141" s="30" t="s">
        <v>1048</v>
      </c>
      <c r="G141" s="30" t="s">
        <v>1059</v>
      </c>
      <c r="H141" s="30" t="s">
        <v>1045</v>
      </c>
    </row>
    <row r="142" spans="1:8" ht="15.75" x14ac:dyDescent="0.25">
      <c r="A142" s="31">
        <v>139</v>
      </c>
      <c r="B142" s="30" t="s">
        <v>1169</v>
      </c>
      <c r="C142" s="30" t="s">
        <v>1172</v>
      </c>
      <c r="D142" s="30" t="s">
        <v>1130</v>
      </c>
      <c r="E142" s="30" t="s">
        <v>1132</v>
      </c>
      <c r="F142" s="30" t="s">
        <v>1048</v>
      </c>
      <c r="G142" s="30" t="s">
        <v>1062</v>
      </c>
      <c r="H142" s="30" t="s">
        <v>1062</v>
      </c>
    </row>
    <row r="143" spans="1:8" ht="15.75" x14ac:dyDescent="0.25">
      <c r="A143" s="31">
        <v>140</v>
      </c>
      <c r="B143" s="30" t="s">
        <v>1169</v>
      </c>
      <c r="C143" s="30" t="s">
        <v>1172</v>
      </c>
      <c r="D143" s="30" t="s">
        <v>1132</v>
      </c>
      <c r="E143" s="30" t="s">
        <v>1133</v>
      </c>
      <c r="F143" s="30" t="s">
        <v>1048</v>
      </c>
      <c r="G143" s="30" t="s">
        <v>1062</v>
      </c>
      <c r="H143" s="30" t="s">
        <v>1065</v>
      </c>
    </row>
    <row r="144" spans="1:8" ht="15.75" x14ac:dyDescent="0.25">
      <c r="A144" s="31">
        <v>141</v>
      </c>
      <c r="B144" s="30" t="s">
        <v>1169</v>
      </c>
      <c r="C144" s="30" t="s">
        <v>1172</v>
      </c>
      <c r="D144" s="30" t="s">
        <v>1133</v>
      </c>
      <c r="E144" s="30" t="s">
        <v>1134</v>
      </c>
      <c r="F144" s="30" t="s">
        <v>1048</v>
      </c>
      <c r="G144" s="30" t="s">
        <v>1062</v>
      </c>
      <c r="H144" s="30" t="s">
        <v>1068</v>
      </c>
    </row>
    <row r="145" spans="1:8" ht="15.75" x14ac:dyDescent="0.25">
      <c r="A145" s="31">
        <v>142</v>
      </c>
      <c r="B145" s="30" t="s">
        <v>1169</v>
      </c>
      <c r="C145" s="30" t="s">
        <v>1172</v>
      </c>
      <c r="D145" s="30" t="s">
        <v>1134</v>
      </c>
      <c r="E145" s="30" t="s">
        <v>1135</v>
      </c>
      <c r="F145" s="30" t="s">
        <v>1048</v>
      </c>
      <c r="G145" s="30" t="s">
        <v>1062</v>
      </c>
      <c r="H145" s="30" t="s">
        <v>1046</v>
      </c>
    </row>
    <row r="146" spans="1:8" ht="15.75" x14ac:dyDescent="0.25">
      <c r="A146" s="31">
        <v>143</v>
      </c>
      <c r="B146" s="30" t="s">
        <v>1169</v>
      </c>
      <c r="C146" s="30" t="s">
        <v>1172</v>
      </c>
      <c r="D146" s="30" t="s">
        <v>1135</v>
      </c>
      <c r="E146" s="30" t="s">
        <v>1136</v>
      </c>
      <c r="F146" s="30" t="s">
        <v>1048</v>
      </c>
      <c r="G146" s="30" t="s">
        <v>1062</v>
      </c>
      <c r="H146" s="30" t="s">
        <v>1048</v>
      </c>
    </row>
    <row r="147" spans="1:8" ht="15.75" x14ac:dyDescent="0.25">
      <c r="A147" s="31">
        <v>144</v>
      </c>
      <c r="B147" s="30" t="s">
        <v>1169</v>
      </c>
      <c r="C147" s="30" t="s">
        <v>1172</v>
      </c>
      <c r="D147" s="30" t="s">
        <v>1136</v>
      </c>
      <c r="E147" s="30" t="s">
        <v>1137</v>
      </c>
      <c r="F147" s="30" t="s">
        <v>1048</v>
      </c>
      <c r="G147" s="30" t="s">
        <v>1062</v>
      </c>
      <c r="H147" s="30" t="s">
        <v>1051</v>
      </c>
    </row>
    <row r="148" spans="1:8" ht="15.75" x14ac:dyDescent="0.25">
      <c r="A148" s="31">
        <v>145</v>
      </c>
      <c r="B148" s="30" t="s">
        <v>1169</v>
      </c>
      <c r="C148" s="30" t="s">
        <v>1172</v>
      </c>
      <c r="D148" s="30" t="s">
        <v>1137</v>
      </c>
      <c r="E148" s="30" t="s">
        <v>1088</v>
      </c>
      <c r="F148" s="30" t="s">
        <v>1048</v>
      </c>
      <c r="G148" s="30" t="s">
        <v>1062</v>
      </c>
      <c r="H148" s="30" t="s">
        <v>1054</v>
      </c>
    </row>
    <row r="149" spans="1:8" ht="15.75" x14ac:dyDescent="0.25">
      <c r="A149" s="31">
        <v>146</v>
      </c>
      <c r="B149" s="30" t="s">
        <v>1173</v>
      </c>
      <c r="C149" s="30" t="s">
        <v>1172</v>
      </c>
      <c r="D149" s="30" t="s">
        <v>1090</v>
      </c>
      <c r="E149" s="30" t="s">
        <v>1139</v>
      </c>
      <c r="F149" s="30" t="s">
        <v>1045</v>
      </c>
      <c r="G149" s="30" t="s">
        <v>1062</v>
      </c>
      <c r="H149" s="30" t="s">
        <v>1054</v>
      </c>
    </row>
    <row r="150" spans="1:8" ht="15.75" x14ac:dyDescent="0.25">
      <c r="A150" s="31">
        <v>147</v>
      </c>
      <c r="B150" s="30" t="s">
        <v>1173</v>
      </c>
      <c r="C150" s="30" t="s">
        <v>1172</v>
      </c>
      <c r="D150" s="30" t="s">
        <v>1139</v>
      </c>
      <c r="E150" s="30" t="s">
        <v>1140</v>
      </c>
      <c r="F150" s="30" t="s">
        <v>1045</v>
      </c>
      <c r="G150" s="30" t="s">
        <v>1062</v>
      </c>
      <c r="H150" s="30" t="s">
        <v>1045</v>
      </c>
    </row>
    <row r="151" spans="1:8" ht="15.75" x14ac:dyDescent="0.25">
      <c r="A151" s="31">
        <v>148</v>
      </c>
      <c r="B151" s="30" t="s">
        <v>1173</v>
      </c>
      <c r="C151" s="30" t="s">
        <v>1172</v>
      </c>
      <c r="D151" s="30" t="s">
        <v>1140</v>
      </c>
      <c r="E151" s="30" t="s">
        <v>1141</v>
      </c>
      <c r="F151" s="30" t="s">
        <v>1045</v>
      </c>
      <c r="G151" s="30" t="s">
        <v>1062</v>
      </c>
      <c r="H151" s="30" t="s">
        <v>1059</v>
      </c>
    </row>
    <row r="152" spans="1:8" ht="15.75" x14ac:dyDescent="0.25">
      <c r="A152" s="31">
        <v>149</v>
      </c>
      <c r="B152" s="30" t="s">
        <v>1173</v>
      </c>
      <c r="C152" s="30" t="s">
        <v>1174</v>
      </c>
      <c r="D152" s="30" t="s">
        <v>1141</v>
      </c>
      <c r="E152" s="30" t="s">
        <v>1143</v>
      </c>
      <c r="F152" s="30" t="s">
        <v>1045</v>
      </c>
      <c r="G152" s="30" t="s">
        <v>1065</v>
      </c>
      <c r="H152" s="30" t="s">
        <v>1065</v>
      </c>
    </row>
    <row r="153" spans="1:8" ht="15.75" x14ac:dyDescent="0.25">
      <c r="A153" s="31">
        <v>150</v>
      </c>
      <c r="B153" s="30" t="s">
        <v>1173</v>
      </c>
      <c r="C153" s="30" t="s">
        <v>1174</v>
      </c>
      <c r="D153" s="30" t="s">
        <v>1143</v>
      </c>
      <c r="E153" s="30" t="s">
        <v>1144</v>
      </c>
      <c r="F153" s="30" t="s">
        <v>1045</v>
      </c>
      <c r="G153" s="30" t="s">
        <v>1065</v>
      </c>
      <c r="H153" s="30" t="s">
        <v>1068</v>
      </c>
    </row>
    <row r="154" spans="1:8" ht="15.75" x14ac:dyDescent="0.25">
      <c r="A154" s="31">
        <v>151</v>
      </c>
      <c r="B154" s="32" t="s">
        <v>1173</v>
      </c>
      <c r="C154" s="30" t="s">
        <v>1174</v>
      </c>
      <c r="D154" s="32" t="s">
        <v>1144</v>
      </c>
      <c r="E154" s="32" t="s">
        <v>1145</v>
      </c>
      <c r="F154" s="32" t="s">
        <v>1045</v>
      </c>
      <c r="G154" s="32" t="s">
        <v>1065</v>
      </c>
      <c r="H154" s="32" t="s">
        <v>1046</v>
      </c>
    </row>
    <row r="155" spans="1:8" ht="15.75" x14ac:dyDescent="0.25">
      <c r="A155" s="31">
        <v>152</v>
      </c>
      <c r="B155" s="30" t="s">
        <v>1173</v>
      </c>
      <c r="C155" s="30" t="s">
        <v>1174</v>
      </c>
      <c r="D155" s="30" t="s">
        <v>1145</v>
      </c>
      <c r="E155" s="30" t="s">
        <v>1146</v>
      </c>
      <c r="F155" s="30" t="s">
        <v>1045</v>
      </c>
      <c r="G155" s="30" t="s">
        <v>1065</v>
      </c>
      <c r="H155" s="30" t="s">
        <v>1048</v>
      </c>
    </row>
    <row r="156" spans="1:8" ht="15.75" x14ac:dyDescent="0.25">
      <c r="A156" s="31">
        <v>153</v>
      </c>
      <c r="B156" s="30" t="s">
        <v>1173</v>
      </c>
      <c r="C156" s="30" t="s">
        <v>1174</v>
      </c>
      <c r="D156" s="30" t="s">
        <v>1146</v>
      </c>
      <c r="E156" s="30" t="s">
        <v>1175</v>
      </c>
      <c r="F156" s="30" t="s">
        <v>1045</v>
      </c>
      <c r="G156" s="30" t="s">
        <v>1065</v>
      </c>
      <c r="H156" s="30" t="s">
        <v>1051</v>
      </c>
    </row>
    <row r="157" spans="1:8" ht="15.75" x14ac:dyDescent="0.25">
      <c r="A157" s="31">
        <v>154</v>
      </c>
      <c r="B157" s="30" t="s">
        <v>1173</v>
      </c>
      <c r="C157" s="30" t="s">
        <v>1174</v>
      </c>
      <c r="D157" s="30" t="s">
        <v>1175</v>
      </c>
      <c r="E157" s="30" t="s">
        <v>1176</v>
      </c>
      <c r="F157" s="30" t="s">
        <v>1045</v>
      </c>
      <c r="G157" s="30" t="s">
        <v>1065</v>
      </c>
      <c r="H157" s="30" t="s">
        <v>1054</v>
      </c>
    </row>
    <row r="158" spans="1:8" ht="15.75" x14ac:dyDescent="0.25">
      <c r="A158" s="31">
        <v>155</v>
      </c>
      <c r="B158" s="30" t="s">
        <v>1173</v>
      </c>
      <c r="C158" s="30" t="s">
        <v>1174</v>
      </c>
      <c r="D158" s="30" t="s">
        <v>1176</v>
      </c>
      <c r="E158" s="30" t="s">
        <v>1149</v>
      </c>
      <c r="F158" s="30" t="s">
        <v>1045</v>
      </c>
      <c r="G158" s="30" t="s">
        <v>1065</v>
      </c>
      <c r="H158" s="30" t="s">
        <v>1045</v>
      </c>
    </row>
    <row r="159" spans="1:8" ht="15.75" x14ac:dyDescent="0.25">
      <c r="A159" s="31">
        <v>156</v>
      </c>
      <c r="B159" s="30" t="s">
        <v>1173</v>
      </c>
      <c r="C159" s="30" t="s">
        <v>1174</v>
      </c>
      <c r="D159" s="30" t="s">
        <v>1149</v>
      </c>
      <c r="E159" s="30" t="s">
        <v>1150</v>
      </c>
      <c r="F159" s="30" t="s">
        <v>1045</v>
      </c>
      <c r="G159" s="30" t="s">
        <v>1065</v>
      </c>
      <c r="H159" s="30" t="s">
        <v>1059</v>
      </c>
    </row>
    <row r="160" spans="1:8" ht="15.75" x14ac:dyDescent="0.25">
      <c r="A160" s="31">
        <v>157</v>
      </c>
      <c r="B160" s="30" t="s">
        <v>1173</v>
      </c>
      <c r="C160" s="30" t="s">
        <v>1174</v>
      </c>
      <c r="D160" s="30" t="s">
        <v>1150</v>
      </c>
      <c r="E160" s="30" t="s">
        <v>1151</v>
      </c>
      <c r="F160" s="30" t="s">
        <v>1045</v>
      </c>
      <c r="G160" s="30" t="s">
        <v>1065</v>
      </c>
      <c r="H160" s="30" t="s">
        <v>1062</v>
      </c>
    </row>
    <row r="161" spans="1:8" ht="15.75" x14ac:dyDescent="0.25">
      <c r="A161" s="31">
        <v>158</v>
      </c>
      <c r="B161" s="30" t="s">
        <v>1173</v>
      </c>
      <c r="C161" s="30" t="s">
        <v>1177</v>
      </c>
      <c r="D161" s="30" t="s">
        <v>1151</v>
      </c>
      <c r="E161" s="30" t="s">
        <v>1178</v>
      </c>
      <c r="F161" s="30" t="s">
        <v>1045</v>
      </c>
      <c r="G161" s="30" t="s">
        <v>1068</v>
      </c>
      <c r="H161" s="30" t="s">
        <v>1068</v>
      </c>
    </row>
    <row r="162" spans="1:8" ht="15.75" x14ac:dyDescent="0.25">
      <c r="A162" s="31">
        <v>159</v>
      </c>
      <c r="B162" s="30" t="s">
        <v>1173</v>
      </c>
      <c r="C162" s="30" t="s">
        <v>1177</v>
      </c>
      <c r="D162" s="30" t="s">
        <v>1178</v>
      </c>
      <c r="E162" s="30" t="s">
        <v>1154</v>
      </c>
      <c r="F162" s="30" t="s">
        <v>1045</v>
      </c>
      <c r="G162" s="30" t="s">
        <v>1068</v>
      </c>
      <c r="H162" s="30" t="s">
        <v>1046</v>
      </c>
    </row>
    <row r="163" spans="1:8" ht="15.75" x14ac:dyDescent="0.25">
      <c r="A163" s="31">
        <v>160</v>
      </c>
      <c r="B163" s="30" t="s">
        <v>1173</v>
      </c>
      <c r="C163" s="30" t="s">
        <v>1177</v>
      </c>
      <c r="D163" s="30" t="s">
        <v>1154</v>
      </c>
      <c r="E163" s="30" t="s">
        <v>1155</v>
      </c>
      <c r="F163" s="30" t="s">
        <v>1045</v>
      </c>
      <c r="G163" s="30" t="s">
        <v>1068</v>
      </c>
      <c r="H163" s="30" t="s">
        <v>1048</v>
      </c>
    </row>
    <row r="164" spans="1:8" ht="15.75" x14ac:dyDescent="0.25">
      <c r="A164" s="31">
        <v>161</v>
      </c>
      <c r="B164" s="30" t="s">
        <v>1173</v>
      </c>
      <c r="C164" s="30" t="s">
        <v>1177</v>
      </c>
      <c r="D164" s="30" t="s">
        <v>1155</v>
      </c>
      <c r="E164" s="30" t="s">
        <v>1156</v>
      </c>
      <c r="F164" s="30" t="s">
        <v>1045</v>
      </c>
      <c r="G164" s="30" t="s">
        <v>1068</v>
      </c>
      <c r="H164" s="30" t="s">
        <v>1051</v>
      </c>
    </row>
    <row r="165" spans="1:8" ht="15.75" x14ac:dyDescent="0.25">
      <c r="A165" s="31">
        <v>162</v>
      </c>
      <c r="B165" s="30" t="s">
        <v>1173</v>
      </c>
      <c r="C165" s="30" t="s">
        <v>1177</v>
      </c>
      <c r="D165" s="30" t="s">
        <v>1156</v>
      </c>
      <c r="E165" s="30" t="s">
        <v>1110</v>
      </c>
      <c r="F165" s="30" t="s">
        <v>1045</v>
      </c>
      <c r="G165" s="30" t="s">
        <v>1068</v>
      </c>
      <c r="H165" s="30" t="s">
        <v>1054</v>
      </c>
    </row>
    <row r="166" spans="1:8" ht="15.75" x14ac:dyDescent="0.25">
      <c r="A166" s="31">
        <v>163</v>
      </c>
      <c r="B166" s="30" t="s">
        <v>1173</v>
      </c>
      <c r="C166" s="30" t="s">
        <v>1177</v>
      </c>
      <c r="D166" s="30" t="s">
        <v>1110</v>
      </c>
      <c r="E166" s="30" t="s">
        <v>1113</v>
      </c>
      <c r="F166" s="30" t="s">
        <v>1045</v>
      </c>
      <c r="G166" s="30" t="s">
        <v>1068</v>
      </c>
      <c r="H166" s="30" t="s">
        <v>1045</v>
      </c>
    </row>
    <row r="167" spans="1:8" ht="15.75" x14ac:dyDescent="0.25">
      <c r="A167" s="31">
        <v>164</v>
      </c>
      <c r="B167" s="30" t="s">
        <v>1173</v>
      </c>
      <c r="C167" s="30" t="s">
        <v>1177</v>
      </c>
      <c r="D167" s="30" t="s">
        <v>1113</v>
      </c>
      <c r="E167" s="30" t="s">
        <v>1114</v>
      </c>
      <c r="F167" s="30" t="s">
        <v>1045</v>
      </c>
      <c r="G167" s="30" t="s">
        <v>1068</v>
      </c>
      <c r="H167" s="30" t="s">
        <v>1059</v>
      </c>
    </row>
    <row r="168" spans="1:8" ht="15.75" x14ac:dyDescent="0.25">
      <c r="A168" s="31">
        <v>165</v>
      </c>
      <c r="B168" s="30" t="s">
        <v>1173</v>
      </c>
      <c r="C168" s="30" t="s">
        <v>1177</v>
      </c>
      <c r="D168" s="30" t="s">
        <v>1114</v>
      </c>
      <c r="E168" s="30" t="s">
        <v>1115</v>
      </c>
      <c r="F168" s="30" t="s">
        <v>1045</v>
      </c>
      <c r="G168" s="30" t="s">
        <v>1068</v>
      </c>
      <c r="H168" s="30" t="s">
        <v>1062</v>
      </c>
    </row>
    <row r="169" spans="1:8" ht="15.75" x14ac:dyDescent="0.25">
      <c r="A169" s="31">
        <v>166</v>
      </c>
      <c r="B169" s="30" t="s">
        <v>1173</v>
      </c>
      <c r="C169" s="30" t="s">
        <v>1177</v>
      </c>
      <c r="D169" s="30" t="s">
        <v>1115</v>
      </c>
      <c r="E169" s="30" t="s">
        <v>1088</v>
      </c>
      <c r="F169" s="30" t="s">
        <v>1045</v>
      </c>
      <c r="G169" s="30" t="s">
        <v>1068</v>
      </c>
      <c r="H169" s="30" t="s">
        <v>1065</v>
      </c>
    </row>
    <row r="170" spans="1:8" ht="15.75" x14ac:dyDescent="0.25">
      <c r="A170" s="31">
        <v>167</v>
      </c>
      <c r="B170" s="30" t="s">
        <v>1179</v>
      </c>
      <c r="C170" s="30" t="s">
        <v>1180</v>
      </c>
      <c r="D170" s="30" t="s">
        <v>1090</v>
      </c>
      <c r="E170" s="30" t="s">
        <v>1160</v>
      </c>
      <c r="F170" s="30" t="s">
        <v>1062</v>
      </c>
      <c r="G170" s="30" t="s">
        <v>1046</v>
      </c>
      <c r="H170" s="30" t="s">
        <v>1046</v>
      </c>
    </row>
    <row r="171" spans="1:8" ht="15.75" x14ac:dyDescent="0.25">
      <c r="A171" s="31">
        <v>168</v>
      </c>
      <c r="B171" s="30" t="s">
        <v>1179</v>
      </c>
      <c r="C171" s="30" t="s">
        <v>1180</v>
      </c>
      <c r="D171" s="30" t="s">
        <v>1181</v>
      </c>
      <c r="E171" s="30" t="s">
        <v>1093</v>
      </c>
      <c r="F171" s="30" t="s">
        <v>1062</v>
      </c>
      <c r="G171" s="30" t="s">
        <v>1046</v>
      </c>
      <c r="H171" s="30" t="s">
        <v>1048</v>
      </c>
    </row>
    <row r="172" spans="1:8" ht="15.75" x14ac:dyDescent="0.25">
      <c r="A172" s="31">
        <v>169</v>
      </c>
      <c r="B172" s="30" t="s">
        <v>1179</v>
      </c>
      <c r="C172" s="30" t="s">
        <v>1180</v>
      </c>
      <c r="D172" s="30" t="s">
        <v>1093</v>
      </c>
      <c r="E172" s="30" t="s">
        <v>1161</v>
      </c>
      <c r="F172" s="30" t="s">
        <v>1062</v>
      </c>
      <c r="G172" s="30" t="s">
        <v>1046</v>
      </c>
      <c r="H172" s="30" t="s">
        <v>1051</v>
      </c>
    </row>
    <row r="173" spans="1:8" ht="15.75" x14ac:dyDescent="0.25">
      <c r="A173" s="31">
        <v>170</v>
      </c>
      <c r="B173" s="30" t="s">
        <v>1179</v>
      </c>
      <c r="C173" s="30" t="s">
        <v>1180</v>
      </c>
      <c r="D173" s="30" t="s">
        <v>1161</v>
      </c>
      <c r="E173" s="30" t="s">
        <v>1053</v>
      </c>
      <c r="F173" s="30" t="s">
        <v>1062</v>
      </c>
      <c r="G173" s="30" t="s">
        <v>1046</v>
      </c>
      <c r="H173" s="30" t="s">
        <v>1054</v>
      </c>
    </row>
    <row r="174" spans="1:8" ht="15.75" x14ac:dyDescent="0.25">
      <c r="A174" s="31">
        <v>171</v>
      </c>
      <c r="B174" s="30" t="s">
        <v>1179</v>
      </c>
      <c r="C174" s="30" t="s">
        <v>1180</v>
      </c>
      <c r="D174" s="30" t="s">
        <v>1053</v>
      </c>
      <c r="E174" s="30" t="s">
        <v>1182</v>
      </c>
      <c r="F174" s="30" t="s">
        <v>1062</v>
      </c>
      <c r="G174" s="30" t="s">
        <v>1046</v>
      </c>
      <c r="H174" s="30" t="s">
        <v>1045</v>
      </c>
    </row>
    <row r="175" spans="1:8" ht="15.75" x14ac:dyDescent="0.25">
      <c r="A175" s="31">
        <v>172</v>
      </c>
      <c r="B175" s="30" t="s">
        <v>1179</v>
      </c>
      <c r="C175" s="30" t="s">
        <v>1180</v>
      </c>
      <c r="D175" s="30" t="s">
        <v>1182</v>
      </c>
      <c r="E175" s="30" t="s">
        <v>1058</v>
      </c>
      <c r="F175" s="30" t="s">
        <v>1062</v>
      </c>
      <c r="G175" s="30" t="s">
        <v>1046</v>
      </c>
      <c r="H175" s="30" t="s">
        <v>1059</v>
      </c>
    </row>
    <row r="176" spans="1:8" ht="15.75" x14ac:dyDescent="0.25">
      <c r="A176" s="31">
        <v>173</v>
      </c>
      <c r="B176" s="30" t="s">
        <v>1179</v>
      </c>
      <c r="C176" s="30" t="s">
        <v>1180</v>
      </c>
      <c r="D176" s="30" t="s">
        <v>1058</v>
      </c>
      <c r="E176" s="30" t="s">
        <v>1061</v>
      </c>
      <c r="F176" s="30" t="s">
        <v>1062</v>
      </c>
      <c r="G176" s="30" t="s">
        <v>1046</v>
      </c>
      <c r="H176" s="30" t="s">
        <v>1062</v>
      </c>
    </row>
    <row r="177" spans="1:8" ht="15.75" x14ac:dyDescent="0.25">
      <c r="A177" s="31">
        <v>174</v>
      </c>
      <c r="B177" s="30" t="s">
        <v>1179</v>
      </c>
      <c r="C177" s="30" t="s">
        <v>1180</v>
      </c>
      <c r="D177" s="30" t="s">
        <v>1061</v>
      </c>
      <c r="E177" s="30" t="s">
        <v>1064</v>
      </c>
      <c r="F177" s="30" t="s">
        <v>1062</v>
      </c>
      <c r="G177" s="30" t="s">
        <v>1046</v>
      </c>
      <c r="H177" s="30" t="s">
        <v>1065</v>
      </c>
    </row>
    <row r="178" spans="1:8" ht="15.75" x14ac:dyDescent="0.25">
      <c r="A178" s="31">
        <v>175</v>
      </c>
      <c r="B178" s="30" t="s">
        <v>1179</v>
      </c>
      <c r="C178" s="30" t="s">
        <v>1180</v>
      </c>
      <c r="D178" s="30" t="s">
        <v>1064</v>
      </c>
      <c r="E178" s="30" t="s">
        <v>1067</v>
      </c>
      <c r="F178" s="30" t="s">
        <v>1062</v>
      </c>
      <c r="G178" s="30" t="s">
        <v>1046</v>
      </c>
      <c r="H178" s="30" t="s">
        <v>1068</v>
      </c>
    </row>
    <row r="179" spans="1:8" ht="15.75" x14ac:dyDescent="0.25">
      <c r="A179" s="31">
        <v>176</v>
      </c>
      <c r="B179" s="30" t="s">
        <v>1179</v>
      </c>
      <c r="C179" s="30" t="s">
        <v>1183</v>
      </c>
      <c r="D179" s="30" t="s">
        <v>1067</v>
      </c>
      <c r="E179" s="30" t="s">
        <v>1164</v>
      </c>
      <c r="F179" s="30" t="s">
        <v>1062</v>
      </c>
      <c r="G179" s="30" t="s">
        <v>1048</v>
      </c>
      <c r="H179" s="30" t="s">
        <v>1048</v>
      </c>
    </row>
    <row r="180" spans="1:8" ht="15.75" x14ac:dyDescent="0.25">
      <c r="A180" s="31">
        <v>177</v>
      </c>
      <c r="B180" s="30" t="s">
        <v>1179</v>
      </c>
      <c r="C180" s="30" t="s">
        <v>1183</v>
      </c>
      <c r="D180" s="30" t="s">
        <v>1164</v>
      </c>
      <c r="E180" s="30" t="s">
        <v>1074</v>
      </c>
      <c r="F180" s="30" t="s">
        <v>1062</v>
      </c>
      <c r="G180" s="30" t="s">
        <v>1048</v>
      </c>
      <c r="H180" s="30" t="s">
        <v>1051</v>
      </c>
    </row>
    <row r="181" spans="1:8" ht="15.75" x14ac:dyDescent="0.25">
      <c r="A181" s="31">
        <v>178</v>
      </c>
      <c r="B181" s="30" t="s">
        <v>1179</v>
      </c>
      <c r="C181" s="30" t="s">
        <v>1183</v>
      </c>
      <c r="D181" s="30" t="s">
        <v>1074</v>
      </c>
      <c r="E181" s="30" t="s">
        <v>1075</v>
      </c>
      <c r="F181" s="30" t="s">
        <v>1062</v>
      </c>
      <c r="G181" s="30" t="s">
        <v>1048</v>
      </c>
      <c r="H181" s="30" t="s">
        <v>1054</v>
      </c>
    </row>
    <row r="182" spans="1:8" ht="15.75" x14ac:dyDescent="0.25">
      <c r="A182" s="31">
        <v>179</v>
      </c>
      <c r="B182" s="30" t="s">
        <v>1179</v>
      </c>
      <c r="C182" s="30" t="s">
        <v>1183</v>
      </c>
      <c r="D182" s="30" t="s">
        <v>1075</v>
      </c>
      <c r="E182" s="30" t="s">
        <v>1076</v>
      </c>
      <c r="F182" s="30" t="s">
        <v>1062</v>
      </c>
      <c r="G182" s="30" t="s">
        <v>1048</v>
      </c>
      <c r="H182" s="30" t="s">
        <v>1045</v>
      </c>
    </row>
    <row r="183" spans="1:8" ht="15.75" x14ac:dyDescent="0.25">
      <c r="A183" s="31">
        <v>180</v>
      </c>
      <c r="B183" s="30" t="s">
        <v>1179</v>
      </c>
      <c r="C183" s="30" t="s">
        <v>1183</v>
      </c>
      <c r="D183" s="30" t="s">
        <v>1076</v>
      </c>
      <c r="E183" s="30" t="s">
        <v>1077</v>
      </c>
      <c r="F183" s="30" t="s">
        <v>1062</v>
      </c>
      <c r="G183" s="30" t="s">
        <v>1048</v>
      </c>
      <c r="H183" s="30" t="s">
        <v>1059</v>
      </c>
    </row>
    <row r="184" spans="1:8" ht="15.75" x14ac:dyDescent="0.25">
      <c r="A184" s="31">
        <v>181</v>
      </c>
      <c r="B184" s="30" t="s">
        <v>1179</v>
      </c>
      <c r="C184" s="30" t="s">
        <v>1183</v>
      </c>
      <c r="D184" s="30" t="s">
        <v>1077</v>
      </c>
      <c r="E184" s="30" t="s">
        <v>1078</v>
      </c>
      <c r="F184" s="30" t="s">
        <v>1062</v>
      </c>
      <c r="G184" s="30" t="s">
        <v>1048</v>
      </c>
      <c r="H184" s="30" t="s">
        <v>1062</v>
      </c>
    </row>
    <row r="185" spans="1:8" ht="15.75" x14ac:dyDescent="0.25">
      <c r="A185" s="31">
        <v>182</v>
      </c>
      <c r="B185" s="32" t="s">
        <v>1179</v>
      </c>
      <c r="C185" s="30" t="s">
        <v>1183</v>
      </c>
      <c r="D185" s="32" t="s">
        <v>1078</v>
      </c>
      <c r="E185" s="32" t="s">
        <v>1079</v>
      </c>
      <c r="F185" s="30" t="s">
        <v>1062</v>
      </c>
      <c r="G185" s="32" t="s">
        <v>1048</v>
      </c>
      <c r="H185" s="32" t="s">
        <v>1065</v>
      </c>
    </row>
    <row r="186" spans="1:8" ht="15.75" x14ac:dyDescent="0.25">
      <c r="A186" s="31">
        <v>183</v>
      </c>
      <c r="B186" s="30" t="s">
        <v>1179</v>
      </c>
      <c r="C186" s="30" t="s">
        <v>1183</v>
      </c>
      <c r="D186" s="30" t="s">
        <v>1079</v>
      </c>
      <c r="E186" s="30" t="s">
        <v>1080</v>
      </c>
      <c r="F186" s="30" t="s">
        <v>1062</v>
      </c>
      <c r="G186" s="30" t="s">
        <v>1048</v>
      </c>
      <c r="H186" s="30" t="s">
        <v>1068</v>
      </c>
    </row>
    <row r="187" spans="1:8" ht="15.75" x14ac:dyDescent="0.25">
      <c r="A187" s="31">
        <v>184</v>
      </c>
      <c r="B187" s="30" t="s">
        <v>1179</v>
      </c>
      <c r="C187" s="30" t="s">
        <v>1183</v>
      </c>
      <c r="D187" s="30" t="s">
        <v>1080</v>
      </c>
      <c r="E187" s="30" t="s">
        <v>1081</v>
      </c>
      <c r="F187" s="30" t="s">
        <v>1062</v>
      </c>
      <c r="G187" s="30" t="s">
        <v>1048</v>
      </c>
      <c r="H187" s="30" t="s">
        <v>1046</v>
      </c>
    </row>
    <row r="188" spans="1:8" ht="15.75" x14ac:dyDescent="0.25">
      <c r="A188" s="31">
        <v>185</v>
      </c>
      <c r="B188" s="30" t="s">
        <v>1179</v>
      </c>
      <c r="C188" s="30" t="s">
        <v>1184</v>
      </c>
      <c r="D188" s="30" t="s">
        <v>1081</v>
      </c>
      <c r="E188" s="30" t="s">
        <v>1085</v>
      </c>
      <c r="F188" s="30" t="s">
        <v>1062</v>
      </c>
      <c r="G188" s="30" t="s">
        <v>1051</v>
      </c>
      <c r="H188" s="30" t="s">
        <v>1051</v>
      </c>
    </row>
    <row r="189" spans="1:8" ht="15.75" x14ac:dyDescent="0.25">
      <c r="A189" s="31">
        <v>186</v>
      </c>
      <c r="B189" s="30" t="s">
        <v>1179</v>
      </c>
      <c r="C189" s="30" t="s">
        <v>1184</v>
      </c>
      <c r="D189" s="30" t="s">
        <v>1085</v>
      </c>
      <c r="E189" s="30" t="s">
        <v>1086</v>
      </c>
      <c r="F189" s="30" t="s">
        <v>1062</v>
      </c>
      <c r="G189" s="30" t="s">
        <v>1051</v>
      </c>
      <c r="H189" s="30" t="s">
        <v>1054</v>
      </c>
    </row>
    <row r="190" spans="1:8" ht="15.75" x14ac:dyDescent="0.25">
      <c r="A190" s="31">
        <v>187</v>
      </c>
      <c r="B190" s="30" t="s">
        <v>1179</v>
      </c>
      <c r="C190" s="30" t="s">
        <v>1184</v>
      </c>
      <c r="D190" s="30" t="s">
        <v>1185</v>
      </c>
      <c r="E190" s="30" t="s">
        <v>1087</v>
      </c>
      <c r="F190" s="30" t="s">
        <v>1062</v>
      </c>
      <c r="G190" s="30" t="s">
        <v>1051</v>
      </c>
      <c r="H190" s="30" t="s">
        <v>1045</v>
      </c>
    </row>
    <row r="191" spans="1:8" ht="15.75" x14ac:dyDescent="0.25">
      <c r="A191" s="31">
        <v>188</v>
      </c>
      <c r="B191" s="30" t="s">
        <v>1179</v>
      </c>
      <c r="C191" s="30" t="s">
        <v>1184</v>
      </c>
      <c r="D191" s="30" t="s">
        <v>1087</v>
      </c>
      <c r="E191" s="30" t="s">
        <v>1088</v>
      </c>
      <c r="F191" s="30" t="s">
        <v>1062</v>
      </c>
      <c r="G191" s="30" t="s">
        <v>1051</v>
      </c>
      <c r="H191" s="30" t="s">
        <v>1059</v>
      </c>
    </row>
    <row r="192" spans="1:8" ht="15.75" x14ac:dyDescent="0.25">
      <c r="A192" s="31">
        <v>189</v>
      </c>
      <c r="B192" s="30" t="s">
        <v>1186</v>
      </c>
      <c r="C192" s="30" t="s">
        <v>1184</v>
      </c>
      <c r="D192" s="30" t="s">
        <v>1090</v>
      </c>
      <c r="E192" s="30" t="s">
        <v>1091</v>
      </c>
      <c r="F192" s="30" t="s">
        <v>1065</v>
      </c>
      <c r="G192" s="30" t="s">
        <v>1051</v>
      </c>
      <c r="H192" s="30" t="s">
        <v>1059</v>
      </c>
    </row>
    <row r="193" spans="1:8" ht="15.75" x14ac:dyDescent="0.25">
      <c r="A193" s="31">
        <v>190</v>
      </c>
      <c r="B193" s="30" t="s">
        <v>1186</v>
      </c>
      <c r="C193" s="30" t="s">
        <v>1184</v>
      </c>
      <c r="D193" s="30" t="s">
        <v>1091</v>
      </c>
      <c r="E193" s="30" t="s">
        <v>1093</v>
      </c>
      <c r="F193" s="30" t="s">
        <v>1065</v>
      </c>
      <c r="G193" s="30" t="s">
        <v>1051</v>
      </c>
      <c r="H193" s="30" t="s">
        <v>1062</v>
      </c>
    </row>
    <row r="194" spans="1:8" ht="15.75" x14ac:dyDescent="0.25">
      <c r="A194" s="31">
        <v>191</v>
      </c>
      <c r="B194" s="30" t="s">
        <v>1186</v>
      </c>
      <c r="C194" s="30" t="s">
        <v>1184</v>
      </c>
      <c r="D194" s="30" t="s">
        <v>1093</v>
      </c>
      <c r="E194" s="30" t="s">
        <v>1094</v>
      </c>
      <c r="F194" s="30" t="s">
        <v>1065</v>
      </c>
      <c r="G194" s="30" t="s">
        <v>1051</v>
      </c>
      <c r="H194" s="30" t="s">
        <v>1065</v>
      </c>
    </row>
    <row r="195" spans="1:8" ht="15.75" x14ac:dyDescent="0.25">
      <c r="A195" s="31">
        <v>192</v>
      </c>
      <c r="B195" s="30" t="s">
        <v>1186</v>
      </c>
      <c r="C195" s="30" t="s">
        <v>1184</v>
      </c>
      <c r="D195" s="30" t="s">
        <v>1094</v>
      </c>
      <c r="E195" s="30" t="s">
        <v>1095</v>
      </c>
      <c r="F195" s="30" t="s">
        <v>1065</v>
      </c>
      <c r="G195" s="30" t="s">
        <v>1051</v>
      </c>
      <c r="H195" s="30" t="s">
        <v>1068</v>
      </c>
    </row>
    <row r="196" spans="1:8" ht="15.75" x14ac:dyDescent="0.25">
      <c r="A196" s="31">
        <v>193</v>
      </c>
      <c r="B196" s="30" t="s">
        <v>1186</v>
      </c>
      <c r="C196" s="30" t="s">
        <v>1184</v>
      </c>
      <c r="D196" s="30" t="s">
        <v>1095</v>
      </c>
      <c r="E196" s="30" t="s">
        <v>1096</v>
      </c>
      <c r="F196" s="30" t="s">
        <v>1065</v>
      </c>
      <c r="G196" s="30" t="s">
        <v>1051</v>
      </c>
      <c r="H196" s="30" t="s">
        <v>1046</v>
      </c>
    </row>
    <row r="197" spans="1:8" ht="15.75" x14ac:dyDescent="0.25">
      <c r="A197" s="31">
        <v>194</v>
      </c>
      <c r="B197" s="30" t="s">
        <v>1186</v>
      </c>
      <c r="C197" s="30" t="s">
        <v>1184</v>
      </c>
      <c r="D197" s="30" t="s">
        <v>1096</v>
      </c>
      <c r="E197" s="30" t="s">
        <v>1098</v>
      </c>
      <c r="F197" s="30" t="s">
        <v>1065</v>
      </c>
      <c r="G197" s="30" t="s">
        <v>1051</v>
      </c>
      <c r="H197" s="30" t="s">
        <v>1048</v>
      </c>
    </row>
    <row r="198" spans="1:8" ht="15.75" x14ac:dyDescent="0.25">
      <c r="A198" s="31">
        <v>195</v>
      </c>
      <c r="B198" s="30" t="s">
        <v>1186</v>
      </c>
      <c r="C198" s="30" t="s">
        <v>1187</v>
      </c>
      <c r="D198" s="30" t="s">
        <v>1098</v>
      </c>
      <c r="E198" s="30" t="s">
        <v>1102</v>
      </c>
      <c r="F198" s="30" t="s">
        <v>1065</v>
      </c>
      <c r="G198" s="30" t="s">
        <v>1054</v>
      </c>
      <c r="H198" s="30" t="s">
        <v>1054</v>
      </c>
    </row>
    <row r="199" spans="1:8" ht="15.75" x14ac:dyDescent="0.25">
      <c r="A199" s="31">
        <v>196</v>
      </c>
      <c r="B199" s="30" t="s">
        <v>1186</v>
      </c>
      <c r="C199" s="30" t="s">
        <v>1187</v>
      </c>
      <c r="D199" s="30" t="s">
        <v>1102</v>
      </c>
      <c r="E199" s="30" t="s">
        <v>1103</v>
      </c>
      <c r="F199" s="30" t="s">
        <v>1065</v>
      </c>
      <c r="G199" s="30" t="s">
        <v>1054</v>
      </c>
      <c r="H199" s="30" t="s">
        <v>1045</v>
      </c>
    </row>
    <row r="200" spans="1:8" ht="15.75" x14ac:dyDescent="0.25">
      <c r="A200" s="31">
        <v>197</v>
      </c>
      <c r="B200" s="30" t="s">
        <v>1186</v>
      </c>
      <c r="C200" s="30" t="s">
        <v>1187</v>
      </c>
      <c r="D200" s="30" t="s">
        <v>1103</v>
      </c>
      <c r="E200" s="30" t="s">
        <v>1104</v>
      </c>
      <c r="F200" s="30" t="s">
        <v>1065</v>
      </c>
      <c r="G200" s="30" t="s">
        <v>1054</v>
      </c>
      <c r="H200" s="30" t="s">
        <v>1059</v>
      </c>
    </row>
    <row r="201" spans="1:8" ht="15.75" x14ac:dyDescent="0.25">
      <c r="A201" s="31">
        <v>198</v>
      </c>
      <c r="B201" s="30" t="s">
        <v>1186</v>
      </c>
      <c r="C201" s="30" t="s">
        <v>1187</v>
      </c>
      <c r="D201" s="30" t="s">
        <v>1104</v>
      </c>
      <c r="E201" s="30" t="s">
        <v>1105</v>
      </c>
      <c r="F201" s="30" t="s">
        <v>1065</v>
      </c>
      <c r="G201" s="30" t="s">
        <v>1054</v>
      </c>
      <c r="H201" s="30" t="s">
        <v>1062</v>
      </c>
    </row>
    <row r="202" spans="1:8" ht="15.75" x14ac:dyDescent="0.25">
      <c r="A202" s="31">
        <v>199</v>
      </c>
      <c r="B202" s="30" t="s">
        <v>1186</v>
      </c>
      <c r="C202" s="30" t="s">
        <v>1187</v>
      </c>
      <c r="D202" s="30" t="s">
        <v>1105</v>
      </c>
      <c r="E202" s="30" t="s">
        <v>1106</v>
      </c>
      <c r="F202" s="30" t="s">
        <v>1065</v>
      </c>
      <c r="G202" s="30" t="s">
        <v>1054</v>
      </c>
      <c r="H202" s="30" t="s">
        <v>1065</v>
      </c>
    </row>
    <row r="203" spans="1:8" ht="15.75" x14ac:dyDescent="0.25">
      <c r="A203" s="31">
        <v>200</v>
      </c>
      <c r="B203" s="30" t="s">
        <v>1186</v>
      </c>
      <c r="C203" s="30" t="s">
        <v>1187</v>
      </c>
      <c r="D203" s="30" t="s">
        <v>1188</v>
      </c>
      <c r="E203" s="30" t="s">
        <v>1107</v>
      </c>
      <c r="F203" s="30" t="s">
        <v>1065</v>
      </c>
      <c r="G203" s="30" t="s">
        <v>1054</v>
      </c>
      <c r="H203" s="30" t="s">
        <v>1068</v>
      </c>
    </row>
    <row r="204" spans="1:8" ht="15.75" x14ac:dyDescent="0.25">
      <c r="A204" s="31">
        <v>201</v>
      </c>
      <c r="B204" s="30" t="s">
        <v>1186</v>
      </c>
      <c r="C204" s="30" t="s">
        <v>1187</v>
      </c>
      <c r="D204" s="30" t="s">
        <v>1107</v>
      </c>
      <c r="E204" s="30" t="s">
        <v>1189</v>
      </c>
      <c r="F204" s="30" t="s">
        <v>1065</v>
      </c>
      <c r="G204" s="30" t="s">
        <v>1054</v>
      </c>
      <c r="H204" s="30" t="s">
        <v>1046</v>
      </c>
    </row>
    <row r="205" spans="1:8" ht="15.75" x14ac:dyDescent="0.25">
      <c r="A205" s="31">
        <v>202</v>
      </c>
      <c r="B205" s="30" t="s">
        <v>1186</v>
      </c>
      <c r="C205" s="30" t="s">
        <v>1187</v>
      </c>
      <c r="D205" s="30" t="s">
        <v>1189</v>
      </c>
      <c r="E205" s="30" t="s">
        <v>1109</v>
      </c>
      <c r="F205" s="30" t="s">
        <v>1065</v>
      </c>
      <c r="G205" s="30" t="s">
        <v>1054</v>
      </c>
      <c r="H205" s="30" t="s">
        <v>1048</v>
      </c>
    </row>
    <row r="206" spans="1:8" ht="15.75" x14ac:dyDescent="0.25">
      <c r="A206" s="31">
        <v>203</v>
      </c>
      <c r="B206" s="30" t="s">
        <v>1186</v>
      </c>
      <c r="C206" s="30" t="s">
        <v>1187</v>
      </c>
      <c r="D206" s="30" t="s">
        <v>1109</v>
      </c>
      <c r="E206" s="30" t="s">
        <v>1110</v>
      </c>
      <c r="F206" s="30" t="s">
        <v>1065</v>
      </c>
      <c r="G206" s="30" t="s">
        <v>1054</v>
      </c>
      <c r="H206" s="30" t="s">
        <v>1051</v>
      </c>
    </row>
    <row r="207" spans="1:8" ht="15.75" x14ac:dyDescent="0.25">
      <c r="A207" s="31">
        <v>204</v>
      </c>
      <c r="B207" s="30" t="s">
        <v>1186</v>
      </c>
      <c r="C207" s="30" t="s">
        <v>1190</v>
      </c>
      <c r="D207" s="30" t="s">
        <v>1110</v>
      </c>
      <c r="E207" s="30" t="s">
        <v>1113</v>
      </c>
      <c r="F207" s="30" t="s">
        <v>1065</v>
      </c>
      <c r="G207" s="30" t="s">
        <v>1045</v>
      </c>
      <c r="H207" s="30" t="s">
        <v>1045</v>
      </c>
    </row>
    <row r="208" spans="1:8" ht="15.75" x14ac:dyDescent="0.25">
      <c r="A208" s="31">
        <v>205</v>
      </c>
      <c r="B208" s="30" t="s">
        <v>1186</v>
      </c>
      <c r="C208" s="30" t="s">
        <v>1190</v>
      </c>
      <c r="D208" s="30" t="s">
        <v>1113</v>
      </c>
      <c r="E208" s="30" t="s">
        <v>1114</v>
      </c>
      <c r="F208" s="30" t="s">
        <v>1065</v>
      </c>
      <c r="G208" s="30" t="s">
        <v>1045</v>
      </c>
      <c r="H208" s="30" t="s">
        <v>1059</v>
      </c>
    </row>
    <row r="209" spans="1:8" ht="15.75" x14ac:dyDescent="0.25">
      <c r="A209" s="31">
        <v>206</v>
      </c>
      <c r="B209" s="30" t="s">
        <v>1186</v>
      </c>
      <c r="C209" s="30" t="s">
        <v>1190</v>
      </c>
      <c r="D209" s="30" t="s">
        <v>1114</v>
      </c>
      <c r="E209" s="30" t="s">
        <v>1115</v>
      </c>
      <c r="F209" s="30" t="s">
        <v>1065</v>
      </c>
      <c r="G209" s="30" t="s">
        <v>1045</v>
      </c>
      <c r="H209" s="30" t="s">
        <v>1062</v>
      </c>
    </row>
    <row r="210" spans="1:8" ht="15.75" x14ac:dyDescent="0.25">
      <c r="A210" s="31">
        <v>207</v>
      </c>
      <c r="B210" s="30" t="s">
        <v>1186</v>
      </c>
      <c r="C210" s="30" t="s">
        <v>1190</v>
      </c>
      <c r="D210" s="30" t="s">
        <v>1115</v>
      </c>
      <c r="E210" s="30" t="s">
        <v>1088</v>
      </c>
      <c r="F210" s="30" t="s">
        <v>1065</v>
      </c>
      <c r="G210" s="30" t="s">
        <v>1045</v>
      </c>
      <c r="H210" s="30" t="s">
        <v>1065</v>
      </c>
    </row>
    <row r="211" spans="1:8" ht="15.75" x14ac:dyDescent="0.25">
      <c r="A211" s="31">
        <v>208</v>
      </c>
      <c r="B211" s="30" t="s">
        <v>1191</v>
      </c>
      <c r="C211" s="30" t="s">
        <v>1190</v>
      </c>
      <c r="D211" s="30" t="s">
        <v>1090</v>
      </c>
      <c r="E211" s="30" t="s">
        <v>1117</v>
      </c>
      <c r="F211" s="30" t="s">
        <v>1065</v>
      </c>
      <c r="G211" s="30" t="s">
        <v>1045</v>
      </c>
      <c r="H211" s="30" t="s">
        <v>1068</v>
      </c>
    </row>
    <row r="212" spans="1:8" ht="15.75" x14ac:dyDescent="0.25">
      <c r="A212" s="31">
        <v>209</v>
      </c>
      <c r="B212" s="30" t="s">
        <v>1191</v>
      </c>
      <c r="C212" s="30" t="s">
        <v>1190</v>
      </c>
      <c r="D212" s="30" t="s">
        <v>1117</v>
      </c>
      <c r="E212" s="30" t="s">
        <v>1118</v>
      </c>
      <c r="F212" s="30" t="s">
        <v>1065</v>
      </c>
      <c r="G212" s="30" t="s">
        <v>1045</v>
      </c>
      <c r="H212" s="30" t="s">
        <v>1046</v>
      </c>
    </row>
    <row r="213" spans="1:8" ht="15.75" x14ac:dyDescent="0.25">
      <c r="A213" s="31">
        <v>210</v>
      </c>
      <c r="B213" s="30" t="s">
        <v>1191</v>
      </c>
      <c r="C213" s="30" t="s">
        <v>1190</v>
      </c>
      <c r="D213" s="30" t="s">
        <v>1118</v>
      </c>
      <c r="E213" s="30" t="s">
        <v>1119</v>
      </c>
      <c r="F213" s="30" t="s">
        <v>1065</v>
      </c>
      <c r="G213" s="30" t="s">
        <v>1045</v>
      </c>
      <c r="H213" s="30" t="s">
        <v>1048</v>
      </c>
    </row>
    <row r="214" spans="1:8" ht="15.75" x14ac:dyDescent="0.25">
      <c r="A214" s="31">
        <v>211</v>
      </c>
      <c r="B214" s="30" t="s">
        <v>1191</v>
      </c>
      <c r="C214" s="30" t="s">
        <v>1190</v>
      </c>
      <c r="D214" s="30" t="s">
        <v>1119</v>
      </c>
      <c r="E214" s="30" t="s">
        <v>1056</v>
      </c>
      <c r="F214" s="30" t="s">
        <v>1065</v>
      </c>
      <c r="G214" s="30" t="s">
        <v>1045</v>
      </c>
      <c r="H214" s="30" t="s">
        <v>1051</v>
      </c>
    </row>
    <row r="215" spans="1:8" ht="15.75" x14ac:dyDescent="0.25">
      <c r="A215" s="31">
        <v>212</v>
      </c>
      <c r="B215" s="30" t="s">
        <v>1191</v>
      </c>
      <c r="C215" s="30" t="s">
        <v>1190</v>
      </c>
      <c r="D215" s="30" t="s">
        <v>1056</v>
      </c>
      <c r="E215" s="30" t="s">
        <v>1192</v>
      </c>
      <c r="F215" s="30" t="s">
        <v>1065</v>
      </c>
      <c r="G215" s="30" t="s">
        <v>1045</v>
      </c>
      <c r="H215" s="30" t="s">
        <v>1054</v>
      </c>
    </row>
    <row r="216" spans="1:8" ht="15.75" x14ac:dyDescent="0.25">
      <c r="A216" s="31">
        <v>213</v>
      </c>
      <c r="B216" s="32" t="s">
        <v>1191</v>
      </c>
      <c r="C216" s="30" t="s">
        <v>1193</v>
      </c>
      <c r="D216" s="32" t="s">
        <v>1192</v>
      </c>
      <c r="E216" s="32" t="s">
        <v>1122</v>
      </c>
      <c r="F216" s="32" t="s">
        <v>1065</v>
      </c>
      <c r="G216" s="32" t="s">
        <v>1059</v>
      </c>
      <c r="H216" s="32" t="s">
        <v>1059</v>
      </c>
    </row>
    <row r="217" spans="1:8" ht="15.75" x14ac:dyDescent="0.25">
      <c r="A217" s="31">
        <v>214</v>
      </c>
      <c r="B217" s="30" t="s">
        <v>1191</v>
      </c>
      <c r="C217" s="30" t="s">
        <v>1193</v>
      </c>
      <c r="D217" s="30" t="s">
        <v>1122</v>
      </c>
      <c r="E217" s="30" t="s">
        <v>1123</v>
      </c>
      <c r="F217" s="30" t="s">
        <v>1065</v>
      </c>
      <c r="G217" s="30" t="s">
        <v>1059</v>
      </c>
      <c r="H217" s="30" t="s">
        <v>1062</v>
      </c>
    </row>
    <row r="218" spans="1:8" ht="15.75" x14ac:dyDescent="0.25">
      <c r="A218" s="31">
        <v>215</v>
      </c>
      <c r="B218" s="30" t="s">
        <v>1191</v>
      </c>
      <c r="C218" s="30" t="s">
        <v>1193</v>
      </c>
      <c r="D218" s="30" t="s">
        <v>1123</v>
      </c>
      <c r="E218" s="30" t="s">
        <v>1124</v>
      </c>
      <c r="F218" s="30" t="s">
        <v>1065</v>
      </c>
      <c r="G218" s="30" t="s">
        <v>1059</v>
      </c>
      <c r="H218" s="30" t="s">
        <v>1065</v>
      </c>
    </row>
    <row r="219" spans="1:8" ht="15.75" x14ac:dyDescent="0.25">
      <c r="A219" s="31">
        <v>216</v>
      </c>
      <c r="B219" s="30" t="s">
        <v>1191</v>
      </c>
      <c r="C219" s="30" t="s">
        <v>1193</v>
      </c>
      <c r="D219" s="30" t="s">
        <v>1124</v>
      </c>
      <c r="E219" s="30" t="s">
        <v>1126</v>
      </c>
      <c r="F219" s="30" t="s">
        <v>1065</v>
      </c>
      <c r="G219" s="30" t="s">
        <v>1059</v>
      </c>
      <c r="H219" s="30" t="s">
        <v>1068</v>
      </c>
    </row>
    <row r="220" spans="1:8" ht="15.75" x14ac:dyDescent="0.25">
      <c r="A220" s="31">
        <v>217</v>
      </c>
      <c r="B220" s="30" t="s">
        <v>1191</v>
      </c>
      <c r="C220" s="30" t="s">
        <v>1193</v>
      </c>
      <c r="D220" s="30" t="s">
        <v>1126</v>
      </c>
      <c r="E220" s="30" t="s">
        <v>1127</v>
      </c>
      <c r="F220" s="30" t="s">
        <v>1065</v>
      </c>
      <c r="G220" s="30" t="s">
        <v>1059</v>
      </c>
      <c r="H220" s="30" t="s">
        <v>1046</v>
      </c>
    </row>
    <row r="221" spans="1:8" ht="15.75" x14ac:dyDescent="0.25">
      <c r="A221" s="31">
        <v>218</v>
      </c>
      <c r="B221" s="30" t="s">
        <v>1191</v>
      </c>
      <c r="C221" s="30" t="s">
        <v>1193</v>
      </c>
      <c r="D221" s="30" t="s">
        <v>1127</v>
      </c>
      <c r="E221" s="30" t="s">
        <v>1128</v>
      </c>
      <c r="F221" s="30" t="s">
        <v>1065</v>
      </c>
      <c r="G221" s="30" t="s">
        <v>1059</v>
      </c>
      <c r="H221" s="30" t="s">
        <v>1048</v>
      </c>
    </row>
    <row r="222" spans="1:8" ht="15.75" x14ac:dyDescent="0.25">
      <c r="A222" s="31">
        <v>219</v>
      </c>
      <c r="B222" s="30" t="s">
        <v>1191</v>
      </c>
      <c r="C222" s="30" t="s">
        <v>1193</v>
      </c>
      <c r="D222" s="30" t="s">
        <v>1128</v>
      </c>
      <c r="E222" s="30" t="s">
        <v>1076</v>
      </c>
      <c r="F222" s="30" t="s">
        <v>1065</v>
      </c>
      <c r="G222" s="30" t="s">
        <v>1059</v>
      </c>
      <c r="H222" s="30" t="s">
        <v>1051</v>
      </c>
    </row>
    <row r="223" spans="1:8" ht="15.75" x14ac:dyDescent="0.25">
      <c r="A223" s="31">
        <v>220</v>
      </c>
      <c r="B223" s="30" t="s">
        <v>1191</v>
      </c>
      <c r="C223" s="30" t="s">
        <v>1193</v>
      </c>
      <c r="D223" s="30" t="s">
        <v>1076</v>
      </c>
      <c r="E223" s="30" t="s">
        <v>1129</v>
      </c>
      <c r="F223" s="30" t="s">
        <v>1065</v>
      </c>
      <c r="G223" s="30" t="s">
        <v>1059</v>
      </c>
      <c r="H223" s="30" t="s">
        <v>1054</v>
      </c>
    </row>
    <row r="224" spans="1:8" ht="15.75" x14ac:dyDescent="0.25">
      <c r="A224" s="31">
        <v>221</v>
      </c>
      <c r="B224" s="30" t="s">
        <v>1191</v>
      </c>
      <c r="C224" s="30" t="s">
        <v>1193</v>
      </c>
      <c r="D224" s="30" t="s">
        <v>1129</v>
      </c>
      <c r="E224" s="30" t="s">
        <v>1130</v>
      </c>
      <c r="F224" s="30" t="s">
        <v>1065</v>
      </c>
      <c r="G224" s="30" t="s">
        <v>1059</v>
      </c>
      <c r="H224" s="30" t="s">
        <v>1045</v>
      </c>
    </row>
    <row r="225" spans="1:8" ht="15.75" x14ac:dyDescent="0.25">
      <c r="A225" s="31">
        <v>222</v>
      </c>
      <c r="B225" s="30" t="s">
        <v>1191</v>
      </c>
      <c r="C225" s="30" t="s">
        <v>1194</v>
      </c>
      <c r="D225" s="30" t="s">
        <v>1130</v>
      </c>
      <c r="E225" s="30" t="s">
        <v>1132</v>
      </c>
      <c r="F225" s="30" t="s">
        <v>1065</v>
      </c>
      <c r="G225" s="30" t="s">
        <v>1062</v>
      </c>
      <c r="H225" s="30" t="s">
        <v>1062</v>
      </c>
    </row>
    <row r="226" spans="1:8" ht="15.75" x14ac:dyDescent="0.25">
      <c r="A226" s="31">
        <v>223</v>
      </c>
      <c r="B226" s="30" t="s">
        <v>1191</v>
      </c>
      <c r="C226" s="30" t="s">
        <v>1194</v>
      </c>
      <c r="D226" s="30" t="s">
        <v>1132</v>
      </c>
      <c r="E226" s="30" t="s">
        <v>1133</v>
      </c>
      <c r="F226" s="30" t="s">
        <v>1065</v>
      </c>
      <c r="G226" s="30" t="s">
        <v>1062</v>
      </c>
      <c r="H226" s="30" t="s">
        <v>1065</v>
      </c>
    </row>
    <row r="227" spans="1:8" ht="15.75" x14ac:dyDescent="0.25">
      <c r="A227" s="31">
        <v>224</v>
      </c>
      <c r="B227" s="30" t="s">
        <v>1191</v>
      </c>
      <c r="C227" s="30" t="s">
        <v>1194</v>
      </c>
      <c r="D227" s="30" t="s">
        <v>1133</v>
      </c>
      <c r="E227" s="30" t="s">
        <v>1134</v>
      </c>
      <c r="F227" s="30" t="s">
        <v>1065</v>
      </c>
      <c r="G227" s="30" t="s">
        <v>1062</v>
      </c>
      <c r="H227" s="30" t="s">
        <v>1068</v>
      </c>
    </row>
    <row r="228" spans="1:8" ht="15.75" x14ac:dyDescent="0.25">
      <c r="A228" s="31">
        <v>225</v>
      </c>
      <c r="B228" s="30" t="s">
        <v>1191</v>
      </c>
      <c r="C228" s="30" t="s">
        <v>1194</v>
      </c>
      <c r="D228" s="30" t="s">
        <v>1134</v>
      </c>
      <c r="E228" s="30" t="s">
        <v>1135</v>
      </c>
      <c r="F228" s="30" t="s">
        <v>1065</v>
      </c>
      <c r="G228" s="30" t="s">
        <v>1062</v>
      </c>
      <c r="H228" s="30" t="s">
        <v>1046</v>
      </c>
    </row>
    <row r="229" spans="1:8" ht="15.75" x14ac:dyDescent="0.25">
      <c r="A229" s="31">
        <v>226</v>
      </c>
      <c r="B229" s="30" t="s">
        <v>1191</v>
      </c>
      <c r="C229" s="30" t="s">
        <v>1194</v>
      </c>
      <c r="D229" s="30" t="s">
        <v>1135</v>
      </c>
      <c r="E229" s="30" t="s">
        <v>1136</v>
      </c>
      <c r="F229" s="30" t="s">
        <v>1065</v>
      </c>
      <c r="G229" s="30" t="s">
        <v>1062</v>
      </c>
      <c r="H229" s="30" t="s">
        <v>1048</v>
      </c>
    </row>
    <row r="230" spans="1:8" ht="15.75" x14ac:dyDescent="0.25">
      <c r="A230" s="31">
        <v>227</v>
      </c>
      <c r="B230" s="30" t="s">
        <v>1191</v>
      </c>
      <c r="C230" s="30" t="s">
        <v>1194</v>
      </c>
      <c r="D230" s="30" t="s">
        <v>1136</v>
      </c>
      <c r="E230" s="30" t="s">
        <v>1137</v>
      </c>
      <c r="F230" s="30" t="s">
        <v>1065</v>
      </c>
      <c r="G230" s="30" t="s">
        <v>1062</v>
      </c>
      <c r="H230" s="30" t="s">
        <v>1051</v>
      </c>
    </row>
    <row r="231" spans="1:8" ht="15.75" x14ac:dyDescent="0.25">
      <c r="A231" s="31">
        <v>228</v>
      </c>
      <c r="B231" s="30" t="s">
        <v>1191</v>
      </c>
      <c r="C231" s="30" t="s">
        <v>1194</v>
      </c>
      <c r="D231" s="30" t="s">
        <v>1137</v>
      </c>
      <c r="E231" s="30" t="s">
        <v>1088</v>
      </c>
      <c r="F231" s="30" t="s">
        <v>1065</v>
      </c>
      <c r="G231" s="30" t="s">
        <v>1062</v>
      </c>
      <c r="H231" s="30" t="s">
        <v>1054</v>
      </c>
    </row>
    <row r="232" spans="1:8" ht="15.75" x14ac:dyDescent="0.25">
      <c r="A232" s="31">
        <v>229</v>
      </c>
      <c r="B232" s="30" t="s">
        <v>1195</v>
      </c>
      <c r="C232" s="30" t="s">
        <v>1194</v>
      </c>
      <c r="D232" s="30" t="s">
        <v>1090</v>
      </c>
      <c r="E232" s="30" t="s">
        <v>1139</v>
      </c>
      <c r="F232" s="30" t="s">
        <v>1062</v>
      </c>
      <c r="G232" s="30" t="s">
        <v>1062</v>
      </c>
      <c r="H232" s="30" t="s">
        <v>1054</v>
      </c>
    </row>
    <row r="233" spans="1:8" ht="15.75" x14ac:dyDescent="0.25">
      <c r="A233" s="31">
        <v>230</v>
      </c>
      <c r="B233" s="30" t="s">
        <v>1195</v>
      </c>
      <c r="C233" s="30" t="s">
        <v>1194</v>
      </c>
      <c r="D233" s="30" t="s">
        <v>1139</v>
      </c>
      <c r="E233" s="30" t="s">
        <v>1140</v>
      </c>
      <c r="F233" s="30" t="s">
        <v>1062</v>
      </c>
      <c r="G233" s="30" t="s">
        <v>1062</v>
      </c>
      <c r="H233" s="30" t="s">
        <v>1045</v>
      </c>
    </row>
    <row r="234" spans="1:8" ht="15.75" x14ac:dyDescent="0.25">
      <c r="A234" s="31">
        <v>231</v>
      </c>
      <c r="B234" s="30" t="s">
        <v>1195</v>
      </c>
      <c r="C234" s="30" t="s">
        <v>1194</v>
      </c>
      <c r="D234" s="30" t="s">
        <v>1140</v>
      </c>
      <c r="E234" s="30" t="s">
        <v>1141</v>
      </c>
      <c r="F234" s="30" t="s">
        <v>1062</v>
      </c>
      <c r="G234" s="30" t="s">
        <v>1062</v>
      </c>
      <c r="H234" s="30" t="s">
        <v>1059</v>
      </c>
    </row>
    <row r="235" spans="1:8" ht="15.75" x14ac:dyDescent="0.25">
      <c r="A235" s="31">
        <v>232</v>
      </c>
      <c r="B235" s="30" t="s">
        <v>1195</v>
      </c>
      <c r="C235" s="30" t="s">
        <v>1196</v>
      </c>
      <c r="D235" s="30" t="s">
        <v>1141</v>
      </c>
      <c r="E235" s="30" t="s">
        <v>1143</v>
      </c>
      <c r="F235" s="30" t="s">
        <v>1062</v>
      </c>
      <c r="G235" s="30" t="s">
        <v>1065</v>
      </c>
      <c r="H235" s="30" t="s">
        <v>1065</v>
      </c>
    </row>
    <row r="236" spans="1:8" ht="15.75" x14ac:dyDescent="0.25">
      <c r="A236" s="31">
        <v>233</v>
      </c>
      <c r="B236" s="30" t="s">
        <v>1195</v>
      </c>
      <c r="C236" s="30" t="s">
        <v>1196</v>
      </c>
      <c r="D236" s="30" t="s">
        <v>1143</v>
      </c>
      <c r="E236" s="30" t="s">
        <v>1144</v>
      </c>
      <c r="F236" s="30" t="s">
        <v>1062</v>
      </c>
      <c r="G236" s="30" t="s">
        <v>1065</v>
      </c>
      <c r="H236" s="30" t="s">
        <v>1068</v>
      </c>
    </row>
    <row r="237" spans="1:8" ht="15.75" x14ac:dyDescent="0.25">
      <c r="A237" s="31">
        <v>234</v>
      </c>
      <c r="B237" s="30" t="s">
        <v>1195</v>
      </c>
      <c r="C237" s="30" t="s">
        <v>1196</v>
      </c>
      <c r="D237" s="30" t="s">
        <v>1144</v>
      </c>
      <c r="E237" s="30" t="s">
        <v>1145</v>
      </c>
      <c r="F237" s="30" t="s">
        <v>1062</v>
      </c>
      <c r="G237" s="30" t="s">
        <v>1065</v>
      </c>
      <c r="H237" s="30" t="s">
        <v>1046</v>
      </c>
    </row>
    <row r="238" spans="1:8" ht="15.75" x14ac:dyDescent="0.25">
      <c r="A238" s="31">
        <v>235</v>
      </c>
      <c r="B238" s="30" t="s">
        <v>1195</v>
      </c>
      <c r="C238" s="30" t="s">
        <v>1196</v>
      </c>
      <c r="D238" s="30" t="s">
        <v>1145</v>
      </c>
      <c r="E238" s="30" t="s">
        <v>1146</v>
      </c>
      <c r="F238" s="30" t="s">
        <v>1062</v>
      </c>
      <c r="G238" s="30" t="s">
        <v>1065</v>
      </c>
      <c r="H238" s="30" t="s">
        <v>1048</v>
      </c>
    </row>
    <row r="239" spans="1:8" ht="15.75" x14ac:dyDescent="0.25">
      <c r="A239" s="31">
        <v>236</v>
      </c>
      <c r="B239" s="30" t="s">
        <v>1195</v>
      </c>
      <c r="C239" s="30" t="s">
        <v>1196</v>
      </c>
      <c r="D239" s="30" t="s">
        <v>1146</v>
      </c>
      <c r="E239" s="30" t="s">
        <v>1175</v>
      </c>
      <c r="F239" s="30" t="s">
        <v>1062</v>
      </c>
      <c r="G239" s="30" t="s">
        <v>1065</v>
      </c>
      <c r="H239" s="30" t="s">
        <v>1051</v>
      </c>
    </row>
    <row r="240" spans="1:8" ht="15.75" x14ac:dyDescent="0.25">
      <c r="A240" s="31">
        <v>237</v>
      </c>
      <c r="B240" s="30" t="s">
        <v>1195</v>
      </c>
      <c r="C240" s="30" t="s">
        <v>1196</v>
      </c>
      <c r="D240" s="30" t="s">
        <v>1175</v>
      </c>
      <c r="E240" s="30" t="s">
        <v>1176</v>
      </c>
      <c r="F240" s="30" t="s">
        <v>1062</v>
      </c>
      <c r="G240" s="30" t="s">
        <v>1065</v>
      </c>
      <c r="H240" s="30" t="s">
        <v>1054</v>
      </c>
    </row>
    <row r="241" spans="1:8" ht="15.75" x14ac:dyDescent="0.25">
      <c r="A241" s="31">
        <v>238</v>
      </c>
      <c r="B241" s="30" t="s">
        <v>1195</v>
      </c>
      <c r="C241" s="30" t="s">
        <v>1196</v>
      </c>
      <c r="D241" s="30" t="s">
        <v>1176</v>
      </c>
      <c r="E241" s="30" t="s">
        <v>1149</v>
      </c>
      <c r="F241" s="30" t="s">
        <v>1062</v>
      </c>
      <c r="G241" s="30" t="s">
        <v>1065</v>
      </c>
      <c r="H241" s="30" t="s">
        <v>1045</v>
      </c>
    </row>
    <row r="242" spans="1:8" ht="15.75" x14ac:dyDescent="0.25">
      <c r="A242" s="31">
        <v>239</v>
      </c>
      <c r="B242" s="30" t="s">
        <v>1195</v>
      </c>
      <c r="C242" s="30" t="s">
        <v>1196</v>
      </c>
      <c r="D242" s="30" t="s">
        <v>1149</v>
      </c>
      <c r="E242" s="30" t="s">
        <v>1150</v>
      </c>
      <c r="F242" s="30" t="s">
        <v>1062</v>
      </c>
      <c r="G242" s="30" t="s">
        <v>1065</v>
      </c>
      <c r="H242" s="30" t="s">
        <v>1059</v>
      </c>
    </row>
    <row r="243" spans="1:8" ht="15.75" x14ac:dyDescent="0.25">
      <c r="A243" s="31">
        <v>240</v>
      </c>
      <c r="B243" s="30" t="s">
        <v>1195</v>
      </c>
      <c r="C243" s="30" t="s">
        <v>1196</v>
      </c>
      <c r="D243" s="30" t="s">
        <v>1150</v>
      </c>
      <c r="E243" s="30" t="s">
        <v>1151</v>
      </c>
      <c r="F243" s="30" t="s">
        <v>1062</v>
      </c>
      <c r="G243" s="30" t="s">
        <v>1065</v>
      </c>
      <c r="H243" s="30" t="s">
        <v>1062</v>
      </c>
    </row>
    <row r="244" spans="1:8" ht="15.75" x14ac:dyDescent="0.25">
      <c r="A244" s="31">
        <v>241</v>
      </c>
      <c r="B244" s="30" t="s">
        <v>1195</v>
      </c>
      <c r="C244" s="30" t="s">
        <v>1197</v>
      </c>
      <c r="D244" s="30" t="s">
        <v>1151</v>
      </c>
      <c r="E244" s="30" t="s">
        <v>1178</v>
      </c>
      <c r="F244" s="30" t="s">
        <v>1062</v>
      </c>
      <c r="G244" s="30" t="s">
        <v>1068</v>
      </c>
      <c r="H244" s="30" t="s">
        <v>1068</v>
      </c>
    </row>
    <row r="245" spans="1:8" ht="15.75" x14ac:dyDescent="0.25">
      <c r="A245" s="31">
        <v>242</v>
      </c>
      <c r="B245" s="30" t="s">
        <v>1195</v>
      </c>
      <c r="C245" s="30" t="s">
        <v>1197</v>
      </c>
      <c r="D245" s="30" t="s">
        <v>1178</v>
      </c>
      <c r="E245" s="30" t="s">
        <v>1154</v>
      </c>
      <c r="F245" s="30" t="s">
        <v>1062</v>
      </c>
      <c r="G245" s="30" t="s">
        <v>1068</v>
      </c>
      <c r="H245" s="30" t="s">
        <v>1046</v>
      </c>
    </row>
    <row r="246" spans="1:8" ht="15.75" x14ac:dyDescent="0.25">
      <c r="A246" s="31">
        <v>243</v>
      </c>
      <c r="B246" s="30" t="s">
        <v>1195</v>
      </c>
      <c r="C246" s="30" t="s">
        <v>1197</v>
      </c>
      <c r="D246" s="30" t="s">
        <v>1154</v>
      </c>
      <c r="E246" s="30" t="s">
        <v>1155</v>
      </c>
      <c r="F246" s="30" t="s">
        <v>1062</v>
      </c>
      <c r="G246" s="30" t="s">
        <v>1068</v>
      </c>
      <c r="H246" s="30" t="s">
        <v>1048</v>
      </c>
    </row>
    <row r="247" spans="1:8" ht="15.75" x14ac:dyDescent="0.25">
      <c r="A247" s="31">
        <v>244</v>
      </c>
      <c r="B247" s="32" t="s">
        <v>1195</v>
      </c>
      <c r="C247" s="30" t="s">
        <v>1197</v>
      </c>
      <c r="D247" s="32" t="s">
        <v>1155</v>
      </c>
      <c r="E247" s="32" t="s">
        <v>1156</v>
      </c>
      <c r="F247" s="32" t="s">
        <v>1062</v>
      </c>
      <c r="G247" s="32" t="s">
        <v>1068</v>
      </c>
      <c r="H247" s="32" t="s">
        <v>1051</v>
      </c>
    </row>
    <row r="248" spans="1:8" ht="15.75" x14ac:dyDescent="0.25">
      <c r="A248" s="31">
        <v>245</v>
      </c>
      <c r="B248" s="30" t="s">
        <v>1195</v>
      </c>
      <c r="C248" s="30" t="s">
        <v>1197</v>
      </c>
      <c r="D248" s="30" t="s">
        <v>1156</v>
      </c>
      <c r="E248" s="30" t="s">
        <v>1110</v>
      </c>
      <c r="F248" s="30" t="s">
        <v>1062</v>
      </c>
      <c r="G248" s="30" t="s">
        <v>1068</v>
      </c>
      <c r="H248" s="30" t="s">
        <v>1054</v>
      </c>
    </row>
    <row r="249" spans="1:8" ht="15.75" x14ac:dyDescent="0.25">
      <c r="A249" s="31">
        <v>246</v>
      </c>
      <c r="B249" s="30" t="s">
        <v>1195</v>
      </c>
      <c r="C249" s="30" t="s">
        <v>1197</v>
      </c>
      <c r="D249" s="30" t="s">
        <v>1110</v>
      </c>
      <c r="E249" s="30" t="s">
        <v>1113</v>
      </c>
      <c r="F249" s="30" t="s">
        <v>1062</v>
      </c>
      <c r="G249" s="30" t="s">
        <v>1068</v>
      </c>
      <c r="H249" s="30" t="s">
        <v>1045</v>
      </c>
    </row>
    <row r="250" spans="1:8" ht="15.75" x14ac:dyDescent="0.25">
      <c r="A250" s="31">
        <v>247</v>
      </c>
      <c r="B250" s="30" t="s">
        <v>1195</v>
      </c>
      <c r="C250" s="30" t="s">
        <v>1197</v>
      </c>
      <c r="D250" s="30" t="s">
        <v>1113</v>
      </c>
      <c r="E250" s="30" t="s">
        <v>1114</v>
      </c>
      <c r="F250" s="30" t="s">
        <v>1062</v>
      </c>
      <c r="G250" s="30" t="s">
        <v>1068</v>
      </c>
      <c r="H250" s="30" t="s">
        <v>1059</v>
      </c>
    </row>
    <row r="251" spans="1:8" ht="15.75" x14ac:dyDescent="0.25">
      <c r="A251" s="31">
        <v>248</v>
      </c>
      <c r="B251" s="30" t="s">
        <v>1195</v>
      </c>
      <c r="C251" s="30" t="s">
        <v>1197</v>
      </c>
      <c r="D251" s="30" t="s">
        <v>1114</v>
      </c>
      <c r="E251" s="30" t="s">
        <v>1115</v>
      </c>
      <c r="F251" s="30" t="s">
        <v>1062</v>
      </c>
      <c r="G251" s="30" t="s">
        <v>1068</v>
      </c>
      <c r="H251" s="30" t="s">
        <v>1062</v>
      </c>
    </row>
    <row r="252" spans="1:8" ht="15.75" x14ac:dyDescent="0.25">
      <c r="A252" s="31">
        <v>249</v>
      </c>
      <c r="B252" s="30" t="s">
        <v>1195</v>
      </c>
      <c r="C252" s="30" t="s">
        <v>1197</v>
      </c>
      <c r="D252" s="30" t="s">
        <v>1198</v>
      </c>
      <c r="E252" s="30" t="s">
        <v>1088</v>
      </c>
      <c r="F252" s="30" t="s">
        <v>1062</v>
      </c>
      <c r="G252" s="30" t="s">
        <v>1068</v>
      </c>
      <c r="H252" s="30" t="s">
        <v>1065</v>
      </c>
    </row>
  </sheetData>
  <mergeCells count="2">
    <mergeCell ref="A1:H1"/>
    <mergeCell ref="A2:H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F598A-8191-433D-996C-F4C71DD3BB04}">
  <dimension ref="A1:L24"/>
  <sheetViews>
    <sheetView workbookViewId="0">
      <selection activeCell="H13" sqref="H13"/>
    </sheetView>
  </sheetViews>
  <sheetFormatPr defaultColWidth="15.28515625" defaultRowHeight="15.75" x14ac:dyDescent="0.25"/>
  <cols>
    <col min="1" max="1" width="19.140625" style="49" customWidth="1"/>
    <col min="2" max="2" width="11.5703125" style="49" bestFit="1" customWidth="1"/>
    <col min="3" max="3" width="11.85546875" style="49" bestFit="1" customWidth="1"/>
    <col min="4" max="4" width="9.5703125" style="49" bestFit="1" customWidth="1"/>
    <col min="5" max="5" width="11.5703125" style="49" bestFit="1" customWidth="1"/>
    <col min="6" max="6" width="9.7109375" style="49" bestFit="1" customWidth="1"/>
    <col min="7" max="7" width="11.85546875" style="49" bestFit="1" customWidth="1"/>
    <col min="8" max="8" width="11.5703125" style="49" bestFit="1" customWidth="1"/>
    <col min="9" max="9" width="12" style="49" bestFit="1" customWidth="1"/>
    <col min="10" max="10" width="15.140625" style="49" bestFit="1" customWidth="1"/>
    <col min="11" max="11" width="11.5703125" style="49" bestFit="1" customWidth="1"/>
    <col min="12" max="16384" width="15.28515625" style="49"/>
  </cols>
  <sheetData>
    <row r="1" spans="1:12" x14ac:dyDescent="0.25">
      <c r="A1" s="225" t="s">
        <v>1291</v>
      </c>
      <c r="B1" s="214"/>
      <c r="C1" s="226"/>
      <c r="D1" s="227" t="s">
        <v>1292</v>
      </c>
      <c r="E1" s="217"/>
      <c r="F1" s="218"/>
      <c r="G1" s="228" t="s">
        <v>1293</v>
      </c>
      <c r="H1" s="229"/>
      <c r="I1" s="230"/>
      <c r="J1" s="231" t="s">
        <v>1294</v>
      </c>
      <c r="K1" s="232"/>
      <c r="L1" s="233"/>
    </row>
    <row r="2" spans="1:12" x14ac:dyDescent="0.25">
      <c r="A2" s="50" t="s">
        <v>1295</v>
      </c>
      <c r="B2" s="51" t="s">
        <v>1296</v>
      </c>
      <c r="C2" s="52" t="s">
        <v>1297</v>
      </c>
      <c r="D2" s="53" t="s">
        <v>1298</v>
      </c>
      <c r="E2" s="54" t="s">
        <v>1299</v>
      </c>
      <c r="F2" s="55" t="s">
        <v>1300</v>
      </c>
      <c r="G2" s="56" t="s">
        <v>1301</v>
      </c>
      <c r="H2" s="57" t="s">
        <v>1302</v>
      </c>
      <c r="I2" s="58" t="s">
        <v>1303</v>
      </c>
      <c r="J2" s="59" t="s">
        <v>1295</v>
      </c>
      <c r="K2" s="60" t="s">
        <v>1299</v>
      </c>
      <c r="L2" s="61" t="s">
        <v>1304</v>
      </c>
    </row>
    <row r="3" spans="1:12" x14ac:dyDescent="0.25">
      <c r="A3" s="50" t="s">
        <v>1305</v>
      </c>
      <c r="B3" s="62" t="s">
        <v>1306</v>
      </c>
      <c r="C3" s="63" t="s">
        <v>1307</v>
      </c>
      <c r="D3" s="53" t="s">
        <v>1305</v>
      </c>
      <c r="E3" s="64" t="s">
        <v>1308</v>
      </c>
      <c r="F3" s="65" t="s">
        <v>1309</v>
      </c>
      <c r="G3" s="56" t="s">
        <v>1310</v>
      </c>
      <c r="H3" s="66" t="s">
        <v>1311</v>
      </c>
      <c r="I3" s="67" t="s">
        <v>1312</v>
      </c>
      <c r="J3" s="59" t="s">
        <v>1313</v>
      </c>
      <c r="K3" s="68" t="s">
        <v>1314</v>
      </c>
      <c r="L3" s="69" t="s">
        <v>1315</v>
      </c>
    </row>
    <row r="4" spans="1:12" x14ac:dyDescent="0.25">
      <c r="A4" s="50" t="s">
        <v>1316</v>
      </c>
      <c r="B4" s="70" t="s">
        <v>1317</v>
      </c>
      <c r="C4" s="71" t="s">
        <v>1318</v>
      </c>
      <c r="D4" s="53" t="s">
        <v>1319</v>
      </c>
      <c r="E4" s="54" t="s">
        <v>1320</v>
      </c>
      <c r="F4" s="72" t="s">
        <v>1321</v>
      </c>
      <c r="G4" s="56" t="s">
        <v>1322</v>
      </c>
      <c r="H4" s="73" t="s">
        <v>1323</v>
      </c>
      <c r="I4" s="74" t="s">
        <v>1324</v>
      </c>
      <c r="J4" s="59" t="s">
        <v>1325</v>
      </c>
      <c r="K4" s="75" t="s">
        <v>1326</v>
      </c>
      <c r="L4" s="76" t="s">
        <v>1327</v>
      </c>
    </row>
    <row r="5" spans="1:12" x14ac:dyDescent="0.25">
      <c r="A5" s="50" t="s">
        <v>1328</v>
      </c>
      <c r="B5" s="70" t="s">
        <v>1329</v>
      </c>
      <c r="C5" s="77" t="s">
        <v>1330</v>
      </c>
      <c r="D5" s="53" t="s">
        <v>1331</v>
      </c>
      <c r="E5" s="54" t="s">
        <v>1332</v>
      </c>
      <c r="F5" s="78" t="s">
        <v>1333</v>
      </c>
      <c r="G5" s="56" t="s">
        <v>1334</v>
      </c>
      <c r="H5" s="73" t="s">
        <v>1335</v>
      </c>
      <c r="I5" s="67" t="s">
        <v>1336</v>
      </c>
      <c r="J5" s="59" t="s">
        <v>1337</v>
      </c>
      <c r="K5" s="75" t="s">
        <v>1338</v>
      </c>
      <c r="L5" s="79" t="s">
        <v>1339</v>
      </c>
    </row>
    <row r="6" spans="1:12" ht="16.5" thickBot="1" x14ac:dyDescent="0.3">
      <c r="A6" s="80" t="s">
        <v>1340</v>
      </c>
      <c r="B6" s="81" t="s">
        <v>1341</v>
      </c>
      <c r="C6" s="82" t="s">
        <v>1342</v>
      </c>
      <c r="D6" s="83" t="s">
        <v>1322</v>
      </c>
      <c r="E6" s="84" t="s">
        <v>1343</v>
      </c>
      <c r="F6" s="85" t="s">
        <v>1324</v>
      </c>
      <c r="G6" s="86" t="s">
        <v>1325</v>
      </c>
      <c r="H6" s="87" t="s">
        <v>1344</v>
      </c>
      <c r="I6" s="88" t="s">
        <v>1327</v>
      </c>
      <c r="J6" s="89" t="s">
        <v>1345</v>
      </c>
      <c r="K6" s="90" t="s">
        <v>1346</v>
      </c>
      <c r="L6" s="91" t="s">
        <v>1342</v>
      </c>
    </row>
    <row r="7" spans="1:12" x14ac:dyDescent="0.25">
      <c r="A7" s="234" t="s">
        <v>1347</v>
      </c>
      <c r="B7" s="235"/>
      <c r="C7" s="236"/>
      <c r="D7" s="92"/>
      <c r="E7" s="92"/>
      <c r="F7" s="92"/>
      <c r="G7" s="93"/>
      <c r="H7" s="93"/>
      <c r="I7" s="93"/>
      <c r="J7" s="237" t="s">
        <v>1348</v>
      </c>
      <c r="K7" s="238"/>
      <c r="L7" s="239"/>
    </row>
    <row r="8" spans="1:12" x14ac:dyDescent="0.25">
      <c r="A8" s="94" t="s">
        <v>1298</v>
      </c>
      <c r="B8" s="95" t="s">
        <v>1296</v>
      </c>
      <c r="C8" s="96" t="s">
        <v>1349</v>
      </c>
      <c r="D8" s="92"/>
      <c r="E8" s="93"/>
      <c r="F8" s="92"/>
      <c r="G8" s="93"/>
      <c r="H8" s="93"/>
      <c r="I8" s="93"/>
      <c r="J8" s="97" t="s">
        <v>1301</v>
      </c>
      <c r="K8" s="98" t="s">
        <v>1296</v>
      </c>
      <c r="L8" s="99" t="s">
        <v>1350</v>
      </c>
    </row>
    <row r="9" spans="1:12" x14ac:dyDescent="0.25">
      <c r="A9" s="94" t="s">
        <v>1310</v>
      </c>
      <c r="B9" s="100" t="s">
        <v>1314</v>
      </c>
      <c r="C9" s="101" t="s">
        <v>1315</v>
      </c>
      <c r="D9" s="92"/>
      <c r="E9" s="92"/>
      <c r="F9" s="92"/>
      <c r="G9" s="93"/>
      <c r="H9" s="93"/>
      <c r="I9" s="93"/>
      <c r="J9" s="97" t="s">
        <v>1305</v>
      </c>
      <c r="K9" s="102" t="s">
        <v>1306</v>
      </c>
      <c r="L9" s="103" t="s">
        <v>1307</v>
      </c>
    </row>
    <row r="10" spans="1:12" x14ac:dyDescent="0.25">
      <c r="A10" s="94" t="s">
        <v>1340</v>
      </c>
      <c r="B10" s="104" t="s">
        <v>1351</v>
      </c>
      <c r="C10" s="105" t="s">
        <v>1342</v>
      </c>
      <c r="D10" s="93"/>
      <c r="E10" s="92"/>
      <c r="F10" s="92"/>
      <c r="G10" s="93"/>
      <c r="H10" s="93"/>
      <c r="I10" s="93"/>
      <c r="J10" s="97" t="s">
        <v>1345</v>
      </c>
      <c r="K10" s="106" t="s">
        <v>1341</v>
      </c>
      <c r="L10" s="107" t="s">
        <v>1342</v>
      </c>
    </row>
    <row r="11" spans="1:12" x14ac:dyDescent="0.25">
      <c r="A11" s="94" t="s">
        <v>1352</v>
      </c>
      <c r="B11" s="104" t="s">
        <v>1353</v>
      </c>
      <c r="C11" s="108" t="s">
        <v>1339</v>
      </c>
      <c r="D11" s="92"/>
      <c r="E11" s="92"/>
      <c r="F11" s="92"/>
      <c r="G11" s="93"/>
      <c r="H11" s="93"/>
      <c r="I11" s="93"/>
      <c r="J11" s="97" t="s">
        <v>1354</v>
      </c>
      <c r="K11" s="106" t="s">
        <v>1329</v>
      </c>
      <c r="L11" s="109" t="s">
        <v>1330</v>
      </c>
    </row>
    <row r="12" spans="1:12" ht="16.5" thickBot="1" x14ac:dyDescent="0.3">
      <c r="A12" s="110" t="s">
        <v>1355</v>
      </c>
      <c r="B12" s="111" t="s">
        <v>1356</v>
      </c>
      <c r="C12" s="112" t="s">
        <v>1327</v>
      </c>
      <c r="D12" s="93"/>
      <c r="E12" s="93"/>
      <c r="F12" s="92"/>
      <c r="G12" s="93"/>
      <c r="H12" s="93"/>
      <c r="I12" s="93"/>
      <c r="J12" s="113" t="s">
        <v>1357</v>
      </c>
      <c r="K12" s="114" t="s">
        <v>1317</v>
      </c>
      <c r="L12" s="115" t="s">
        <v>1318</v>
      </c>
    </row>
    <row r="13" spans="1:12" x14ac:dyDescent="0.25">
      <c r="A13" s="207" t="s">
        <v>1358</v>
      </c>
      <c r="B13" s="208"/>
      <c r="C13" s="209"/>
      <c r="D13" s="92"/>
      <c r="E13" s="92"/>
      <c r="F13" s="92"/>
      <c r="G13" s="47"/>
      <c r="H13" s="116"/>
      <c r="I13" s="116"/>
      <c r="J13" s="210" t="s">
        <v>1359</v>
      </c>
      <c r="K13" s="211"/>
      <c r="L13" s="212"/>
    </row>
    <row r="14" spans="1:12" x14ac:dyDescent="0.25">
      <c r="A14" s="117" t="s">
        <v>1301</v>
      </c>
      <c r="B14" s="118" t="s">
        <v>1302</v>
      </c>
      <c r="C14" s="119" t="s">
        <v>1360</v>
      </c>
      <c r="D14" s="92"/>
      <c r="E14" s="92"/>
      <c r="F14" s="92"/>
      <c r="G14" s="120"/>
      <c r="H14" s="120"/>
      <c r="I14" s="120"/>
      <c r="J14" s="121" t="s">
        <v>1298</v>
      </c>
      <c r="K14" s="122" t="s">
        <v>1299</v>
      </c>
      <c r="L14" s="123" t="s">
        <v>1361</v>
      </c>
    </row>
    <row r="15" spans="1:12" x14ac:dyDescent="0.25">
      <c r="A15" s="117" t="s">
        <v>1305</v>
      </c>
      <c r="B15" s="124" t="s">
        <v>1311</v>
      </c>
      <c r="C15" s="125" t="s">
        <v>1312</v>
      </c>
      <c r="D15" s="92"/>
      <c r="E15" s="92"/>
      <c r="F15" s="92"/>
      <c r="G15" s="120"/>
      <c r="H15" s="120"/>
      <c r="I15" s="120"/>
      <c r="J15" s="121" t="s">
        <v>1310</v>
      </c>
      <c r="K15" s="122" t="s">
        <v>1308</v>
      </c>
      <c r="L15" s="123" t="s">
        <v>1312</v>
      </c>
    </row>
    <row r="16" spans="1:12" x14ac:dyDescent="0.25">
      <c r="A16" s="117" t="s">
        <v>1355</v>
      </c>
      <c r="B16" s="126" t="s">
        <v>1362</v>
      </c>
      <c r="C16" s="127" t="s">
        <v>1327</v>
      </c>
      <c r="D16" s="93"/>
      <c r="E16" s="93"/>
      <c r="F16" s="92"/>
      <c r="G16" s="120"/>
      <c r="H16" s="120"/>
      <c r="I16" s="128"/>
      <c r="J16" s="121" t="s">
        <v>1363</v>
      </c>
      <c r="K16" s="122" t="s">
        <v>1320</v>
      </c>
      <c r="L16" s="123" t="s">
        <v>1321</v>
      </c>
    </row>
    <row r="17" spans="1:12" x14ac:dyDescent="0.25">
      <c r="A17" s="117" t="s">
        <v>1364</v>
      </c>
      <c r="B17" s="126" t="s">
        <v>1365</v>
      </c>
      <c r="C17" s="129" t="s">
        <v>1336</v>
      </c>
      <c r="D17" s="92"/>
      <c r="E17" s="92"/>
      <c r="F17" s="92"/>
      <c r="G17" s="120"/>
      <c r="H17" s="120"/>
      <c r="I17" s="130"/>
      <c r="J17" s="121" t="s">
        <v>1366</v>
      </c>
      <c r="K17" s="122" t="s">
        <v>1367</v>
      </c>
      <c r="L17" s="123" t="s">
        <v>1333</v>
      </c>
    </row>
    <row r="18" spans="1:12" ht="16.5" thickBot="1" x14ac:dyDescent="0.3">
      <c r="A18" s="131" t="s">
        <v>1368</v>
      </c>
      <c r="B18" s="132" t="s">
        <v>1323</v>
      </c>
      <c r="C18" s="133" t="s">
        <v>1324</v>
      </c>
      <c r="D18" s="93"/>
      <c r="E18" s="92"/>
      <c r="F18" s="92"/>
      <c r="G18" s="120"/>
      <c r="H18" s="120"/>
      <c r="I18" s="120"/>
      <c r="J18" s="134" t="s">
        <v>1369</v>
      </c>
      <c r="K18" s="135" t="s">
        <v>1370</v>
      </c>
      <c r="L18" s="136" t="s">
        <v>1324</v>
      </c>
    </row>
    <row r="19" spans="1:12" x14ac:dyDescent="0.25">
      <c r="A19" s="213" t="s">
        <v>1371</v>
      </c>
      <c r="B19" s="214"/>
      <c r="C19" s="215"/>
      <c r="D19" s="216" t="s">
        <v>1372</v>
      </c>
      <c r="E19" s="217"/>
      <c r="F19" s="218"/>
      <c r="G19" s="219" t="s">
        <v>1373</v>
      </c>
      <c r="H19" s="220"/>
      <c r="I19" s="221"/>
      <c r="J19" s="222" t="s">
        <v>1374</v>
      </c>
      <c r="K19" s="223"/>
      <c r="L19" s="224"/>
    </row>
    <row r="20" spans="1:12" x14ac:dyDescent="0.25">
      <c r="A20" s="137" t="s">
        <v>1295</v>
      </c>
      <c r="B20" s="138" t="s">
        <v>1302</v>
      </c>
      <c r="C20" s="139" t="s">
        <v>1375</v>
      </c>
      <c r="D20" s="140" t="s">
        <v>1301</v>
      </c>
      <c r="E20" s="64" t="s">
        <v>1296</v>
      </c>
      <c r="F20" s="55" t="s">
        <v>1376</v>
      </c>
      <c r="G20" s="141" t="s">
        <v>1298</v>
      </c>
      <c r="H20" s="142" t="s">
        <v>1302</v>
      </c>
      <c r="I20" s="58" t="s">
        <v>1377</v>
      </c>
      <c r="J20" s="143" t="s">
        <v>1295</v>
      </c>
      <c r="K20" s="144" t="s">
        <v>1299</v>
      </c>
      <c r="L20" s="61" t="s">
        <v>1378</v>
      </c>
    </row>
    <row r="21" spans="1:12" x14ac:dyDescent="0.25">
      <c r="A21" s="137" t="s">
        <v>1313</v>
      </c>
      <c r="B21" s="51" t="s">
        <v>1308</v>
      </c>
      <c r="C21" s="145" t="s">
        <v>1312</v>
      </c>
      <c r="D21" s="140" t="s">
        <v>1310</v>
      </c>
      <c r="E21" s="146" t="s">
        <v>1306</v>
      </c>
      <c r="F21" s="147" t="s">
        <v>1307</v>
      </c>
      <c r="G21" s="141" t="s">
        <v>1305</v>
      </c>
      <c r="H21" s="148" t="s">
        <v>1314</v>
      </c>
      <c r="I21" s="149" t="s">
        <v>1315</v>
      </c>
      <c r="J21" s="143" t="s">
        <v>1313</v>
      </c>
      <c r="K21" s="150" t="s">
        <v>1379</v>
      </c>
      <c r="L21" s="151" t="s">
        <v>1315</v>
      </c>
    </row>
    <row r="22" spans="1:12" x14ac:dyDescent="0.25">
      <c r="A22" s="137" t="s">
        <v>1368</v>
      </c>
      <c r="B22" s="152" t="s">
        <v>1343</v>
      </c>
      <c r="C22" s="153" t="s">
        <v>1324</v>
      </c>
      <c r="D22" s="140" t="s">
        <v>1380</v>
      </c>
      <c r="E22" s="154" t="s">
        <v>1317</v>
      </c>
      <c r="F22" s="65" t="s">
        <v>1318</v>
      </c>
      <c r="G22" s="141" t="s">
        <v>1381</v>
      </c>
      <c r="H22" s="155" t="s">
        <v>1351</v>
      </c>
      <c r="I22" s="156" t="s">
        <v>1342</v>
      </c>
      <c r="J22" s="143" t="s">
        <v>1369</v>
      </c>
      <c r="K22" s="157" t="s">
        <v>1323</v>
      </c>
      <c r="L22" s="76" t="s">
        <v>1324</v>
      </c>
    </row>
    <row r="23" spans="1:12" x14ac:dyDescent="0.25">
      <c r="A23" s="137" t="s">
        <v>1382</v>
      </c>
      <c r="B23" s="152" t="s">
        <v>1332</v>
      </c>
      <c r="C23" s="158" t="s">
        <v>1333</v>
      </c>
      <c r="D23" s="140" t="s">
        <v>1383</v>
      </c>
      <c r="E23" s="154" t="s">
        <v>1329</v>
      </c>
      <c r="F23" s="159" t="s">
        <v>1330</v>
      </c>
      <c r="G23" s="141" t="s">
        <v>1384</v>
      </c>
      <c r="H23" s="155" t="s">
        <v>1353</v>
      </c>
      <c r="I23" s="160" t="s">
        <v>1339</v>
      </c>
      <c r="J23" s="143" t="s">
        <v>1385</v>
      </c>
      <c r="K23" s="157" t="s">
        <v>1335</v>
      </c>
      <c r="L23" s="161" t="s">
        <v>1336</v>
      </c>
    </row>
    <row r="24" spans="1:12" ht="16.5" thickBot="1" x14ac:dyDescent="0.3">
      <c r="A24" s="162" t="s">
        <v>1386</v>
      </c>
      <c r="B24" s="163" t="s">
        <v>1320</v>
      </c>
      <c r="C24" s="164" t="s">
        <v>1321</v>
      </c>
      <c r="D24" s="165" t="s">
        <v>1387</v>
      </c>
      <c r="E24" s="166" t="s">
        <v>1341</v>
      </c>
      <c r="F24" s="167" t="s">
        <v>1342</v>
      </c>
      <c r="G24" s="168" t="s">
        <v>1388</v>
      </c>
      <c r="H24" s="169" t="s">
        <v>1356</v>
      </c>
      <c r="I24" s="88" t="s">
        <v>1327</v>
      </c>
      <c r="J24" s="170" t="s">
        <v>1388</v>
      </c>
      <c r="K24" s="171" t="s">
        <v>1344</v>
      </c>
      <c r="L24" s="172" t="s">
        <v>1327</v>
      </c>
    </row>
  </sheetData>
  <mergeCells count="12">
    <mergeCell ref="A1:C1"/>
    <mergeCell ref="D1:F1"/>
    <mergeCell ref="G1:I1"/>
    <mergeCell ref="J1:L1"/>
    <mergeCell ref="A7:C7"/>
    <mergeCell ref="J7:L7"/>
    <mergeCell ref="A13:C13"/>
    <mergeCell ref="J13:L13"/>
    <mergeCell ref="A19:C19"/>
    <mergeCell ref="D19:F19"/>
    <mergeCell ref="G19:I19"/>
    <mergeCell ref="J19:L1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59AF-819A-4CAB-BE3C-15A6A8D4D135}">
  <dimension ref="A1:B8"/>
  <sheetViews>
    <sheetView topLeftCell="A5" workbookViewId="0">
      <selection activeCell="B8" sqref="B8"/>
    </sheetView>
  </sheetViews>
  <sheetFormatPr defaultRowHeight="15" x14ac:dyDescent="0.25"/>
  <cols>
    <col min="1" max="1" width="10" bestFit="1" customWidth="1"/>
    <col min="2" max="2" width="137.7109375" customWidth="1"/>
  </cols>
  <sheetData>
    <row r="1" spans="1:2" ht="105" x14ac:dyDescent="0.25">
      <c r="A1" t="s">
        <v>3</v>
      </c>
      <c r="B1" s="16" t="s">
        <v>1722</v>
      </c>
    </row>
    <row r="2" spans="1:2" ht="150" x14ac:dyDescent="0.25">
      <c r="A2" t="s">
        <v>28</v>
      </c>
      <c r="B2" s="16" t="s">
        <v>1723</v>
      </c>
    </row>
    <row r="3" spans="1:2" ht="90" x14ac:dyDescent="0.25">
      <c r="A3" t="s">
        <v>18</v>
      </c>
      <c r="B3" s="16" t="s">
        <v>1724</v>
      </c>
    </row>
    <row r="4" spans="1:2" ht="90" x14ac:dyDescent="0.25">
      <c r="A4" t="s">
        <v>44</v>
      </c>
      <c r="B4" s="16" t="s">
        <v>1725</v>
      </c>
    </row>
    <row r="5" spans="1:2" ht="60" x14ac:dyDescent="0.25">
      <c r="A5" t="s">
        <v>37</v>
      </c>
      <c r="B5" s="16" t="s">
        <v>1726</v>
      </c>
    </row>
    <row r="6" spans="1:2" ht="120" x14ac:dyDescent="0.25">
      <c r="A6" t="s">
        <v>22</v>
      </c>
      <c r="B6" s="16" t="s">
        <v>1727</v>
      </c>
    </row>
    <row r="7" spans="1:2" ht="105" x14ac:dyDescent="0.25">
      <c r="A7" t="s">
        <v>5</v>
      </c>
      <c r="B7" s="16" t="s">
        <v>1728</v>
      </c>
    </row>
    <row r="8" spans="1:2" ht="105" x14ac:dyDescent="0.25">
      <c r="A8" t="s">
        <v>1729</v>
      </c>
      <c r="B8" s="16" t="s">
        <v>1730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97156-84DF-4FD2-8CF7-246B7E3FA6A5}">
  <dimension ref="A1:C85"/>
  <sheetViews>
    <sheetView workbookViewId="0">
      <selection activeCell="C63" sqref="C63"/>
    </sheetView>
  </sheetViews>
  <sheetFormatPr defaultRowHeight="15" x14ac:dyDescent="0.25"/>
  <cols>
    <col min="1" max="1" width="15.7109375" customWidth="1"/>
    <col min="2" max="2" width="13.7109375" customWidth="1"/>
    <col min="3" max="3" width="98.42578125" style="16" customWidth="1"/>
  </cols>
  <sheetData>
    <row r="1" spans="1:3" ht="42" x14ac:dyDescent="0.35">
      <c r="A1" s="175" t="s">
        <v>1731</v>
      </c>
      <c r="B1" s="175" t="s">
        <v>1732</v>
      </c>
      <c r="C1" s="175" t="s">
        <v>1733</v>
      </c>
    </row>
    <row r="2" spans="1:3" ht="21" x14ac:dyDescent="0.35">
      <c r="A2" s="18" t="s">
        <v>1324</v>
      </c>
      <c r="B2" s="18">
        <v>1</v>
      </c>
      <c r="C2" s="193" t="s">
        <v>1734</v>
      </c>
    </row>
    <row r="3" spans="1:3" ht="21" x14ac:dyDescent="0.35">
      <c r="A3" s="18" t="s">
        <v>1324</v>
      </c>
      <c r="B3" s="18">
        <v>2</v>
      </c>
      <c r="C3" s="175" t="s">
        <v>1735</v>
      </c>
    </row>
    <row r="4" spans="1:3" ht="21" x14ac:dyDescent="0.35">
      <c r="A4" s="18" t="s">
        <v>1324</v>
      </c>
      <c r="B4" s="18">
        <v>3</v>
      </c>
      <c r="C4" s="175" t="s">
        <v>1736</v>
      </c>
    </row>
    <row r="5" spans="1:3" ht="21" x14ac:dyDescent="0.35">
      <c r="A5" s="18" t="s">
        <v>1324</v>
      </c>
      <c r="B5" s="18">
        <v>4</v>
      </c>
      <c r="C5" s="175" t="s">
        <v>1737</v>
      </c>
    </row>
    <row r="6" spans="1:3" ht="21" x14ac:dyDescent="0.35">
      <c r="A6" s="18" t="s">
        <v>1324</v>
      </c>
      <c r="B6" s="18">
        <v>5</v>
      </c>
      <c r="C6" s="175" t="s">
        <v>1738</v>
      </c>
    </row>
    <row r="7" spans="1:3" ht="21" x14ac:dyDescent="0.35">
      <c r="A7" s="18" t="s">
        <v>1324</v>
      </c>
      <c r="B7" s="18">
        <v>6</v>
      </c>
      <c r="C7" s="175" t="s">
        <v>1739</v>
      </c>
    </row>
    <row r="8" spans="1:3" ht="21" x14ac:dyDescent="0.35">
      <c r="A8" s="18" t="s">
        <v>1324</v>
      </c>
      <c r="B8" s="18">
        <v>7</v>
      </c>
      <c r="C8" s="175" t="s">
        <v>1740</v>
      </c>
    </row>
    <row r="9" spans="1:3" ht="21" x14ac:dyDescent="0.35">
      <c r="A9" s="18" t="s">
        <v>1324</v>
      </c>
      <c r="B9" s="18">
        <v>8</v>
      </c>
      <c r="C9" s="175" t="s">
        <v>1740</v>
      </c>
    </row>
    <row r="10" spans="1:3" ht="42" x14ac:dyDescent="0.35">
      <c r="A10" s="18" t="s">
        <v>1324</v>
      </c>
      <c r="B10" s="18">
        <v>9</v>
      </c>
      <c r="C10" s="175" t="s">
        <v>1741</v>
      </c>
    </row>
    <row r="11" spans="1:3" ht="21" x14ac:dyDescent="0.35">
      <c r="A11" s="18" t="s">
        <v>1324</v>
      </c>
      <c r="B11" s="18">
        <v>10</v>
      </c>
      <c r="C11" s="175" t="s">
        <v>1742</v>
      </c>
    </row>
    <row r="12" spans="1:3" ht="21" x14ac:dyDescent="0.35">
      <c r="A12" s="18" t="s">
        <v>1324</v>
      </c>
      <c r="B12" s="18">
        <v>11</v>
      </c>
      <c r="C12" s="175" t="s">
        <v>1743</v>
      </c>
    </row>
    <row r="13" spans="1:3" ht="42" x14ac:dyDescent="0.35">
      <c r="A13" s="18" t="s">
        <v>1324</v>
      </c>
      <c r="B13" s="18">
        <v>12</v>
      </c>
      <c r="C13" s="175" t="s">
        <v>1744</v>
      </c>
    </row>
    <row r="14" spans="1:3" ht="21" x14ac:dyDescent="0.35">
      <c r="A14" s="18" t="s">
        <v>1336</v>
      </c>
      <c r="B14" s="18">
        <v>1</v>
      </c>
      <c r="C14" s="175" t="s">
        <v>1745</v>
      </c>
    </row>
    <row r="15" spans="1:3" ht="21" x14ac:dyDescent="0.35">
      <c r="A15" s="18" t="s">
        <v>1336</v>
      </c>
      <c r="B15" s="18">
        <v>2</v>
      </c>
      <c r="C15" s="175" t="s">
        <v>1746</v>
      </c>
    </row>
    <row r="16" spans="1:3" ht="21" x14ac:dyDescent="0.35">
      <c r="A16" s="18" t="s">
        <v>1336</v>
      </c>
      <c r="B16" s="18">
        <v>3</v>
      </c>
      <c r="C16" s="175" t="s">
        <v>1747</v>
      </c>
    </row>
    <row r="17" spans="1:3" ht="21" x14ac:dyDescent="0.35">
      <c r="A17" s="18" t="s">
        <v>1336</v>
      </c>
      <c r="B17" s="18">
        <v>4</v>
      </c>
      <c r="C17" s="175" t="s">
        <v>1748</v>
      </c>
    </row>
    <row r="18" spans="1:3" ht="21" x14ac:dyDescent="0.35">
      <c r="A18" s="18" t="s">
        <v>1336</v>
      </c>
      <c r="B18" s="18">
        <v>5</v>
      </c>
      <c r="C18" s="175" t="s">
        <v>1749</v>
      </c>
    </row>
    <row r="19" spans="1:3" ht="21" x14ac:dyDescent="0.35">
      <c r="A19" s="18" t="s">
        <v>1336</v>
      </c>
      <c r="B19" s="18">
        <v>6</v>
      </c>
      <c r="C19" s="175" t="s">
        <v>1750</v>
      </c>
    </row>
    <row r="20" spans="1:3" ht="21" x14ac:dyDescent="0.35">
      <c r="A20" s="18" t="s">
        <v>1336</v>
      </c>
      <c r="B20" s="18">
        <v>7</v>
      </c>
      <c r="C20" s="175" t="s">
        <v>1751</v>
      </c>
    </row>
    <row r="21" spans="1:3" ht="21" x14ac:dyDescent="0.35">
      <c r="A21" s="18" t="s">
        <v>1336</v>
      </c>
      <c r="B21" s="18">
        <v>8</v>
      </c>
      <c r="C21" s="175" t="s">
        <v>1752</v>
      </c>
    </row>
    <row r="22" spans="1:3" ht="42" x14ac:dyDescent="0.35">
      <c r="A22" s="18" t="s">
        <v>1336</v>
      </c>
      <c r="B22" s="18">
        <v>9</v>
      </c>
      <c r="C22" s="175" t="s">
        <v>1753</v>
      </c>
    </row>
    <row r="23" spans="1:3" ht="21" x14ac:dyDescent="0.35">
      <c r="A23" s="18" t="s">
        <v>1336</v>
      </c>
      <c r="B23" s="18">
        <v>10</v>
      </c>
      <c r="C23" s="175" t="s">
        <v>1754</v>
      </c>
    </row>
    <row r="24" spans="1:3" ht="21" x14ac:dyDescent="0.35">
      <c r="A24" s="18" t="s">
        <v>1336</v>
      </c>
      <c r="B24" s="18">
        <v>11</v>
      </c>
      <c r="C24" s="175" t="s">
        <v>1755</v>
      </c>
    </row>
    <row r="25" spans="1:3" ht="21" x14ac:dyDescent="0.35">
      <c r="A25" s="18" t="s">
        <v>1336</v>
      </c>
      <c r="B25" s="18">
        <v>12</v>
      </c>
      <c r="C25" s="175" t="s">
        <v>1756</v>
      </c>
    </row>
    <row r="26" spans="1:3" ht="21" x14ac:dyDescent="0.35">
      <c r="A26" s="18" t="s">
        <v>1327</v>
      </c>
      <c r="B26" s="18">
        <v>1</v>
      </c>
      <c r="C26" s="175" t="s">
        <v>1757</v>
      </c>
    </row>
    <row r="27" spans="1:3" ht="21" x14ac:dyDescent="0.35">
      <c r="A27" s="18" t="s">
        <v>1327</v>
      </c>
      <c r="B27" s="18">
        <v>2</v>
      </c>
      <c r="C27" s="175" t="s">
        <v>1758</v>
      </c>
    </row>
    <row r="28" spans="1:3" ht="21" x14ac:dyDescent="0.35">
      <c r="A28" s="18" t="s">
        <v>1327</v>
      </c>
      <c r="B28" s="18">
        <v>3</v>
      </c>
      <c r="C28" s="175" t="s">
        <v>1759</v>
      </c>
    </row>
    <row r="29" spans="1:3" ht="21" x14ac:dyDescent="0.35">
      <c r="A29" s="18" t="s">
        <v>1327</v>
      </c>
      <c r="B29" s="18">
        <v>4</v>
      </c>
      <c r="C29" s="175" t="s">
        <v>1760</v>
      </c>
    </row>
    <row r="30" spans="1:3" ht="42" x14ac:dyDescent="0.35">
      <c r="A30" s="18" t="s">
        <v>1327</v>
      </c>
      <c r="B30" s="18">
        <v>5</v>
      </c>
      <c r="C30" s="175" t="s">
        <v>1761</v>
      </c>
    </row>
    <row r="31" spans="1:3" ht="21" x14ac:dyDescent="0.35">
      <c r="A31" s="18" t="s">
        <v>1327</v>
      </c>
      <c r="B31" s="18">
        <v>6</v>
      </c>
      <c r="C31" s="175" t="s">
        <v>1762</v>
      </c>
    </row>
    <row r="32" spans="1:3" ht="21" x14ac:dyDescent="0.35">
      <c r="A32" s="18" t="s">
        <v>1327</v>
      </c>
      <c r="B32" s="18">
        <v>7</v>
      </c>
      <c r="C32" s="175" t="s">
        <v>1763</v>
      </c>
    </row>
    <row r="33" spans="1:3" ht="21" x14ac:dyDescent="0.35">
      <c r="A33" s="18" t="s">
        <v>1327</v>
      </c>
      <c r="B33" s="18">
        <v>8</v>
      </c>
      <c r="C33" s="175" t="s">
        <v>1764</v>
      </c>
    </row>
    <row r="34" spans="1:3" ht="21" x14ac:dyDescent="0.35">
      <c r="A34" s="18" t="s">
        <v>1327</v>
      </c>
      <c r="B34" s="18">
        <v>9</v>
      </c>
      <c r="C34" s="175" t="s">
        <v>1765</v>
      </c>
    </row>
    <row r="35" spans="1:3" ht="42" x14ac:dyDescent="0.35">
      <c r="A35" s="18" t="s">
        <v>1327</v>
      </c>
      <c r="B35" s="18">
        <v>10</v>
      </c>
      <c r="C35" s="175" t="s">
        <v>1766</v>
      </c>
    </row>
    <row r="36" spans="1:3" ht="21" x14ac:dyDescent="0.35">
      <c r="A36" s="18" t="s">
        <v>1327</v>
      </c>
      <c r="B36" s="18">
        <v>11</v>
      </c>
      <c r="C36" s="175" t="s">
        <v>1767</v>
      </c>
    </row>
    <row r="37" spans="1:3" ht="21" x14ac:dyDescent="0.35">
      <c r="A37" s="18" t="s">
        <v>1327</v>
      </c>
      <c r="B37" s="18">
        <v>12</v>
      </c>
      <c r="C37" s="175" t="s">
        <v>1768</v>
      </c>
    </row>
    <row r="38" spans="1:3" ht="63" x14ac:dyDescent="0.35">
      <c r="A38" s="18" t="s">
        <v>1318</v>
      </c>
      <c r="B38" s="18">
        <v>1</v>
      </c>
      <c r="C38" s="175" t="s">
        <v>1769</v>
      </c>
    </row>
    <row r="39" spans="1:3" ht="21" x14ac:dyDescent="0.35">
      <c r="A39" s="18" t="s">
        <v>1318</v>
      </c>
      <c r="B39" s="18">
        <v>2</v>
      </c>
      <c r="C39" s="175" t="s">
        <v>1770</v>
      </c>
    </row>
    <row r="40" spans="1:3" ht="42" x14ac:dyDescent="0.35">
      <c r="A40" s="18" t="s">
        <v>1318</v>
      </c>
      <c r="B40" s="18">
        <v>3</v>
      </c>
      <c r="C40" s="175" t="s">
        <v>1771</v>
      </c>
    </row>
    <row r="41" spans="1:3" ht="21" x14ac:dyDescent="0.35">
      <c r="A41" s="18" t="s">
        <v>1318</v>
      </c>
      <c r="B41" s="18">
        <v>4</v>
      </c>
      <c r="C41" s="175" t="s">
        <v>1772</v>
      </c>
    </row>
    <row r="42" spans="1:3" ht="42" x14ac:dyDescent="0.35">
      <c r="A42" s="18" t="s">
        <v>1318</v>
      </c>
      <c r="B42" s="18">
        <v>5</v>
      </c>
      <c r="C42" s="175" t="s">
        <v>1773</v>
      </c>
    </row>
    <row r="43" spans="1:3" ht="21" x14ac:dyDescent="0.35">
      <c r="A43" s="18" t="s">
        <v>1318</v>
      </c>
      <c r="B43" s="18">
        <v>6</v>
      </c>
      <c r="C43" s="175" t="s">
        <v>1774</v>
      </c>
    </row>
    <row r="44" spans="1:3" ht="21" x14ac:dyDescent="0.35">
      <c r="A44" s="18" t="s">
        <v>1318</v>
      </c>
      <c r="B44" s="18">
        <v>7</v>
      </c>
      <c r="C44" s="175" t="s">
        <v>1740</v>
      </c>
    </row>
    <row r="45" spans="1:3" ht="21" x14ac:dyDescent="0.35">
      <c r="A45" s="18" t="s">
        <v>1318</v>
      </c>
      <c r="B45" s="18">
        <v>8</v>
      </c>
      <c r="C45" s="175" t="s">
        <v>1775</v>
      </c>
    </row>
    <row r="46" spans="1:3" ht="21" x14ac:dyDescent="0.35">
      <c r="A46" s="18" t="s">
        <v>1318</v>
      </c>
      <c r="B46" s="18">
        <v>9</v>
      </c>
      <c r="C46" s="175" t="s">
        <v>1776</v>
      </c>
    </row>
    <row r="47" spans="1:3" ht="42" x14ac:dyDescent="0.35">
      <c r="A47" s="18" t="s">
        <v>1318</v>
      </c>
      <c r="B47" s="18">
        <v>10</v>
      </c>
      <c r="C47" s="175" t="s">
        <v>1777</v>
      </c>
    </row>
    <row r="48" spans="1:3" ht="42" x14ac:dyDescent="0.35">
      <c r="A48" s="18" t="s">
        <v>1318</v>
      </c>
      <c r="B48" s="18">
        <v>11</v>
      </c>
      <c r="C48" s="175" t="s">
        <v>1778</v>
      </c>
    </row>
    <row r="49" spans="1:3" ht="21" x14ac:dyDescent="0.35">
      <c r="A49" s="18" t="s">
        <v>1318</v>
      </c>
      <c r="B49" s="18">
        <v>12</v>
      </c>
      <c r="C49" s="175" t="s">
        <v>1779</v>
      </c>
    </row>
    <row r="50" spans="1:3" ht="42" x14ac:dyDescent="0.35">
      <c r="A50" s="18" t="s">
        <v>1342</v>
      </c>
      <c r="B50" s="18">
        <v>1</v>
      </c>
      <c r="C50" s="175" t="s">
        <v>1780</v>
      </c>
    </row>
    <row r="51" spans="1:3" ht="42" x14ac:dyDescent="0.35">
      <c r="A51" s="18" t="s">
        <v>1342</v>
      </c>
      <c r="B51" s="18">
        <v>2</v>
      </c>
      <c r="C51" s="175" t="s">
        <v>1781</v>
      </c>
    </row>
    <row r="52" spans="1:3" ht="42" x14ac:dyDescent="0.35">
      <c r="A52" s="18" t="s">
        <v>1342</v>
      </c>
      <c r="B52" s="18">
        <v>3</v>
      </c>
      <c r="C52" s="175" t="s">
        <v>1782</v>
      </c>
    </row>
    <row r="53" spans="1:3" ht="21" x14ac:dyDescent="0.35">
      <c r="A53" s="18" t="s">
        <v>1342</v>
      </c>
      <c r="B53" s="18">
        <v>4</v>
      </c>
      <c r="C53" s="175" t="s">
        <v>1783</v>
      </c>
    </row>
    <row r="54" spans="1:3" ht="42" x14ac:dyDescent="0.35">
      <c r="A54" s="18" t="s">
        <v>1342</v>
      </c>
      <c r="B54" s="18">
        <v>5</v>
      </c>
      <c r="C54" s="175" t="s">
        <v>1784</v>
      </c>
    </row>
    <row r="55" spans="1:3" ht="21" x14ac:dyDescent="0.35">
      <c r="A55" s="18" t="s">
        <v>1342</v>
      </c>
      <c r="B55" s="18">
        <v>6</v>
      </c>
      <c r="C55" s="175" t="s">
        <v>1785</v>
      </c>
    </row>
    <row r="56" spans="1:3" ht="21" x14ac:dyDescent="0.35">
      <c r="A56" s="18" t="s">
        <v>1342</v>
      </c>
      <c r="B56" s="18">
        <v>7</v>
      </c>
      <c r="C56" s="175" t="s">
        <v>1786</v>
      </c>
    </row>
    <row r="57" spans="1:3" ht="21" x14ac:dyDescent="0.35">
      <c r="A57" s="18" t="s">
        <v>1342</v>
      </c>
      <c r="B57" s="18">
        <v>8</v>
      </c>
      <c r="C57" s="175" t="s">
        <v>1787</v>
      </c>
    </row>
    <row r="58" spans="1:3" ht="63" x14ac:dyDescent="0.35">
      <c r="A58" s="18" t="s">
        <v>1342</v>
      </c>
      <c r="B58" s="18">
        <v>9</v>
      </c>
      <c r="C58" s="175" t="s">
        <v>1788</v>
      </c>
    </row>
    <row r="59" spans="1:3" ht="42" x14ac:dyDescent="0.35">
      <c r="A59" s="18" t="s">
        <v>1342</v>
      </c>
      <c r="B59" s="18">
        <v>10</v>
      </c>
      <c r="C59" s="175" t="s">
        <v>1789</v>
      </c>
    </row>
    <row r="60" spans="1:3" ht="21" x14ac:dyDescent="0.35">
      <c r="A60" s="18" t="s">
        <v>1342</v>
      </c>
      <c r="B60" s="18">
        <v>11</v>
      </c>
      <c r="C60" s="175" t="s">
        <v>1790</v>
      </c>
    </row>
    <row r="61" spans="1:3" ht="42" x14ac:dyDescent="0.35">
      <c r="A61" s="18" t="s">
        <v>1342</v>
      </c>
      <c r="B61" s="18">
        <v>12</v>
      </c>
      <c r="C61" s="175" t="s">
        <v>1791</v>
      </c>
    </row>
    <row r="62" spans="1:3" ht="42" x14ac:dyDescent="0.35">
      <c r="A62" s="194" t="s">
        <v>1333</v>
      </c>
      <c r="B62" s="18">
        <v>1</v>
      </c>
      <c r="C62" s="175" t="s">
        <v>1792</v>
      </c>
    </row>
    <row r="63" spans="1:3" ht="21" x14ac:dyDescent="0.35">
      <c r="A63" s="194" t="s">
        <v>1333</v>
      </c>
      <c r="B63" s="18">
        <v>2</v>
      </c>
      <c r="C63" s="175" t="s">
        <v>1793</v>
      </c>
    </row>
    <row r="64" spans="1:3" ht="21" x14ac:dyDescent="0.35">
      <c r="A64" s="194" t="s">
        <v>1333</v>
      </c>
      <c r="B64" s="18">
        <v>3</v>
      </c>
      <c r="C64" s="175" t="s">
        <v>1794</v>
      </c>
    </row>
    <row r="65" spans="1:3" ht="42" x14ac:dyDescent="0.35">
      <c r="A65" s="194" t="s">
        <v>1333</v>
      </c>
      <c r="B65" s="18">
        <v>4</v>
      </c>
      <c r="C65" s="175" t="s">
        <v>1795</v>
      </c>
    </row>
    <row r="66" spans="1:3" ht="42" x14ac:dyDescent="0.35">
      <c r="A66" s="194" t="s">
        <v>1333</v>
      </c>
      <c r="B66" s="18">
        <v>5</v>
      </c>
      <c r="C66" s="175" t="s">
        <v>1796</v>
      </c>
    </row>
    <row r="67" spans="1:3" ht="42" x14ac:dyDescent="0.35">
      <c r="A67" s="194" t="s">
        <v>1333</v>
      </c>
      <c r="B67" s="18">
        <v>6</v>
      </c>
      <c r="C67" s="175" t="s">
        <v>1797</v>
      </c>
    </row>
    <row r="68" spans="1:3" ht="21" x14ac:dyDescent="0.35">
      <c r="A68" s="194" t="s">
        <v>1333</v>
      </c>
      <c r="B68" s="18">
        <v>7</v>
      </c>
      <c r="C68" s="175" t="s">
        <v>1798</v>
      </c>
    </row>
    <row r="69" spans="1:3" ht="42" x14ac:dyDescent="0.35">
      <c r="A69" s="194" t="s">
        <v>1333</v>
      </c>
      <c r="B69" s="18">
        <v>8</v>
      </c>
      <c r="C69" s="175" t="s">
        <v>1799</v>
      </c>
    </row>
    <row r="70" spans="1:3" ht="42" x14ac:dyDescent="0.35">
      <c r="A70" s="194" t="s">
        <v>1333</v>
      </c>
      <c r="B70" s="18">
        <v>9</v>
      </c>
      <c r="C70" s="175" t="s">
        <v>1800</v>
      </c>
    </row>
    <row r="71" spans="1:3" ht="42" x14ac:dyDescent="0.35">
      <c r="A71" s="194" t="s">
        <v>1333</v>
      </c>
      <c r="B71" s="18">
        <v>10</v>
      </c>
      <c r="C71" s="175" t="s">
        <v>1801</v>
      </c>
    </row>
    <row r="72" spans="1:3" ht="42" x14ac:dyDescent="0.35">
      <c r="A72" s="194" t="s">
        <v>1333</v>
      </c>
      <c r="B72" s="18">
        <v>11</v>
      </c>
      <c r="C72" s="175" t="s">
        <v>1802</v>
      </c>
    </row>
    <row r="73" spans="1:3" ht="21" x14ac:dyDescent="0.35">
      <c r="A73" s="194" t="s">
        <v>1333</v>
      </c>
      <c r="B73" s="18">
        <v>12</v>
      </c>
      <c r="C73" s="175" t="s">
        <v>1803</v>
      </c>
    </row>
    <row r="74" spans="1:3" ht="21" x14ac:dyDescent="0.35">
      <c r="A74" s="194" t="s">
        <v>1330</v>
      </c>
      <c r="B74" s="18">
        <v>1</v>
      </c>
      <c r="C74" s="175" t="s">
        <v>1804</v>
      </c>
    </row>
    <row r="75" spans="1:3" ht="21" x14ac:dyDescent="0.35">
      <c r="A75" s="194" t="s">
        <v>1330</v>
      </c>
      <c r="B75" s="18">
        <v>2</v>
      </c>
      <c r="C75" s="175" t="s">
        <v>1805</v>
      </c>
    </row>
    <row r="76" spans="1:3" ht="21" x14ac:dyDescent="0.35">
      <c r="A76" s="194" t="s">
        <v>1330</v>
      </c>
      <c r="B76" s="18">
        <v>3</v>
      </c>
      <c r="C76" s="175" t="s">
        <v>1806</v>
      </c>
    </row>
    <row r="77" spans="1:3" ht="21" x14ac:dyDescent="0.35">
      <c r="A77" s="194" t="s">
        <v>1330</v>
      </c>
      <c r="B77" s="18">
        <v>4</v>
      </c>
      <c r="C77" s="175" t="s">
        <v>1807</v>
      </c>
    </row>
    <row r="78" spans="1:3" ht="21" x14ac:dyDescent="0.35">
      <c r="A78" s="194" t="s">
        <v>1330</v>
      </c>
      <c r="B78" s="18">
        <v>5</v>
      </c>
      <c r="C78" s="175" t="s">
        <v>1808</v>
      </c>
    </row>
    <row r="79" spans="1:3" ht="21" x14ac:dyDescent="0.35">
      <c r="A79" s="194" t="s">
        <v>1330</v>
      </c>
      <c r="B79" s="18">
        <v>6</v>
      </c>
      <c r="C79" s="175" t="s">
        <v>1809</v>
      </c>
    </row>
    <row r="80" spans="1:3" ht="21" x14ac:dyDescent="0.35">
      <c r="A80" s="194" t="s">
        <v>1330</v>
      </c>
      <c r="B80" s="18">
        <v>7</v>
      </c>
      <c r="C80" s="193" t="s">
        <v>1810</v>
      </c>
    </row>
    <row r="81" spans="1:3" ht="21" x14ac:dyDescent="0.35">
      <c r="A81" s="194" t="s">
        <v>1330</v>
      </c>
      <c r="B81" s="18">
        <v>8</v>
      </c>
      <c r="C81" s="175" t="s">
        <v>1811</v>
      </c>
    </row>
    <row r="82" spans="1:3" ht="21" x14ac:dyDescent="0.35">
      <c r="A82" s="194" t="s">
        <v>1330</v>
      </c>
      <c r="B82" s="18">
        <v>9</v>
      </c>
      <c r="C82" s="175" t="s">
        <v>1812</v>
      </c>
    </row>
    <row r="83" spans="1:3" ht="21" x14ac:dyDescent="0.35">
      <c r="A83" s="194" t="s">
        <v>1330</v>
      </c>
      <c r="B83" s="18">
        <v>10</v>
      </c>
      <c r="C83" s="175" t="s">
        <v>1813</v>
      </c>
    </row>
    <row r="84" spans="1:3" ht="21" x14ac:dyDescent="0.35">
      <c r="A84" s="194" t="s">
        <v>1330</v>
      </c>
      <c r="B84" s="18">
        <v>11</v>
      </c>
      <c r="C84" s="175" t="s">
        <v>1814</v>
      </c>
    </row>
    <row r="85" spans="1:3" ht="21" x14ac:dyDescent="0.35">
      <c r="A85" s="194" t="s">
        <v>1330</v>
      </c>
      <c r="B85" s="18">
        <v>12</v>
      </c>
      <c r="C85" s="175" t="s">
        <v>1815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2024SunTransit</vt:lpstr>
      <vt:lpstr>2024MoonTransit</vt:lpstr>
      <vt:lpstr>2024RetrogradeCalendar</vt:lpstr>
      <vt:lpstr>PlanetPositionSignification</vt:lpstr>
      <vt:lpstr>StarwiseDiseases</vt:lpstr>
      <vt:lpstr>Star-wise Professions</vt:lpstr>
      <vt:lpstr>Vimshottari</vt:lpstr>
      <vt:lpstr>PredictionTemplate</vt:lpstr>
      <vt:lpstr>BasicRules</vt:lpstr>
      <vt:lpstr>Diseases</vt:lpstr>
      <vt:lpstr>Mindset</vt:lpstr>
      <vt:lpstr>Professions</vt:lpstr>
      <vt:lpstr>SoftwareList</vt:lpstr>
      <vt:lpstr>Houses Meaning</vt:lpstr>
      <vt:lpstr>249SignStarSub</vt:lpstr>
      <vt:lpstr>ZodiacSigns</vt:lpstr>
      <vt:lpstr>PlanetsCharacteristics</vt:lpstr>
      <vt:lpstr>HigherEducationStreams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Krish Murali Eswar</cp:lastModifiedBy>
  <dcterms:created xsi:type="dcterms:W3CDTF">2021-02-25T03:35:50Z</dcterms:created>
  <dcterms:modified xsi:type="dcterms:W3CDTF">2024-07-09T13:46:24Z</dcterms:modified>
</cp:coreProperties>
</file>